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hr\OneDrive\哈哈的文件\科研相关\项目相关\东风项目\实验\第二阶段实验20191021\充注量实验\发给东风\"/>
    </mc:Choice>
  </mc:AlternateContent>
  <xr:revisionPtr revIDLastSave="7" documentId="11_A2CB5DBF520E165FEF9197BC0F8CD1A3F53AFC53" xr6:coauthVersionLast="45" xr6:coauthVersionMax="45" xr10:uidLastSave="{15BB2F09-F2A0-4E65-AAA7-6846C1153C53}"/>
  <bookViews>
    <workbookView xWindow="-98" yWindow="-98" windowWidth="19396" windowHeight="10395" xr2:uid="{00000000-000D-0000-FFFF-FFFF00000000}"/>
  </bookViews>
  <sheets>
    <sheet name="Sheet2" sheetId="2" r:id="rId1"/>
    <sheet name="压降分析" sheetId="7" r:id="rId2"/>
    <sheet name="Sheet3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5" i="2" l="1"/>
  <c r="E45" i="2"/>
  <c r="F45" i="2"/>
  <c r="G45" i="2"/>
  <c r="H45" i="2"/>
  <c r="I45" i="2"/>
  <c r="C45" i="2"/>
  <c r="D44" i="2"/>
  <c r="E44" i="2"/>
  <c r="F44" i="2"/>
  <c r="G44" i="2"/>
  <c r="H44" i="2"/>
  <c r="I44" i="2"/>
  <c r="C44" i="2"/>
  <c r="D43" i="2"/>
  <c r="E43" i="2"/>
  <c r="F43" i="2"/>
  <c r="G43" i="2"/>
  <c r="H43" i="2"/>
  <c r="I43" i="2"/>
  <c r="C43" i="2"/>
  <c r="I36" i="2" l="1"/>
  <c r="I37" i="2" s="1"/>
  <c r="H36" i="2" l="1"/>
  <c r="H37" i="2" l="1"/>
  <c r="G36" i="2"/>
  <c r="G37" i="2" s="1"/>
  <c r="C4" i="7" l="1"/>
  <c r="C3" i="7"/>
  <c r="D2" i="7"/>
  <c r="E2" i="7"/>
  <c r="F2" i="7"/>
  <c r="C2" i="7"/>
  <c r="D5" i="7" l="1"/>
  <c r="E5" i="7"/>
  <c r="F5" i="7"/>
  <c r="D4" i="7"/>
  <c r="E4" i="7"/>
  <c r="F4" i="7"/>
  <c r="D3" i="7"/>
  <c r="E3" i="7"/>
  <c r="F3" i="7"/>
  <c r="F36" i="2"/>
  <c r="F37" i="2" l="1"/>
  <c r="F38" i="2"/>
  <c r="D36" i="2" l="1"/>
  <c r="E36" i="2"/>
  <c r="C36" i="2"/>
  <c r="E37" i="2" l="1"/>
  <c r="E38" i="2"/>
  <c r="D37" i="2"/>
  <c r="D38" i="2"/>
  <c r="C37" i="2"/>
  <c r="C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jmfang</author>
  </authors>
  <commentList>
    <comment ref="M33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增大室内风量试图获得较大制冷量</t>
        </r>
      </text>
    </comment>
    <comment ref="I34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增大风量降低气冷出口温度</t>
        </r>
      </text>
    </comment>
  </commentList>
</comments>
</file>

<file path=xl/sharedStrings.xml><?xml version="1.0" encoding="utf-8"?>
<sst xmlns="http://schemas.openxmlformats.org/spreadsheetml/2006/main" count="121" uniqueCount="110">
  <si>
    <t>吸气温度</t>
    <phoneticPr fontId="5" type="noConversion"/>
  </si>
  <si>
    <t>排气温度</t>
    <phoneticPr fontId="5" type="noConversion"/>
  </si>
  <si>
    <t>室外换热进口</t>
    <phoneticPr fontId="5" type="noConversion"/>
  </si>
  <si>
    <t>室外换热出口</t>
    <phoneticPr fontId="5" type="noConversion"/>
  </si>
  <si>
    <t>阀前温度</t>
    <phoneticPr fontId="5" type="noConversion"/>
  </si>
  <si>
    <t>阀后温度</t>
    <phoneticPr fontId="5" type="noConversion"/>
  </si>
  <si>
    <t>回热器高压出口</t>
    <phoneticPr fontId="5" type="noConversion"/>
  </si>
  <si>
    <t>回热器高压进口</t>
    <phoneticPr fontId="5" type="noConversion"/>
  </si>
  <si>
    <t>储液器进口</t>
    <phoneticPr fontId="5" type="noConversion"/>
  </si>
  <si>
    <t>储液器出口</t>
    <phoneticPr fontId="5" type="noConversion"/>
  </si>
  <si>
    <t>回热器低压进口</t>
    <phoneticPr fontId="5" type="noConversion"/>
  </si>
  <si>
    <t>回热器低压出口</t>
    <phoneticPr fontId="5" type="noConversion"/>
  </si>
  <si>
    <t>列9</t>
  </si>
  <si>
    <t>吸气压力</t>
    <phoneticPr fontId="5" type="noConversion"/>
  </si>
  <si>
    <t>室内干球</t>
    <phoneticPr fontId="5" type="noConversion"/>
  </si>
  <si>
    <t>室内湿球</t>
    <phoneticPr fontId="5" type="noConversion"/>
  </si>
  <si>
    <t>室外干球</t>
    <phoneticPr fontId="5" type="noConversion"/>
  </si>
  <si>
    <t>室外湿球</t>
    <phoneticPr fontId="5" type="noConversion"/>
  </si>
  <si>
    <t>类别</t>
    <phoneticPr fontId="5" type="noConversion"/>
  </si>
  <si>
    <t>项目</t>
    <phoneticPr fontId="5" type="noConversion"/>
  </si>
  <si>
    <t>环境参数</t>
    <phoneticPr fontId="5" type="noConversion"/>
  </si>
  <si>
    <t>列11</t>
  </si>
  <si>
    <t>列12</t>
  </si>
  <si>
    <t>列13</t>
  </si>
  <si>
    <t>列14</t>
  </si>
  <si>
    <t>列15</t>
  </si>
  <si>
    <t>日期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</si>
  <si>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</si>
  <si>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组1</t>
    <phoneticPr fontId="5" type="noConversion"/>
  </si>
  <si>
    <t>组3</t>
    <phoneticPr fontId="5" type="noConversion"/>
  </si>
  <si>
    <t>组2</t>
    <phoneticPr fontId="5" type="noConversion"/>
  </si>
  <si>
    <t>组4</t>
    <phoneticPr fontId="5" type="noConversion"/>
  </si>
  <si>
    <t>组6</t>
  </si>
  <si>
    <t>组7</t>
  </si>
  <si>
    <t>组8</t>
  </si>
  <si>
    <t>组9</t>
  </si>
  <si>
    <t>列10</t>
  </si>
  <si>
    <t>组10</t>
  </si>
  <si>
    <t>列0</t>
    <phoneticPr fontId="5" type="noConversion"/>
  </si>
  <si>
    <t>列1</t>
    <phoneticPr fontId="5" type="noConversion"/>
  </si>
  <si>
    <t>列2</t>
  </si>
  <si>
    <t>列3</t>
  </si>
  <si>
    <t>列4</t>
  </si>
  <si>
    <t>列5</t>
  </si>
  <si>
    <t>列6</t>
  </si>
  <si>
    <t>列7</t>
  </si>
  <si>
    <t>列8</t>
  </si>
  <si>
    <t>组11</t>
  </si>
  <si>
    <t>组12</t>
  </si>
  <si>
    <t>组13</t>
  </si>
  <si>
    <t>组14</t>
  </si>
  <si>
    <t>组15</t>
  </si>
  <si>
    <t>温度/℃</t>
    <phoneticPr fontId="5" type="noConversion"/>
  </si>
  <si>
    <t>压力/Mpa</t>
    <phoneticPr fontId="5" type="noConversion"/>
  </si>
  <si>
    <t>充注量/g</t>
    <phoneticPr fontId="5" type="noConversion"/>
  </si>
  <si>
    <t>室内出风干球/℃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</si>
  <si>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</si>
  <si>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组5</t>
  </si>
  <si>
    <t>性能</t>
    <phoneticPr fontId="5" type="noConversion"/>
  </si>
  <si>
    <t>主换热器出口</t>
    <phoneticPr fontId="5" type="noConversion"/>
  </si>
  <si>
    <t>列16</t>
  </si>
  <si>
    <t>组16</t>
  </si>
  <si>
    <t>排气压力</t>
    <phoneticPr fontId="5" type="noConversion"/>
  </si>
  <si>
    <t>阀前压力</t>
    <phoneticPr fontId="5" type="noConversion"/>
  </si>
  <si>
    <t>主换热器进口</t>
    <phoneticPr fontId="5" type="noConversion"/>
  </si>
  <si>
    <t>电流/A</t>
    <phoneticPr fontId="5" type="noConversion"/>
  </si>
  <si>
    <t>压缩机转速/rpm</t>
    <phoneticPr fontId="5" type="noConversion"/>
  </si>
  <si>
    <t>膨胀阀开度</t>
    <phoneticPr fontId="5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</si>
  <si>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</si>
  <si>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</si>
  <si>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t>室外侧风量/m3·h-1</t>
    <phoneticPr fontId="5" type="noConversion"/>
  </si>
  <si>
    <t>室内侧换热量//蒸发器/W</t>
    <phoneticPr fontId="5" type="noConversion"/>
  </si>
  <si>
    <t>压缩机功率/W</t>
    <phoneticPr fontId="5" type="noConversion"/>
  </si>
  <si>
    <t>室内侧COP</t>
    <phoneticPr fontId="5" type="noConversion"/>
  </si>
  <si>
    <t>室内侧COP/制冷剂</t>
    <phoneticPr fontId="5" type="noConversion"/>
  </si>
  <si>
    <t>室内出风湿球/℃</t>
    <phoneticPr fontId="5" type="noConversion"/>
  </si>
  <si>
    <t>室外出风干球/℃</t>
    <phoneticPr fontId="5" type="noConversion"/>
  </si>
  <si>
    <t>室外出风湿球/℃</t>
    <phoneticPr fontId="5" type="noConversion"/>
  </si>
  <si>
    <t>流量</t>
    <phoneticPr fontId="5" type="noConversion"/>
  </si>
  <si>
    <t>压降</t>
    <phoneticPr fontId="5" type="noConversion"/>
  </si>
  <si>
    <t>蒸发器</t>
    <phoneticPr fontId="5" type="noConversion"/>
  </si>
  <si>
    <t>蒸发器至储液器</t>
    <phoneticPr fontId="5" type="noConversion"/>
  </si>
  <si>
    <t>储液器至吸气</t>
    <phoneticPr fontId="5" type="noConversion"/>
  </si>
  <si>
    <t>原系统</t>
    <phoneticPr fontId="5" type="noConversion"/>
  </si>
  <si>
    <t>新系统</t>
    <phoneticPr fontId="5" type="noConversion"/>
  </si>
  <si>
    <t>三花</t>
    <phoneticPr fontId="5" type="noConversion"/>
  </si>
  <si>
    <t>蒸发器压降</t>
    <phoneticPr fontId="5" type="noConversion"/>
  </si>
  <si>
    <t>流量</t>
    <phoneticPr fontId="5" type="noConversion"/>
  </si>
  <si>
    <t>流量</t>
    <phoneticPr fontId="5" type="noConversion"/>
  </si>
  <si>
    <t>原系统</t>
    <phoneticPr fontId="5" type="noConversion"/>
  </si>
  <si>
    <t>风量</t>
    <phoneticPr fontId="5" type="noConversion"/>
  </si>
  <si>
    <t>制冷量</t>
    <phoneticPr fontId="5" type="noConversion"/>
  </si>
  <si>
    <t>COP</t>
    <phoneticPr fontId="5" type="noConversion"/>
  </si>
  <si>
    <t>新系统</t>
    <phoneticPr fontId="5" type="noConversion"/>
  </si>
  <si>
    <t>三花</t>
    <phoneticPr fontId="5" type="noConversion"/>
  </si>
  <si>
    <t>流量</t>
    <phoneticPr fontId="5" type="noConversion"/>
  </si>
  <si>
    <t>流量</t>
    <phoneticPr fontId="5" type="noConversion"/>
  </si>
  <si>
    <t>流量</t>
    <phoneticPr fontId="5" type="noConversion"/>
  </si>
  <si>
    <t>电压</t>
    <phoneticPr fontId="5" type="noConversion"/>
  </si>
  <si>
    <t>气冷</t>
    <phoneticPr fontId="5" type="noConversion"/>
  </si>
  <si>
    <t>排气至气冷</t>
    <phoneticPr fontId="5" type="noConversion"/>
  </si>
  <si>
    <t>蒸发器压降/MPA</t>
    <phoneticPr fontId="5" type="noConversion"/>
  </si>
  <si>
    <t>排气到阀前压降</t>
    <phoneticPr fontId="5" type="noConversion"/>
  </si>
  <si>
    <t>蒸发器出口到吸气压降</t>
    <phoneticPr fontId="5" type="noConversion"/>
  </si>
  <si>
    <t>交大</t>
    <phoneticPr fontId="5" type="noConversion"/>
  </si>
  <si>
    <t>三花</t>
    <phoneticPr fontId="5" type="noConversion"/>
  </si>
  <si>
    <t>蒸发器压降/MPa</t>
    <phoneticPr fontId="5" type="noConversion"/>
  </si>
  <si>
    <t>气冷器压降/MPa</t>
    <phoneticPr fontId="5" type="noConversion"/>
  </si>
  <si>
    <t>制冷量/W</t>
    <phoneticPr fontId="5" type="noConversion"/>
  </si>
  <si>
    <t>出风温度/℃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</si>
</sst>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vertAlign val="superscript"/>
      <sz val="11"/>
      <color rgb="FF3F3F76"/>
      <name val="等线"/>
      <family val="3"/>
      <charset val="134"/>
      <scheme val="minor"/>
    </font>
    <font>
      <b/>
      <sz val="11"/>
      <color rgb="FF3F3F3F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1" fillId="4" borderId="2" applyNumberFormat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5" borderId="3" xfId="4" applyNumberFormat="1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3" fillId="3" borderId="1" xfId="2" applyAlignment="1">
      <alignment horizontal="center" vertical="center"/>
    </xf>
    <xf numFmtId="0" fontId="6" fillId="0" borderId="0" xfId="0" applyFont="1">
      <alignment vertical="center"/>
    </xf>
    <xf numFmtId="0" fontId="0" fillId="6" borderId="0" xfId="0" applyFill="1">
      <alignment vertical="center"/>
    </xf>
    <xf numFmtId="0" fontId="4" fillId="4" borderId="1" xfId="3" applyAlignment="1">
      <alignment horizontal="center" vertical="center"/>
    </xf>
    <xf numFmtId="0" fontId="0" fillId="5" borderId="3" xfId="4" applyNumberFormat="1" applyFont="1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6" borderId="1" xfId="2" applyFill="1" applyAlignment="1">
      <alignment horizontal="center" vertical="center"/>
    </xf>
    <xf numFmtId="0" fontId="0" fillId="0" borderId="0" xfId="0" applyAlignment="1">
      <alignment vertical="center"/>
    </xf>
    <xf numFmtId="0" fontId="11" fillId="4" borderId="2" xfId="5" applyAlignment="1">
      <alignment horizontal="center" vertical="center"/>
    </xf>
    <xf numFmtId="0" fontId="11" fillId="4" borderId="2" xfId="5" applyAlignment="1">
      <alignment horizontal="center" vertical="center"/>
    </xf>
    <xf numFmtId="0" fontId="4" fillId="4" borderId="1" xfId="3" applyAlignment="1">
      <alignment horizontal="center" vertical="center"/>
    </xf>
    <xf numFmtId="0" fontId="11" fillId="4" borderId="2" xfId="5" applyAlignment="1">
      <alignment vertical="center"/>
    </xf>
    <xf numFmtId="0" fontId="4" fillId="4" borderId="1" xfId="3" applyAlignment="1">
      <alignment horizontal="center" vertical="center"/>
    </xf>
    <xf numFmtId="0" fontId="0" fillId="6" borderId="0" xfId="0" applyFill="1" applyAlignment="1">
      <alignment horizontal="center" vertical="center"/>
    </xf>
    <xf numFmtId="9" fontId="0" fillId="6" borderId="3" xfId="4" applyNumberFormat="1" applyFont="1" applyFill="1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3" borderId="5" xfId="2" applyBorder="1" applyAlignment="1">
      <alignment horizontal="center" vertical="center"/>
    </xf>
    <xf numFmtId="0" fontId="2" fillId="7" borderId="0" xfId="1" applyFill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7" borderId="1" xfId="2" applyFill="1" applyAlignment="1">
      <alignment horizontal="center" vertical="center"/>
    </xf>
    <xf numFmtId="0" fontId="3" fillId="7" borderId="5" xfId="2" applyFill="1" applyBorder="1" applyAlignment="1">
      <alignment horizontal="center" vertical="center"/>
    </xf>
    <xf numFmtId="0" fontId="0" fillId="8" borderId="0" xfId="0" applyFill="1">
      <alignment vertical="center"/>
    </xf>
    <xf numFmtId="0" fontId="3" fillId="8" borderId="1" xfId="2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4" fillId="8" borderId="1" xfId="3" applyFill="1" applyAlignment="1">
      <alignment horizontal="center" vertical="center"/>
    </xf>
    <xf numFmtId="0" fontId="2" fillId="8" borderId="0" xfId="1" applyFill="1" applyAlignment="1">
      <alignment horizontal="center" vertical="center"/>
    </xf>
    <xf numFmtId="0" fontId="0" fillId="8" borderId="3" xfId="4" applyNumberFormat="1" applyFont="1" applyFill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5" xfId="3" applyBorder="1" applyAlignment="1">
      <alignment horizontal="center" vertical="center"/>
    </xf>
    <xf numFmtId="0" fontId="4" fillId="4" borderId="8" xfId="3" applyBorder="1" applyAlignment="1">
      <alignment horizontal="center" vertical="center"/>
    </xf>
    <xf numFmtId="0" fontId="4" fillId="4" borderId="12" xfId="3" applyBorder="1" applyAlignment="1">
      <alignment horizontal="center" vertical="center"/>
    </xf>
    <xf numFmtId="0" fontId="2" fillId="2" borderId="9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0" fillId="5" borderId="10" xfId="4" applyFont="1" applyBorder="1" applyAlignment="1">
      <alignment horizontal="center" vertical="center"/>
    </xf>
    <xf numFmtId="0" fontId="0" fillId="5" borderId="0" xfId="4" applyFont="1" applyBorder="1" applyAlignment="1">
      <alignment horizontal="center" vertical="center"/>
    </xf>
    <xf numFmtId="0" fontId="3" fillId="3" borderId="11" xfId="2" applyBorder="1" applyAlignment="1">
      <alignment horizontal="center" vertical="center"/>
    </xf>
    <xf numFmtId="0" fontId="11" fillId="4" borderId="2" xfId="5" applyAlignment="1">
      <alignment horizontal="center" vertical="center"/>
    </xf>
    <xf numFmtId="0" fontId="4" fillId="4" borderId="1" xfId="3" applyAlignment="1">
      <alignment horizontal="center" vertical="center"/>
    </xf>
    <xf numFmtId="0" fontId="11" fillId="4" borderId="13" xfId="5" applyBorder="1" applyAlignment="1">
      <alignment horizontal="center" vertical="center"/>
    </xf>
    <xf numFmtId="0" fontId="11" fillId="4" borderId="14" xfId="5" applyBorder="1" applyAlignment="1">
      <alignment horizontal="center" vertical="center"/>
    </xf>
    <xf numFmtId="0" fontId="11" fillId="4" borderId="15" xfId="5" applyBorder="1" applyAlignment="1">
      <alignment horizontal="center" vertical="center"/>
    </xf>
  </cellXfs>
  <cellStyles count="6">
    <cellStyle name="常规" xfId="0" builtinId="0"/>
    <cellStyle name="计算" xfId="3" builtinId="22"/>
    <cellStyle name="适中" xfId="1" builtinId="28"/>
    <cellStyle name="输出" xfId="5" builtinId="21"/>
    <cellStyle name="输入" xfId="2" builtinId="20"/>
    <cellStyle name="注释" xfId="4" builtinId="10"/>
  </cellStyles>
  <dxfs count="33"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664260717410319E-2"/>
          <c:y val="7.407407407407407E-2"/>
          <c:w val="0.88389129483814521"/>
          <c:h val="0.8416746864975212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660638592"/>
        <c:axId val="660632768"/>
      </c:barChart>
      <c:catAx>
        <c:axId val="66063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632768"/>
        <c:crosses val="autoZero"/>
        <c:auto val="1"/>
        <c:lblAlgn val="ctr"/>
        <c:lblOffset val="100"/>
        <c:noMultiLvlLbl val="0"/>
      </c:catAx>
      <c:valAx>
        <c:axId val="66063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063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455314960629921"/>
          <c:y val="9.027012607030678E-2"/>
          <c:w val="0.71427278486740886"/>
          <c:h val="0.72416195516544035"/>
        </c:manualLayout>
      </c:layout>
      <c:scatterChart>
        <c:scatterStyle val="smoothMarker"/>
        <c:varyColors val="0"/>
        <c:ser>
          <c:idx val="0"/>
          <c:order val="0"/>
          <c:tx>
            <c:v>交大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Sheet2!$C$33:$E$33</c:f>
              <c:numCache>
                <c:formatCode>General</c:formatCode>
                <c:ptCount val="3"/>
                <c:pt idx="0">
                  <c:v>496.9</c:v>
                </c:pt>
                <c:pt idx="1">
                  <c:v>419.661</c:v>
                </c:pt>
                <c:pt idx="2">
                  <c:v>341.23</c:v>
                </c:pt>
              </c:numCache>
            </c:numRef>
          </c:xVal>
          <c:yVal>
            <c:numRef>
              <c:f>Sheet2!$C$43:$E$43</c:f>
              <c:numCache>
                <c:formatCode>General</c:formatCode>
                <c:ptCount val="3"/>
                <c:pt idx="0">
                  <c:v>0.34399999999999986</c:v>
                </c:pt>
                <c:pt idx="1">
                  <c:v>0.2759999999999998</c:v>
                </c:pt>
                <c:pt idx="2">
                  <c:v>0.2759999999999998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FB-4B97-936D-BE13E156063B}"/>
            </c:ext>
          </c:extLst>
        </c:ser>
        <c:ser>
          <c:idx val="1"/>
          <c:order val="1"/>
          <c:tx>
            <c:v>三花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Sheet2!$C$52:$E$52</c:f>
              <c:numCache>
                <c:formatCode>General</c:formatCode>
                <c:ptCount val="3"/>
                <c:pt idx="0">
                  <c:v>500</c:v>
                </c:pt>
                <c:pt idx="1">
                  <c:v>420</c:v>
                </c:pt>
                <c:pt idx="2">
                  <c:v>340</c:v>
                </c:pt>
              </c:numCache>
            </c:numRef>
          </c:xVal>
          <c:yVal>
            <c:numRef>
              <c:f>Sheet2!$C$48:$E$48</c:f>
              <c:numCache>
                <c:formatCode>General</c:formatCode>
                <c:ptCount val="3"/>
                <c:pt idx="0">
                  <c:v>0.32300000000000001</c:v>
                </c:pt>
                <c:pt idx="1">
                  <c:v>0.26400000000000001</c:v>
                </c:pt>
                <c:pt idx="2">
                  <c:v>0.19800000000000001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FB-4B97-936D-BE13E1560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95967"/>
        <c:axId val="1064378079"/>
      </c:scatterChart>
      <c:valAx>
        <c:axId val="1064395967"/>
        <c:scaling>
          <c:orientation val="minMax"/>
          <c:max val="500"/>
          <c:min val="3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送风风量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3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4378079"/>
        <c:crosses val="autoZero"/>
        <c:crossBetween val="midCat"/>
      </c:valAx>
      <c:valAx>
        <c:axId val="10643780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蒸发器压降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500000000000004"/>
          <c:y val="0.54687445319335082"/>
          <c:w val="0.17359860278184927"/>
          <c:h val="0.125541874031324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系统各部件压降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68285214348208"/>
          <c:y val="0.18039370078740158"/>
          <c:w val="0.78845603674540676"/>
          <c:h val="0.616774569845435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压降分析!$B$2</c:f>
              <c:strCache>
                <c:ptCount val="1"/>
                <c:pt idx="0">
                  <c:v>蒸发器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100.3</c:v>
                </c:pt>
                <c:pt idx="1">
                  <c:v>104.7</c:v>
                </c:pt>
                <c:pt idx="2">
                  <c:v>106.3</c:v>
                </c:pt>
                <c:pt idx="3">
                  <c:v>131.19999999999999</c:v>
                </c:pt>
              </c:numCache>
            </c:numRef>
          </c:xVal>
          <c:yVal>
            <c:numRef>
              <c:f>压降分析!$C$2:$F$2</c:f>
              <c:numCache>
                <c:formatCode>General</c:formatCode>
                <c:ptCount val="4"/>
                <c:pt idx="0">
                  <c:v>0.34399999999999986</c:v>
                </c:pt>
                <c:pt idx="1">
                  <c:v>0.2759999999999998</c:v>
                </c:pt>
                <c:pt idx="2">
                  <c:v>0.2759999999999998</c:v>
                </c:pt>
                <c:pt idx="3">
                  <c:v>7.22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1B-4727-BC19-4C8542DBF3EA}"/>
            </c:ext>
          </c:extLst>
        </c:ser>
        <c:ser>
          <c:idx val="1"/>
          <c:order val="1"/>
          <c:tx>
            <c:strRef>
              <c:f>压降分析!$B$3</c:f>
              <c:strCache>
                <c:ptCount val="1"/>
                <c:pt idx="0">
                  <c:v>蒸发器至储液器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100.3</c:v>
                </c:pt>
                <c:pt idx="1">
                  <c:v>104.7</c:v>
                </c:pt>
                <c:pt idx="2">
                  <c:v>106.3</c:v>
                </c:pt>
                <c:pt idx="3">
                  <c:v>131.19999999999999</c:v>
                </c:pt>
              </c:numCache>
            </c:numRef>
          </c:xVal>
          <c:yVal>
            <c:numRef>
              <c:f>压降分析!$C$3:$F$3</c:f>
              <c:numCache>
                <c:formatCode>General</c:formatCode>
                <c:ptCount val="4"/>
                <c:pt idx="0">
                  <c:v>0</c:v>
                </c:pt>
                <c:pt idx="1">
                  <c:v>0.2759999999999998</c:v>
                </c:pt>
                <c:pt idx="2">
                  <c:v>0.2759999999999998</c:v>
                </c:pt>
                <c:pt idx="3">
                  <c:v>7.22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1B-4727-BC19-4C8542DBF3EA}"/>
            </c:ext>
          </c:extLst>
        </c:ser>
        <c:ser>
          <c:idx val="2"/>
          <c:order val="2"/>
          <c:tx>
            <c:strRef>
              <c:f>压降分析!#REF!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100.3</c:v>
                </c:pt>
                <c:pt idx="1">
                  <c:v>104.7</c:v>
                </c:pt>
                <c:pt idx="2">
                  <c:v>106.3</c:v>
                </c:pt>
                <c:pt idx="3">
                  <c:v>131.19999999999999</c:v>
                </c:pt>
              </c:numCache>
            </c:numRef>
          </c:xVal>
          <c:yVal>
            <c:numRef>
              <c:f>压降分析!#REF!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1B-4727-BC19-4C8542DBF3EA}"/>
            </c:ext>
          </c:extLst>
        </c:ser>
        <c:ser>
          <c:idx val="3"/>
          <c:order val="3"/>
          <c:tx>
            <c:strRef>
              <c:f>压降分析!$B$4</c:f>
              <c:strCache>
                <c:ptCount val="1"/>
                <c:pt idx="0">
                  <c:v>储液器至吸气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100.3</c:v>
                </c:pt>
                <c:pt idx="1">
                  <c:v>104.7</c:v>
                </c:pt>
                <c:pt idx="2">
                  <c:v>106.3</c:v>
                </c:pt>
                <c:pt idx="3">
                  <c:v>131.19999999999999</c:v>
                </c:pt>
              </c:numCache>
            </c:numRef>
          </c:xVal>
          <c:yVal>
            <c:numRef>
              <c:f>压降分析!$C$4:$F$4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1B-4727-BC19-4C8542DBF3EA}"/>
            </c:ext>
          </c:extLst>
        </c:ser>
        <c:ser>
          <c:idx val="4"/>
          <c:order val="4"/>
          <c:tx>
            <c:strRef>
              <c:f>压降分析!$B$5</c:f>
              <c:strCache>
                <c:ptCount val="1"/>
                <c:pt idx="0">
                  <c:v>排气至气冷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100.3</c:v>
                </c:pt>
                <c:pt idx="1">
                  <c:v>104.7</c:v>
                </c:pt>
                <c:pt idx="2">
                  <c:v>106.3</c:v>
                </c:pt>
                <c:pt idx="3">
                  <c:v>131.19999999999999</c:v>
                </c:pt>
              </c:numCache>
            </c:numRef>
          </c:xVal>
          <c:yVal>
            <c:numRef>
              <c:f>压降分析!$C$5:$F$5</c:f>
              <c:numCache>
                <c:formatCode>General</c:formatCode>
                <c:ptCount val="4"/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1B-4727-BC19-4C8542DB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95967"/>
        <c:axId val="1064379327"/>
      </c:scatterChart>
      <c:valAx>
        <c:axId val="1064395967"/>
        <c:scaling>
          <c:orientation val="minMax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/kg·h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79327"/>
        <c:crosses val="autoZero"/>
        <c:crossBetween val="midCat"/>
      </c:valAx>
      <c:valAx>
        <c:axId val="10643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55555555555556"/>
          <c:y val="0.13330890930300379"/>
          <c:w val="0.25833333333333336"/>
          <c:h val="0.27951662292213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D-4FFA-ADF3-E780067F85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D-4FFA-ADF3-E780067F85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D-4FFA-ADF3-E780067F8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压降分析!$C$2:$C$4</c:f>
              <c:numCache>
                <c:formatCode>General</c:formatCode>
                <c:ptCount val="3"/>
                <c:pt idx="0">
                  <c:v>0.34399999999999986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7A0-B815-F2CA982A8C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106.3kg·h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0-43F2-A6C7-71657F8DCD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0-43F2-A6C7-71657F8DCD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0-43F2-A6C7-71657F8DCD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压降分析!$E$2:$E$4</c:f>
              <c:numCache>
                <c:formatCode>General</c:formatCode>
                <c:ptCount val="3"/>
                <c:pt idx="0">
                  <c:v>0.2759999999999998</c:v>
                </c:pt>
                <c:pt idx="1">
                  <c:v>0.2759999999999998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20-43F2-A6C7-71657F8DCD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104.7kg·h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8C-4CB3-85EA-DCDAEF889D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C-4CB3-85EA-DCDAEF889D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8C-4CB3-85EA-DCDAEF889D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压降分析!$D$2:$D$4</c:f>
              <c:numCache>
                <c:formatCode>General</c:formatCode>
                <c:ptCount val="3"/>
                <c:pt idx="0">
                  <c:v>0.2759999999999998</c:v>
                </c:pt>
                <c:pt idx="1">
                  <c:v>0.2759999999999998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88C-4CB3-85EA-DCDAEF889D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131.2kg·h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4-4EA7-B0F4-0325B766FB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4-4EA7-B0F4-0325B766FB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4-4EA7-B0F4-0325B766F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压降分析!$F$2:$F$4</c:f>
              <c:numCache>
                <c:formatCode>General</c:formatCode>
                <c:ptCount val="3"/>
                <c:pt idx="0">
                  <c:v>7.22</c:v>
                </c:pt>
                <c:pt idx="1">
                  <c:v>7.22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F4-4EA7-B0F4-0325B766FB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(压降分析!$B$27,压降分析!$D$27,压降分析!$F$27)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(压降分析!$C$31,压降分析!$E$31,压降分析!$G$32)</c:f>
              <c:numCache>
                <c:formatCode>General</c:formatCode>
                <c:ptCount val="3"/>
                <c:pt idx="0">
                  <c:v>0.5950000000000002</c:v>
                </c:pt>
                <c:pt idx="1">
                  <c:v>0.33599999999999985</c:v>
                </c:pt>
                <c:pt idx="2">
                  <c:v>0.26400000000000001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6-4D5E-B831-A86E15C2A1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(压降分析!$B$27,压降分析!$D$27,压降分析!$F$27)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(压降分析!$C$32,压降分析!$E$32,压降分析!$G$33)</c:f>
              <c:numCache>
                <c:formatCode>General</c:formatCode>
                <c:ptCount val="3"/>
                <c:pt idx="0">
                  <c:v>0.82499999999999973</c:v>
                </c:pt>
                <c:pt idx="1">
                  <c:v>0.5089999999999999</c:v>
                </c:pt>
                <c:pt idx="2">
                  <c:v>0.32400000000000001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6-4D5E-B831-A86E15C2A1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1821103"/>
        <c:axId val="1291838575"/>
        <c:axId val="0"/>
      </c:bar3DChart>
      <c:catAx>
        <c:axId val="12918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CN"/>
          </a:p>
        </c:txPr>
        <c:crossAx val="1291838575"/>
        <c:crosses val="autoZero"/>
        <c:auto val="1"/>
        <c:lblAlgn val="ctr"/>
        <c:lblOffset val="100"/>
        <c:noMultiLvlLbl val="0"/>
      </c:catAx>
      <c:valAx>
        <c:axId val="12918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918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638175</xdr:colOff>
      <xdr:row>65</xdr:row>
      <xdr:rowOff>69849</xdr:rowOff>
    </xdr:from>
    <xdr:to>
      <xdr:col>3</xdr:col>
      <xdr:colOff>419100</xdr:colOff>
      <xdr:row>75</xdr:row>
      <xdr:rowOff>92074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927101</xdr:colOff>
      <xdr:row>53</xdr:row>
      <xdr:rowOff>139700</xdr:rowOff>
    </xdr:from>
    <xdr:to>
      <xdr:col>9</xdr:col>
      <xdr:colOff>463550</xdr:colOff>
      <xdr:row>71</xdr:row>
      <xdr:rowOff>149225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6</xdr:row>
      <xdr:rowOff>171450</xdr:rowOff>
    </xdr:from>
    <xdr:to>
      <xdr:col>15</xdr:col>
      <xdr:colOff>85725</xdr:colOff>
      <xdr:row>22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28575</xdr:rowOff>
    </xdr:from>
    <xdr:to>
      <xdr:col>21</xdr:col>
      <xdr:colOff>414337</xdr:colOff>
      <xdr:row>18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495300</xdr:colOff>
      <xdr:row>4</xdr:row>
      <xdr:rowOff>133350</xdr:rowOff>
    </xdr:from>
    <xdr:to>
      <xdr:col>20</xdr:col>
      <xdr:colOff>223837</xdr:colOff>
      <xdr:row>19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161925</xdr:colOff>
      <xdr:row>10</xdr:row>
      <xdr:rowOff>85725</xdr:rowOff>
    </xdr:from>
    <xdr:to>
      <xdr:col>20</xdr:col>
      <xdr:colOff>576262</xdr:colOff>
      <xdr:row>25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561975</xdr:colOff>
      <xdr:row>13</xdr:row>
      <xdr:rowOff>66675</xdr:rowOff>
    </xdr:from>
    <xdr:to>
      <xdr:col>21</xdr:col>
      <xdr:colOff>290512</xdr:colOff>
      <xdr:row>28</xdr:row>
      <xdr:rowOff>95250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433387</xdr:colOff>
      <xdr:row>18</xdr:row>
      <xdr:rowOff>0</xdr:rowOff>
    </xdr:from>
    <xdr:to>
      <xdr:col>14</xdr:col>
      <xdr:colOff>204787</xdr:colOff>
      <xdr:row>33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表3" displayName="表3" ref="B1:R52" totalsRowShown="0" dataDxfId="32">
  <autoFilter ref="B1:R52" xr:uid="{00000000-0009-0000-0100-000003000000}"/>
  <tableColumns count="17">
    <tableColumn id="9" xr3:uid="{00000000-0010-0000-0000-000009000000}" name="列0" dataDxfId="31" totalsRowDxfId="30"/>
    <tableColumn id="4" xr3:uid="{00000000-0010-0000-0000-000004000000}" name="列1" dataDxfId="29" totalsRowDxfId="28"/>
    <tableColumn id="16" xr3:uid="{00000000-0010-0000-0000-000010000000}" name="列2" dataDxfId="27" totalsRowDxfId="26" dataCellStyle="输入"/>
    <tableColumn id="18" xr3:uid="{00000000-0010-0000-0000-000012000000}" name="列3" dataDxfId="25" totalsRowDxfId="24"/>
    <tableColumn id="1" xr3:uid="{00000000-0010-0000-0000-000001000000}" name="列4" dataDxfId="23"/>
    <tableColumn id="17" xr3:uid="{00000000-0010-0000-0000-000011000000}" name="列5" dataDxfId="22"/>
    <tableColumn id="21" xr3:uid="{00000000-0010-0000-0000-000015000000}" name="列6" dataDxfId="21" totalsRowDxfId="20"/>
    <tableColumn id="20" xr3:uid="{00000000-0010-0000-0000-000014000000}" name="列7" dataDxfId="19" totalsRowDxfId="18"/>
    <tableColumn id="19" xr3:uid="{00000000-0010-0000-0000-000013000000}" name="列8" dataDxfId="17" totalsRowDxfId="16"/>
    <tableColumn id="11" xr3:uid="{00000000-0010-0000-0000-00000B000000}" name="列9" dataDxfId="15" totalsRowDxfId="14"/>
    <tableColumn id="24" xr3:uid="{00000000-0010-0000-0000-000018000000}" name="列10" dataDxfId="13" totalsRowDxfId="12"/>
    <tableColumn id="23" xr3:uid="{00000000-0010-0000-0000-000017000000}" name="列11" dataDxfId="11" totalsRowDxfId="10"/>
    <tableColumn id="22" xr3:uid="{00000000-0010-0000-0000-000016000000}" name="列12" dataDxfId="9" totalsRowDxfId="8"/>
    <tableColumn id="12" xr3:uid="{00000000-0010-0000-0000-00000C000000}" name="列13" dataDxfId="7" totalsRowDxfId="6"/>
    <tableColumn id="13" xr3:uid="{00000000-0010-0000-0000-00000D000000}" name="列14" dataDxfId="5" totalsRowDxfId="4"/>
    <tableColumn id="14" xr3:uid="{00000000-0010-0000-0000-00000E000000}" name="列15" dataDxfId="3" totalsRowDxfId="2"/>
    <tableColumn id="15" xr3:uid="{00000000-0010-0000-0000-00000F000000}" name="列16" dataDxfId="1" totalsRow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63"/>
  <sheetViews>
    <sheetView tabSelected="1" topLeftCell="A43" workbookViewId="0">
      <selection activeCell="B57" sqref="B57"/>
    </sheetView>
  </sheetViews>
  <sheetFormatPr defaultRowHeight="13.9" x14ac:dyDescent="0.4"/>
  <cols>
    <col min="2" max="2" width="29.265625" customWidth="1"/>
    <col min="3" max="3" width="20.59765625" style="7" customWidth="1"/>
    <col min="4" max="4" width="11.265625" style="7" customWidth="1"/>
    <col min="5" max="5" width="11.06640625" customWidth="1"/>
    <col min="6" max="6" width="15.73046875" style="33" customWidth="1"/>
    <col min="7" max="7" width="11.265625" style="33" customWidth="1"/>
    <col min="8" max="8" width="12.06640625" customWidth="1"/>
    <col min="9" max="9" width="13.06640625" customWidth="1"/>
    <col min="12" max="14" width="9.06640625" customWidth="1"/>
  </cols>
  <sheetData>
    <row r="1" spans="1:18" x14ac:dyDescent="0.4">
      <c r="B1" s="7" t="s">
        <v>38</v>
      </c>
      <c r="C1" s="7" t="s">
        <v>39</v>
      </c>
      <c r="D1" s="7" t="s">
        <v>40</v>
      </c>
      <c r="E1" s="7" t="s">
        <v>41</v>
      </c>
      <c r="F1" s="33" t="s">
        <v>42</v>
      </c>
      <c r="G1" s="33" t="s">
        <v>43</v>
      </c>
      <c r="H1" s="7" t="s">
        <v>44</v>
      </c>
      <c r="I1" s="7" t="s">
        <v>45</v>
      </c>
      <c r="J1" s="7" t="s">
        <v>46</v>
      </c>
      <c r="K1" s="7" t="s">
        <v>12</v>
      </c>
      <c r="L1" s="7" t="s">
        <v>36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60</v>
      </c>
    </row>
    <row r="2" spans="1:18" x14ac:dyDescent="0.4">
      <c r="B2" s="1" t="s">
        <v>26</v>
      </c>
      <c r="C2" s="1"/>
      <c r="D2" s="5"/>
      <c r="E2" s="5"/>
      <c r="F2" s="34"/>
      <c r="G2" s="34"/>
      <c r="H2" s="5"/>
      <c r="I2" s="5"/>
      <c r="J2" s="5"/>
      <c r="K2" s="5"/>
      <c r="L2" s="1"/>
      <c r="M2" s="1"/>
      <c r="N2" s="1"/>
      <c r="O2" s="1"/>
      <c r="P2" s="1"/>
      <c r="Q2" s="1"/>
      <c r="R2" s="1"/>
    </row>
    <row r="3" spans="1:18" x14ac:dyDescent="0.4">
      <c r="A3" t="s">
        <v>18</v>
      </c>
      <c r="B3" s="1" t="s">
        <v>19</v>
      </c>
      <c r="C3" s="1" t="s">
        <v>28</v>
      </c>
      <c r="D3" s="5" t="s">
        <v>30</v>
      </c>
      <c r="E3" s="1" t="s">
        <v>29</v>
      </c>
      <c r="F3" s="35" t="s">
        <v>31</v>
      </c>
      <c r="G3" s="35" t="s">
        <v>57</v>
      </c>
      <c r="H3" s="11" t="s">
        <v>32</v>
      </c>
      <c r="I3" s="11" t="s">
        <v>33</v>
      </c>
      <c r="J3" s="11" t="s">
        <v>34</v>
      </c>
      <c r="K3" s="11" t="s">
        <v>35</v>
      </c>
      <c r="L3" s="11" t="s">
        <v>37</v>
      </c>
      <c r="M3" s="11" t="s">
        <v>47</v>
      </c>
      <c r="N3" s="11" t="s">
        <v>48</v>
      </c>
      <c r="O3" s="11" t="s">
        <v>49</v>
      </c>
      <c r="P3" s="11" t="s">
        <v>50</v>
      </c>
      <c r="Q3" s="11" t="s">
        <v>51</v>
      </c>
      <c r="R3" s="11" t="s">
        <v>61</v>
      </c>
    </row>
    <row r="4" spans="1:18" ht="13.5" customHeight="1" x14ac:dyDescent="0.4">
      <c r="A4" s="41" t="s">
        <v>20</v>
      </c>
      <c r="B4" s="8" t="s">
        <v>14</v>
      </c>
      <c r="C4" s="8">
        <v>27</v>
      </c>
      <c r="D4" s="8">
        <v>27</v>
      </c>
      <c r="E4" s="8">
        <v>27</v>
      </c>
      <c r="F4" s="36">
        <v>40</v>
      </c>
      <c r="G4" s="36">
        <v>40</v>
      </c>
      <c r="H4" s="20">
        <v>40</v>
      </c>
      <c r="I4" s="23">
        <v>40</v>
      </c>
      <c r="J4" s="8"/>
      <c r="K4" s="8"/>
      <c r="L4" s="8"/>
      <c r="M4" s="8"/>
      <c r="N4" s="8"/>
      <c r="O4" s="8"/>
      <c r="P4" s="8"/>
      <c r="Q4" s="8"/>
      <c r="R4" s="8"/>
    </row>
    <row r="5" spans="1:18" ht="13.5" customHeight="1" x14ac:dyDescent="0.4">
      <c r="A5" s="42"/>
      <c r="B5" s="8" t="s">
        <v>15</v>
      </c>
      <c r="C5" s="8">
        <v>19.5</v>
      </c>
      <c r="D5" s="8">
        <v>19.5</v>
      </c>
      <c r="E5" s="8">
        <v>19.5</v>
      </c>
      <c r="F5" s="36">
        <v>27.7</v>
      </c>
      <c r="G5" s="36">
        <v>27.7</v>
      </c>
      <c r="H5" s="20">
        <v>27.7</v>
      </c>
      <c r="I5" s="23">
        <v>27.7</v>
      </c>
      <c r="J5" s="8"/>
      <c r="K5" s="8"/>
      <c r="L5" s="8"/>
      <c r="M5" s="8"/>
      <c r="N5" s="8"/>
      <c r="O5" s="8"/>
      <c r="P5" s="8"/>
      <c r="Q5" s="8"/>
      <c r="R5" s="8"/>
    </row>
    <row r="6" spans="1:18" ht="13.5" customHeight="1" x14ac:dyDescent="0.4">
      <c r="A6" s="42"/>
      <c r="B6" s="8" t="s">
        <v>16</v>
      </c>
      <c r="C6" s="8">
        <v>30</v>
      </c>
      <c r="D6" s="18">
        <v>30</v>
      </c>
      <c r="E6" s="18">
        <v>30</v>
      </c>
      <c r="F6" s="36">
        <v>40</v>
      </c>
      <c r="G6" s="36">
        <v>40</v>
      </c>
      <c r="H6" s="20">
        <v>40</v>
      </c>
      <c r="I6" s="23">
        <v>40</v>
      </c>
      <c r="J6" s="8"/>
      <c r="K6" s="8"/>
      <c r="L6" s="8"/>
      <c r="M6" s="8"/>
      <c r="N6" s="8"/>
      <c r="O6" s="8"/>
      <c r="P6" s="8"/>
      <c r="Q6" s="8"/>
      <c r="R6" s="8"/>
    </row>
    <row r="7" spans="1:18" ht="13.5" customHeight="1" x14ac:dyDescent="0.4">
      <c r="A7" s="43"/>
      <c r="B7" s="8" t="s">
        <v>17</v>
      </c>
      <c r="C7" s="8">
        <v>20.6</v>
      </c>
      <c r="D7" s="18">
        <v>20.6</v>
      </c>
      <c r="E7" s="18">
        <v>20.3</v>
      </c>
      <c r="F7" s="36">
        <v>27.7</v>
      </c>
      <c r="G7" s="36">
        <v>27.7</v>
      </c>
      <c r="H7" s="20">
        <v>27.7</v>
      </c>
      <c r="I7" s="23">
        <v>27.7</v>
      </c>
      <c r="J7" s="8"/>
      <c r="K7" s="8"/>
      <c r="L7" s="8"/>
      <c r="M7" s="8"/>
      <c r="N7" s="8"/>
      <c r="O7" s="8"/>
      <c r="P7" s="8"/>
      <c r="Q7" s="8"/>
      <c r="R7" s="8"/>
    </row>
    <row r="8" spans="1:18" x14ac:dyDescent="0.4">
      <c r="A8" s="44" t="s">
        <v>52</v>
      </c>
      <c r="B8" s="3" t="s">
        <v>0</v>
      </c>
      <c r="C8" s="3">
        <v>2.14</v>
      </c>
      <c r="D8" s="3">
        <v>2.13</v>
      </c>
      <c r="E8" s="3">
        <v>3.56</v>
      </c>
      <c r="F8" s="37">
        <v>32.82</v>
      </c>
      <c r="G8" s="37">
        <v>22.27</v>
      </c>
      <c r="H8" s="3">
        <v>23.88</v>
      </c>
      <c r="I8" s="3">
        <v>18.399999999999999</v>
      </c>
      <c r="J8" s="3"/>
      <c r="K8" s="3"/>
      <c r="L8" s="3"/>
      <c r="M8" s="3"/>
      <c r="N8" s="3"/>
      <c r="O8" s="3"/>
      <c r="P8" s="3"/>
      <c r="Q8" s="3"/>
      <c r="R8" s="3"/>
    </row>
    <row r="9" spans="1:18" x14ac:dyDescent="0.4">
      <c r="A9" s="45"/>
      <c r="B9" s="3" t="s">
        <v>1</v>
      </c>
      <c r="C9" s="3">
        <v>117.39</v>
      </c>
      <c r="D9" s="3">
        <v>113.08</v>
      </c>
      <c r="E9" s="3">
        <v>106.55</v>
      </c>
      <c r="F9" s="37">
        <v>136.13999999999999</v>
      </c>
      <c r="G9" s="37">
        <v>139.13999999999999</v>
      </c>
      <c r="H9" s="3">
        <v>133.18</v>
      </c>
      <c r="I9" s="3">
        <v>138.57</v>
      </c>
      <c r="J9" s="3"/>
      <c r="K9" s="3"/>
      <c r="L9" s="3"/>
      <c r="M9" s="3"/>
      <c r="N9" s="3"/>
      <c r="O9" s="3"/>
      <c r="P9" s="3"/>
      <c r="Q9" s="3"/>
      <c r="R9" s="3"/>
    </row>
    <row r="10" spans="1:18" x14ac:dyDescent="0.4">
      <c r="A10" s="45"/>
      <c r="B10" s="3" t="s">
        <v>2</v>
      </c>
      <c r="C10" s="28">
        <v>115.77</v>
      </c>
      <c r="D10" s="28">
        <v>110.38</v>
      </c>
      <c r="E10" s="28">
        <v>105.68</v>
      </c>
      <c r="F10" s="37">
        <v>134.88999999999999</v>
      </c>
      <c r="G10" s="37">
        <v>135.57</v>
      </c>
      <c r="H10" s="3">
        <v>130.94</v>
      </c>
      <c r="I10" s="3">
        <v>135.09</v>
      </c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4">
      <c r="A11" s="45"/>
      <c r="B11" s="3" t="s">
        <v>3</v>
      </c>
      <c r="C11" s="3">
        <v>32.21</v>
      </c>
      <c r="D11" s="3"/>
      <c r="E11" s="3"/>
      <c r="F11" s="37">
        <v>44.34</v>
      </c>
      <c r="G11" s="37">
        <v>45.96</v>
      </c>
      <c r="H11" s="3">
        <v>46.64</v>
      </c>
      <c r="I11" s="3">
        <v>44.08</v>
      </c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4">
      <c r="A12" s="45"/>
      <c r="B12" s="3" t="s">
        <v>7</v>
      </c>
      <c r="C12" s="3">
        <v>32.450000000000003</v>
      </c>
      <c r="D12" s="3">
        <v>31.74</v>
      </c>
      <c r="E12" s="3">
        <v>31.44</v>
      </c>
      <c r="F12" s="37">
        <v>44.23</v>
      </c>
      <c r="G12" s="37">
        <v>45.74</v>
      </c>
      <c r="H12" s="3">
        <v>46.33</v>
      </c>
      <c r="I12" s="3">
        <v>43.83</v>
      </c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4">
      <c r="A13" s="45"/>
      <c r="B13" s="3" t="s">
        <v>6</v>
      </c>
      <c r="C13" s="3">
        <v>30.59</v>
      </c>
      <c r="D13" s="3">
        <v>30.38</v>
      </c>
      <c r="E13" s="3">
        <v>30.27</v>
      </c>
      <c r="F13" s="37">
        <v>30.61</v>
      </c>
      <c r="G13" s="37">
        <v>35.67</v>
      </c>
      <c r="H13" s="3">
        <v>36.72</v>
      </c>
      <c r="I13" s="3">
        <v>36.36</v>
      </c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4">
      <c r="A14" s="45"/>
      <c r="B14" s="4" t="s">
        <v>4</v>
      </c>
      <c r="C14" s="3">
        <v>30.12</v>
      </c>
      <c r="D14" s="3">
        <v>29.77</v>
      </c>
      <c r="E14" s="3">
        <v>29.54</v>
      </c>
      <c r="F14" s="37">
        <v>31.22</v>
      </c>
      <c r="G14" s="37">
        <v>35.46</v>
      </c>
      <c r="H14" s="3">
        <v>36.93</v>
      </c>
      <c r="I14" s="3">
        <v>23.82</v>
      </c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4">
      <c r="A15" s="45"/>
      <c r="B15" s="4" t="s">
        <v>5</v>
      </c>
      <c r="C15" s="3">
        <v>5.28</v>
      </c>
      <c r="D15" s="3">
        <v>4.4800000000000004</v>
      </c>
      <c r="E15" s="3">
        <v>5.08</v>
      </c>
      <c r="F15" s="37">
        <v>13.55</v>
      </c>
      <c r="G15" s="37">
        <v>12.48</v>
      </c>
      <c r="H15" s="3">
        <v>13.31</v>
      </c>
      <c r="I15" s="3">
        <v>5.54</v>
      </c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4">
      <c r="A16" s="45"/>
      <c r="B16" s="4" t="s">
        <v>56</v>
      </c>
      <c r="C16" s="3">
        <v>5.4</v>
      </c>
      <c r="D16" s="3">
        <v>4.72</v>
      </c>
      <c r="E16" s="3">
        <v>5.5</v>
      </c>
      <c r="F16" s="37">
        <v>13.81</v>
      </c>
      <c r="G16" s="37">
        <v>12.45</v>
      </c>
      <c r="H16" s="3">
        <v>13.25</v>
      </c>
      <c r="I16" s="3">
        <v>5.67</v>
      </c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4">
      <c r="A17" s="45"/>
      <c r="B17" s="4" t="s">
        <v>27</v>
      </c>
      <c r="C17" s="3">
        <v>2.38</v>
      </c>
      <c r="D17" s="3">
        <v>2.2200000000000002</v>
      </c>
      <c r="E17" s="3">
        <v>3.79</v>
      </c>
      <c r="F17" s="37">
        <v>11.5</v>
      </c>
      <c r="G17" s="37">
        <v>7.82</v>
      </c>
      <c r="H17" s="3">
        <v>8.39</v>
      </c>
      <c r="I17" s="3">
        <v>0.35</v>
      </c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4">
      <c r="A18" s="45"/>
      <c r="B18" s="3" t="s">
        <v>8</v>
      </c>
      <c r="C18" s="3">
        <v>1.32</v>
      </c>
      <c r="D18" s="3">
        <v>1.34</v>
      </c>
      <c r="E18" s="3">
        <v>3.07</v>
      </c>
      <c r="F18" s="37">
        <v>10.57</v>
      </c>
      <c r="G18" s="37">
        <v>6.27</v>
      </c>
      <c r="H18" s="3">
        <v>6.75</v>
      </c>
      <c r="I18" s="3">
        <v>-1.51</v>
      </c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4">
      <c r="A19" s="45"/>
      <c r="B19" s="3" t="s">
        <v>9</v>
      </c>
      <c r="C19" s="3">
        <v>0.97</v>
      </c>
      <c r="D19" s="3">
        <v>1.08</v>
      </c>
      <c r="E19" s="3">
        <v>2.92</v>
      </c>
      <c r="F19" s="37">
        <v>10.39</v>
      </c>
      <c r="G19" s="37">
        <v>5.79</v>
      </c>
      <c r="H19" s="3">
        <v>6.3</v>
      </c>
      <c r="I19" s="3">
        <v>-1.81</v>
      </c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4">
      <c r="A20" s="45"/>
      <c r="B20" s="3" t="s">
        <v>10</v>
      </c>
      <c r="C20" s="3">
        <v>7.22</v>
      </c>
      <c r="D20" s="3">
        <v>8.5299999999999994</v>
      </c>
      <c r="E20" s="3">
        <v>10.95</v>
      </c>
      <c r="F20" s="37">
        <v>8.6199999999999992</v>
      </c>
      <c r="G20" s="37">
        <v>4.29</v>
      </c>
      <c r="H20" s="3">
        <v>4.46</v>
      </c>
      <c r="I20" s="3">
        <v>-2.39</v>
      </c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4">
      <c r="A21" s="46"/>
      <c r="B21" s="3" t="s">
        <v>11</v>
      </c>
      <c r="C21" s="3">
        <v>31.76</v>
      </c>
      <c r="D21" s="3">
        <v>4.4800000000000004</v>
      </c>
      <c r="E21" s="3">
        <v>30.9</v>
      </c>
      <c r="F21" s="37">
        <v>34.61</v>
      </c>
      <c r="G21" s="37">
        <v>38.81</v>
      </c>
      <c r="H21" s="3">
        <v>39.24</v>
      </c>
      <c r="I21" s="3">
        <v>39.659999999999997</v>
      </c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4">
      <c r="A22" s="47" t="s">
        <v>53</v>
      </c>
      <c r="B22" s="2" t="s">
        <v>13</v>
      </c>
      <c r="C22" s="9">
        <v>3.39</v>
      </c>
      <c r="D22" s="9">
        <v>3.42</v>
      </c>
      <c r="E22" s="9">
        <v>3.56</v>
      </c>
      <c r="F22" s="38">
        <v>4.26</v>
      </c>
      <c r="G22" s="38">
        <v>3.78</v>
      </c>
      <c r="H22" s="9">
        <v>3.8</v>
      </c>
      <c r="I22" s="9">
        <v>3.11</v>
      </c>
      <c r="J22" s="9"/>
      <c r="K22" s="9"/>
      <c r="L22" s="9"/>
      <c r="M22" s="9"/>
      <c r="N22" s="9"/>
      <c r="O22" s="9"/>
      <c r="P22" s="9"/>
      <c r="Q22" s="9"/>
      <c r="R22" s="9"/>
    </row>
    <row r="23" spans="1:18" x14ac:dyDescent="0.4">
      <c r="A23" s="48"/>
      <c r="B23" s="2" t="s">
        <v>62</v>
      </c>
      <c r="C23" s="9">
        <v>11.81</v>
      </c>
      <c r="D23" s="9">
        <v>11.82</v>
      </c>
      <c r="E23" s="9">
        <v>11.84</v>
      </c>
      <c r="F23" s="38">
        <v>11.9</v>
      </c>
      <c r="G23" s="38">
        <v>11.99</v>
      </c>
      <c r="H23" s="9">
        <v>11.48</v>
      </c>
      <c r="I23" s="9">
        <v>10.46</v>
      </c>
      <c r="J23" s="9"/>
      <c r="K23" s="9"/>
      <c r="L23" s="9"/>
      <c r="M23" s="9"/>
      <c r="N23" s="9"/>
      <c r="O23" s="9"/>
      <c r="P23" s="9"/>
      <c r="Q23" s="9"/>
      <c r="R23" s="9"/>
    </row>
    <row r="24" spans="1:18" x14ac:dyDescent="0.4">
      <c r="A24" s="48"/>
      <c r="B24" s="22" t="s">
        <v>63</v>
      </c>
      <c r="C24" s="9">
        <v>11.582000000000001</v>
      </c>
      <c r="D24" s="9">
        <v>11.656000000000001</v>
      </c>
      <c r="E24" s="9">
        <v>11.525</v>
      </c>
      <c r="F24" s="38">
        <v>11.773</v>
      </c>
      <c r="G24" s="38">
        <v>11.673</v>
      </c>
      <c r="H24" s="9">
        <v>10.946999999999999</v>
      </c>
      <c r="I24" s="9">
        <v>10.074</v>
      </c>
      <c r="J24" s="9"/>
      <c r="K24" s="9"/>
      <c r="L24" s="9"/>
      <c r="M24" s="9"/>
      <c r="N24" s="9"/>
      <c r="O24" s="9"/>
      <c r="P24" s="9"/>
      <c r="Q24" s="9"/>
      <c r="R24" s="9"/>
    </row>
    <row r="25" spans="1:18" x14ac:dyDescent="0.4">
      <c r="A25" s="48"/>
      <c r="B25" s="22" t="s">
        <v>64</v>
      </c>
      <c r="C25" s="9">
        <v>3.8929999999999998</v>
      </c>
      <c r="D25" s="9">
        <v>3.883</v>
      </c>
      <c r="E25" s="9">
        <v>3.9119999999999999</v>
      </c>
      <c r="F25" s="38">
        <v>4.8479999999999999</v>
      </c>
      <c r="G25" s="38">
        <v>4.6970000000000001</v>
      </c>
      <c r="H25" s="9">
        <v>4.7590000000000003</v>
      </c>
      <c r="I25" s="9">
        <v>3.9630000000000001</v>
      </c>
      <c r="J25" s="9"/>
      <c r="K25" s="9"/>
      <c r="L25" s="9"/>
      <c r="M25" s="9"/>
      <c r="N25" s="9"/>
      <c r="O25" s="9"/>
      <c r="P25" s="9"/>
      <c r="Q25" s="9"/>
      <c r="R25" s="9"/>
    </row>
    <row r="26" spans="1:18" x14ac:dyDescent="0.4">
      <c r="A26" s="48"/>
      <c r="B26" s="22" t="s">
        <v>59</v>
      </c>
      <c r="C26" s="9">
        <v>3.5489999999999999</v>
      </c>
      <c r="D26" s="9">
        <v>3.6070000000000002</v>
      </c>
      <c r="E26" s="9">
        <v>3.6360000000000001</v>
      </c>
      <c r="F26" s="38">
        <v>4.5529999999999999</v>
      </c>
      <c r="G26" s="38">
        <v>4.1390000000000002</v>
      </c>
      <c r="H26" s="9">
        <v>4.22</v>
      </c>
      <c r="I26" s="9">
        <v>3.4239999999999999</v>
      </c>
      <c r="J26" s="9"/>
      <c r="K26" s="9"/>
      <c r="L26" s="9"/>
      <c r="M26" s="9"/>
      <c r="N26" s="9"/>
      <c r="O26" s="9"/>
      <c r="P26" s="9"/>
      <c r="Q26" s="9"/>
      <c r="R26" s="9"/>
    </row>
    <row r="27" spans="1:18" s="9" customFormat="1" x14ac:dyDescent="0.4">
      <c r="A27" s="49" t="s">
        <v>58</v>
      </c>
      <c r="B27" s="9" t="s">
        <v>98</v>
      </c>
      <c r="C27" s="12">
        <v>345</v>
      </c>
      <c r="D27" s="12">
        <v>345</v>
      </c>
      <c r="E27" s="12">
        <v>345</v>
      </c>
      <c r="F27" s="34">
        <v>345</v>
      </c>
      <c r="G27" s="34">
        <v>345</v>
      </c>
      <c r="H27" s="12">
        <v>345</v>
      </c>
      <c r="I27" s="12">
        <v>345</v>
      </c>
      <c r="J27" s="12"/>
      <c r="K27" s="12"/>
      <c r="L27" s="12"/>
      <c r="M27" s="12"/>
      <c r="N27" s="12"/>
      <c r="O27" s="12"/>
      <c r="P27" s="12"/>
      <c r="Q27" s="12"/>
      <c r="R27" s="12"/>
    </row>
    <row r="28" spans="1:18" x14ac:dyDescent="0.4">
      <c r="A28" s="49"/>
      <c r="B28" s="12" t="s">
        <v>65</v>
      </c>
      <c r="C28" s="12">
        <v>9.3000000000000007</v>
      </c>
      <c r="D28" s="12">
        <v>7.8</v>
      </c>
      <c r="E28" s="12">
        <v>5.8</v>
      </c>
      <c r="F28" s="34">
        <v>10</v>
      </c>
      <c r="G28" s="34">
        <v>14.4</v>
      </c>
      <c r="H28" s="12">
        <v>13.8</v>
      </c>
      <c r="I28" s="12">
        <v>12.5</v>
      </c>
      <c r="J28" s="12"/>
      <c r="K28" s="12"/>
      <c r="L28" s="12"/>
      <c r="M28" s="12"/>
      <c r="N28" s="12"/>
      <c r="O28" s="12"/>
      <c r="P28" s="12"/>
      <c r="Q28" s="12"/>
      <c r="R28" s="12"/>
    </row>
    <row r="29" spans="1:18" x14ac:dyDescent="0.4">
      <c r="A29" s="49"/>
      <c r="B29" s="14" t="s">
        <v>54</v>
      </c>
      <c r="C29" s="12"/>
      <c r="D29" s="12"/>
      <c r="E29" s="12"/>
      <c r="F29" s="34"/>
      <c r="G29" s="34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  <row r="30" spans="1:18" s="6" customFormat="1" x14ac:dyDescent="0.4">
      <c r="A30" s="49"/>
      <c r="B30" s="12" t="s">
        <v>66</v>
      </c>
      <c r="C30" s="12">
        <v>4700</v>
      </c>
      <c r="D30" s="12">
        <v>4000</v>
      </c>
      <c r="E30" s="12">
        <v>3000</v>
      </c>
      <c r="F30" s="34">
        <v>5000</v>
      </c>
      <c r="G30" s="34">
        <v>7000</v>
      </c>
      <c r="H30" s="12">
        <v>7000</v>
      </c>
      <c r="I30" s="12">
        <v>7000</v>
      </c>
      <c r="J30" s="12"/>
      <c r="K30" s="12"/>
      <c r="L30" s="12"/>
      <c r="M30" s="12"/>
      <c r="N30" s="12"/>
      <c r="O30" s="12"/>
      <c r="P30" s="12"/>
      <c r="Q30" s="12"/>
      <c r="R30" s="12"/>
    </row>
    <row r="31" spans="1:18" x14ac:dyDescent="0.4">
      <c r="A31" s="49"/>
      <c r="B31" s="12" t="s">
        <v>67</v>
      </c>
      <c r="C31" s="12">
        <v>267</v>
      </c>
      <c r="D31" s="12">
        <v>262</v>
      </c>
      <c r="E31" s="12">
        <v>247</v>
      </c>
      <c r="F31" s="34">
        <v>275</v>
      </c>
      <c r="G31" s="34">
        <v>360</v>
      </c>
      <c r="H31" s="12">
        <v>460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</row>
    <row r="32" spans="1:18" ht="16.149999999999999" x14ac:dyDescent="0.4">
      <c r="A32" s="49"/>
      <c r="B32" s="12" t="s">
        <v>68</v>
      </c>
      <c r="C32" s="12">
        <v>118.7</v>
      </c>
      <c r="D32" s="12">
        <v>10.7</v>
      </c>
      <c r="E32" s="12">
        <v>89.6</v>
      </c>
      <c r="F32" s="34">
        <v>141.5</v>
      </c>
      <c r="G32" s="34">
        <v>180.5</v>
      </c>
      <c r="H32" s="12">
        <v>188.5</v>
      </c>
      <c r="I32" s="12">
        <v>151.4</v>
      </c>
      <c r="J32" s="12"/>
      <c r="K32" s="12"/>
      <c r="L32" s="12"/>
      <c r="M32" s="12"/>
      <c r="N32" s="12"/>
      <c r="O32" s="12"/>
      <c r="P32" s="12"/>
      <c r="Q32" s="12"/>
      <c r="R32" s="12"/>
    </row>
    <row r="33" spans="1:18" ht="16.149999999999999" x14ac:dyDescent="0.4">
      <c r="A33" s="49"/>
      <c r="B33" s="12" t="s">
        <v>69</v>
      </c>
      <c r="C33" s="12">
        <v>496.9</v>
      </c>
      <c r="D33" s="12">
        <v>419.661</v>
      </c>
      <c r="E33" s="12">
        <v>341.23</v>
      </c>
      <c r="F33" s="34">
        <v>482.05599999999998</v>
      </c>
      <c r="G33" s="34">
        <v>480.15</v>
      </c>
      <c r="H33" s="12">
        <v>481.95</v>
      </c>
      <c r="I33" s="12">
        <v>480.24200000000002</v>
      </c>
      <c r="J33" s="12"/>
      <c r="K33" s="12"/>
      <c r="L33" s="12"/>
      <c r="M33" s="12"/>
      <c r="N33" s="12"/>
      <c r="O33" s="12"/>
      <c r="P33" s="12"/>
      <c r="Q33" s="12"/>
      <c r="R33" s="12"/>
    </row>
    <row r="34" spans="1:18" x14ac:dyDescent="0.4">
      <c r="A34" s="49"/>
      <c r="B34" s="12" t="s">
        <v>70</v>
      </c>
      <c r="C34" s="12">
        <v>4454</v>
      </c>
      <c r="D34" s="12">
        <v>5365.64</v>
      </c>
      <c r="E34" s="12">
        <v>5365.83</v>
      </c>
      <c r="F34" s="34">
        <v>3681.69</v>
      </c>
      <c r="G34" s="34">
        <v>3691.86</v>
      </c>
      <c r="H34" s="12">
        <v>3668.74</v>
      </c>
      <c r="I34" s="12">
        <v>5473.87</v>
      </c>
      <c r="J34" s="12"/>
      <c r="K34" s="12"/>
      <c r="L34" s="12"/>
      <c r="M34" s="12"/>
      <c r="N34" s="12"/>
      <c r="O34" s="12"/>
      <c r="P34" s="12"/>
      <c r="Q34" s="12"/>
      <c r="R34" s="12"/>
    </row>
    <row r="35" spans="1:18" x14ac:dyDescent="0.4">
      <c r="A35" s="49"/>
      <c r="B35" s="12" t="s">
        <v>71</v>
      </c>
      <c r="C35" s="12">
        <v>4668</v>
      </c>
      <c r="D35" s="12">
        <v>4268.9399999999996</v>
      </c>
      <c r="E35" s="12">
        <v>3586</v>
      </c>
      <c r="F35" s="34">
        <v>5548.06</v>
      </c>
      <c r="G35" s="34">
        <v>6332.99</v>
      </c>
      <c r="H35" s="12">
        <v>6220.53</v>
      </c>
      <c r="I35" s="12">
        <v>4770.22</v>
      </c>
      <c r="J35" s="12"/>
      <c r="K35" s="12"/>
      <c r="L35" s="12"/>
      <c r="M35" s="12"/>
      <c r="N35" s="12"/>
      <c r="O35" s="12"/>
      <c r="P35" s="12"/>
      <c r="Q35" s="12"/>
      <c r="R35" s="12"/>
    </row>
    <row r="36" spans="1:18" x14ac:dyDescent="0.4">
      <c r="A36" s="49"/>
      <c r="B36" s="12" t="s">
        <v>72</v>
      </c>
      <c r="C36" s="12">
        <f t="shared" ref="C36:I36" si="0">C27*C28</f>
        <v>3208.5000000000005</v>
      </c>
      <c r="D36" s="12">
        <f t="shared" si="0"/>
        <v>2691</v>
      </c>
      <c r="E36" s="12">
        <f t="shared" si="0"/>
        <v>2001</v>
      </c>
      <c r="F36" s="34">
        <f t="shared" si="0"/>
        <v>3450</v>
      </c>
      <c r="G36" s="34">
        <f t="shared" si="0"/>
        <v>4968</v>
      </c>
      <c r="H36" s="12">
        <f t="shared" si="0"/>
        <v>4761</v>
      </c>
      <c r="I36" s="12">
        <f t="shared" si="0"/>
        <v>4312.5</v>
      </c>
      <c r="J36" s="12"/>
      <c r="K36" s="12"/>
      <c r="L36" s="12"/>
      <c r="M36" s="12"/>
      <c r="N36" s="12"/>
      <c r="O36" s="12"/>
      <c r="P36" s="12"/>
      <c r="Q36" s="12"/>
      <c r="R36" s="12"/>
    </row>
    <row r="37" spans="1:18" x14ac:dyDescent="0.4">
      <c r="A37" s="49"/>
      <c r="B37" s="12" t="s">
        <v>73</v>
      </c>
      <c r="C37" s="12">
        <f t="shared" ref="C37:I37" si="1">C35/C36</f>
        <v>1.4548854604955586</v>
      </c>
      <c r="D37" s="12">
        <f t="shared" si="1"/>
        <v>1.5863768115942027</v>
      </c>
      <c r="E37" s="12">
        <f t="shared" si="1"/>
        <v>1.792103948025987</v>
      </c>
      <c r="F37" s="34">
        <f t="shared" si="1"/>
        <v>1.6081333333333334</v>
      </c>
      <c r="G37" s="34">
        <f t="shared" si="1"/>
        <v>1.2747564412238326</v>
      </c>
      <c r="H37" s="12">
        <f t="shared" si="1"/>
        <v>1.3065595463137996</v>
      </c>
      <c r="I37" s="12">
        <f t="shared" si="1"/>
        <v>1.1061379710144927</v>
      </c>
      <c r="J37" s="12"/>
      <c r="K37" s="12"/>
      <c r="L37" s="12"/>
      <c r="M37" s="12"/>
      <c r="N37" s="12"/>
      <c r="O37" s="12"/>
      <c r="P37" s="12"/>
      <c r="Q37" s="12"/>
      <c r="R37" s="12"/>
    </row>
    <row r="38" spans="1:18" x14ac:dyDescent="0.4">
      <c r="A38" s="49"/>
      <c r="B38" s="12" t="s">
        <v>74</v>
      </c>
      <c r="C38" s="12" t="e">
        <f>#REF!/C36</f>
        <v>#REF!</v>
      </c>
      <c r="D38" s="12" t="e">
        <f>#REF!/D36</f>
        <v>#REF!</v>
      </c>
      <c r="E38" s="12" t="e">
        <f>#REF!/E36</f>
        <v>#REF!</v>
      </c>
      <c r="F38" s="34" t="e">
        <f>#REF!/F36</f>
        <v>#REF!</v>
      </c>
      <c r="G38" s="34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1:18" x14ac:dyDescent="0.4">
      <c r="A39" s="49"/>
      <c r="B39" s="12" t="s">
        <v>55</v>
      </c>
      <c r="C39" s="12">
        <v>9.0500000000000007</v>
      </c>
      <c r="D39" s="12">
        <v>8.2200000000000006</v>
      </c>
      <c r="E39" s="12"/>
      <c r="F39" s="34">
        <v>19.02</v>
      </c>
      <c r="G39" s="34">
        <v>17.260000000000002</v>
      </c>
      <c r="H39" s="12">
        <v>17.55</v>
      </c>
      <c r="I39" s="12">
        <v>8.58</v>
      </c>
      <c r="J39" s="12"/>
      <c r="K39" s="12"/>
      <c r="L39" s="12"/>
      <c r="M39" s="12"/>
      <c r="N39" s="12"/>
      <c r="O39" s="12"/>
      <c r="P39" s="12"/>
      <c r="Q39" s="12"/>
      <c r="R39" s="12"/>
    </row>
    <row r="40" spans="1:18" x14ac:dyDescent="0.4">
      <c r="A40" s="49"/>
      <c r="B40" s="12" t="s">
        <v>75</v>
      </c>
      <c r="C40" s="12">
        <v>8.9</v>
      </c>
      <c r="D40" s="12">
        <v>8.1199999999999992</v>
      </c>
      <c r="E40" s="12"/>
      <c r="F40" s="34">
        <v>18.39</v>
      </c>
      <c r="G40" s="34">
        <v>16.71</v>
      </c>
      <c r="H40" s="12">
        <v>16.989999999999998</v>
      </c>
      <c r="I40" s="12">
        <v>8.33</v>
      </c>
      <c r="J40" s="12"/>
      <c r="K40" s="12"/>
      <c r="L40" s="12"/>
      <c r="M40" s="12"/>
      <c r="N40" s="12"/>
      <c r="O40" s="12"/>
      <c r="P40" s="12"/>
      <c r="Q40" s="12"/>
      <c r="R40" s="12"/>
    </row>
    <row r="41" spans="1:18" x14ac:dyDescent="0.4">
      <c r="A41" s="49"/>
      <c r="B41" s="12" t="s">
        <v>76</v>
      </c>
      <c r="C41" s="12">
        <v>37.15</v>
      </c>
      <c r="D41" s="12">
        <v>35.630000000000003</v>
      </c>
      <c r="E41" s="12"/>
      <c r="F41" s="34">
        <v>49.83</v>
      </c>
      <c r="G41" s="34">
        <v>51.68</v>
      </c>
      <c r="H41" s="12">
        <v>51.63</v>
      </c>
      <c r="I41" s="12">
        <v>47.29</v>
      </c>
      <c r="J41" s="12"/>
      <c r="K41" s="12"/>
      <c r="L41" s="12"/>
      <c r="M41" s="12"/>
      <c r="N41" s="12"/>
      <c r="O41" s="12"/>
      <c r="P41" s="12"/>
      <c r="Q41" s="12"/>
      <c r="R41" s="12"/>
    </row>
    <row r="42" spans="1:18" x14ac:dyDescent="0.4">
      <c r="A42" s="49"/>
      <c r="B42" s="12" t="s">
        <v>77</v>
      </c>
      <c r="C42" s="12">
        <v>27.98</v>
      </c>
      <c r="D42" s="12">
        <v>27.18</v>
      </c>
      <c r="E42" s="12"/>
      <c r="F42" s="34">
        <v>32.53</v>
      </c>
      <c r="G42" s="34">
        <v>33.06</v>
      </c>
      <c r="H42" s="12">
        <v>32.92</v>
      </c>
      <c r="I42" s="12">
        <v>31.79</v>
      </c>
      <c r="J42" s="12"/>
      <c r="K42" s="12"/>
      <c r="L42" s="12"/>
      <c r="M42" s="12"/>
      <c r="N42" s="12"/>
      <c r="O42" s="12"/>
      <c r="P42" s="12"/>
      <c r="Q42" s="12"/>
      <c r="R42" s="12"/>
    </row>
    <row r="43" spans="1:18" x14ac:dyDescent="0.4">
      <c r="A43" s="40" t="s">
        <v>104</v>
      </c>
      <c r="B43" s="25" t="s">
        <v>106</v>
      </c>
      <c r="C43" s="26">
        <f>C25-C26</f>
        <v>0.34399999999999986</v>
      </c>
      <c r="D43" s="26">
        <f t="shared" ref="D43:I43" si="2">D25-D26</f>
        <v>0.2759999999999998</v>
      </c>
      <c r="E43" s="26">
        <f t="shared" si="2"/>
        <v>0.2759999999999998</v>
      </c>
      <c r="F43" s="39">
        <f t="shared" si="2"/>
        <v>0.29499999999999993</v>
      </c>
      <c r="G43" s="39">
        <f t="shared" si="2"/>
        <v>0.55799999999999983</v>
      </c>
      <c r="H43" s="26">
        <f t="shared" si="2"/>
        <v>0.53900000000000059</v>
      </c>
      <c r="I43" s="26">
        <f t="shared" si="2"/>
        <v>0.53900000000000015</v>
      </c>
      <c r="J43" s="26"/>
      <c r="K43" s="26"/>
      <c r="L43" s="26"/>
      <c r="M43" s="26"/>
      <c r="N43" s="26"/>
      <c r="O43" s="26"/>
      <c r="P43" s="26"/>
      <c r="Q43" s="26"/>
      <c r="R43" s="26"/>
    </row>
    <row r="44" spans="1:18" x14ac:dyDescent="0.4">
      <c r="A44" s="40"/>
      <c r="B44" s="25" t="s">
        <v>102</v>
      </c>
      <c r="C44" s="26">
        <f t="shared" ref="C44:I44" si="3">C23-C24</f>
        <v>0.22799999999999976</v>
      </c>
      <c r="D44" s="26">
        <f t="shared" si="3"/>
        <v>0.1639999999999997</v>
      </c>
      <c r="E44" s="26">
        <f t="shared" si="3"/>
        <v>0.3149999999999995</v>
      </c>
      <c r="F44" s="39">
        <f t="shared" si="3"/>
        <v>0.12700000000000067</v>
      </c>
      <c r="G44" s="39">
        <f t="shared" si="3"/>
        <v>0.31700000000000017</v>
      </c>
      <c r="H44" s="26">
        <f t="shared" si="3"/>
        <v>0.53300000000000125</v>
      </c>
      <c r="I44" s="26">
        <f t="shared" si="3"/>
        <v>0.38600000000000101</v>
      </c>
      <c r="J44" s="26"/>
      <c r="K44" s="26"/>
      <c r="L44" s="26"/>
      <c r="M44" s="26"/>
      <c r="N44" s="26"/>
      <c r="O44" s="26"/>
      <c r="P44" s="26"/>
      <c r="Q44" s="26"/>
      <c r="R44" s="26"/>
    </row>
    <row r="45" spans="1:18" x14ac:dyDescent="0.4">
      <c r="A45" s="40"/>
      <c r="B45" s="25" t="s">
        <v>103</v>
      </c>
      <c r="C45" s="26">
        <f t="shared" ref="C45:I45" si="4">C26-C22</f>
        <v>0.15899999999999981</v>
      </c>
      <c r="D45" s="26">
        <f t="shared" si="4"/>
        <v>0.18700000000000028</v>
      </c>
      <c r="E45" s="26">
        <f t="shared" si="4"/>
        <v>7.6000000000000068E-2</v>
      </c>
      <c r="F45" s="39">
        <f t="shared" si="4"/>
        <v>0.29300000000000015</v>
      </c>
      <c r="G45" s="39">
        <f t="shared" si="4"/>
        <v>0.35900000000000043</v>
      </c>
      <c r="H45" s="26">
        <f t="shared" si="4"/>
        <v>0.41999999999999993</v>
      </c>
      <c r="I45" s="26">
        <f t="shared" si="4"/>
        <v>0.31400000000000006</v>
      </c>
      <c r="J45" s="26"/>
      <c r="K45" s="26"/>
      <c r="L45" s="26"/>
      <c r="M45" s="26"/>
      <c r="N45" s="26"/>
      <c r="O45" s="26"/>
      <c r="P45" s="26"/>
      <c r="Q45" s="26"/>
      <c r="R45" s="26"/>
    </row>
    <row r="46" spans="1:18" x14ac:dyDescent="0.4">
      <c r="A46" s="40"/>
      <c r="B46" s="25" t="s">
        <v>109</v>
      </c>
      <c r="C46" s="12">
        <v>9.0500000000000007</v>
      </c>
      <c r="D46" s="12">
        <v>8.2200000000000006</v>
      </c>
      <c r="E46" s="26"/>
      <c r="F46" s="34">
        <v>19.02</v>
      </c>
      <c r="G46" s="34">
        <v>17.260000000000002</v>
      </c>
      <c r="H46" s="12">
        <v>17.55</v>
      </c>
      <c r="I46" s="12">
        <v>8.58</v>
      </c>
      <c r="J46" s="26"/>
      <c r="K46" s="26"/>
      <c r="L46" s="26"/>
      <c r="M46" s="26"/>
      <c r="N46" s="26"/>
      <c r="O46" s="26"/>
      <c r="P46" s="26"/>
      <c r="Q46" s="26"/>
      <c r="R46" s="26"/>
    </row>
    <row r="47" spans="1:18" x14ac:dyDescent="0.4">
      <c r="A47" s="40"/>
      <c r="B47" s="21" t="s">
        <v>108</v>
      </c>
      <c r="C47" s="12">
        <v>4668</v>
      </c>
      <c r="D47" s="12">
        <v>4268.9399999999996</v>
      </c>
      <c r="E47" s="12">
        <v>3586</v>
      </c>
      <c r="F47" s="35"/>
      <c r="G47" s="35"/>
      <c r="H47" s="24"/>
      <c r="I47" s="24"/>
      <c r="J47" s="24"/>
      <c r="K47" s="26"/>
      <c r="L47" s="26"/>
      <c r="M47" s="26"/>
      <c r="N47" s="26"/>
      <c r="O47" s="26"/>
      <c r="P47" s="26"/>
      <c r="Q47" s="26"/>
      <c r="R47" s="26"/>
    </row>
    <row r="48" spans="1:18" x14ac:dyDescent="0.4">
      <c r="A48" s="40" t="s">
        <v>105</v>
      </c>
      <c r="B48" s="29" t="s">
        <v>101</v>
      </c>
      <c r="C48" s="30">
        <v>0.32300000000000001</v>
      </c>
      <c r="D48" s="31">
        <v>0.26400000000000001</v>
      </c>
      <c r="E48" s="30">
        <v>0.19800000000000001</v>
      </c>
      <c r="F48" s="35"/>
      <c r="G48" s="35"/>
      <c r="H48" s="30"/>
      <c r="I48" s="30"/>
      <c r="J48" s="30"/>
      <c r="K48" s="30"/>
      <c r="L48" s="30"/>
      <c r="M48" s="24"/>
      <c r="N48" s="24"/>
      <c r="O48" s="24"/>
      <c r="P48" s="24"/>
      <c r="Q48" s="24"/>
      <c r="R48" s="24"/>
    </row>
    <row r="49" spans="1:18" x14ac:dyDescent="0.4">
      <c r="A49" s="40"/>
      <c r="B49" s="29" t="s">
        <v>107</v>
      </c>
      <c r="C49" s="29">
        <v>3.5999999999999997E-2</v>
      </c>
      <c r="D49" s="32">
        <v>3.4000000000000002E-2</v>
      </c>
      <c r="E49" s="29">
        <v>3.2000000000000001E-2</v>
      </c>
      <c r="F49" s="39"/>
      <c r="G49" s="39"/>
      <c r="H49" s="29"/>
      <c r="I49" s="29"/>
      <c r="J49" s="29"/>
      <c r="K49" s="29"/>
      <c r="L49" s="29"/>
      <c r="M49" s="26"/>
      <c r="N49" s="26"/>
      <c r="O49" s="26"/>
      <c r="P49" s="26"/>
      <c r="Q49" s="26"/>
      <c r="R49" s="26"/>
    </row>
    <row r="50" spans="1:18" x14ac:dyDescent="0.4">
      <c r="A50" s="40"/>
      <c r="B50" s="29" t="s">
        <v>109</v>
      </c>
      <c r="C50" s="30">
        <v>7.95</v>
      </c>
      <c r="D50" s="31">
        <v>7.11</v>
      </c>
      <c r="E50" s="30">
        <v>6.27</v>
      </c>
      <c r="F50" s="35"/>
      <c r="G50" s="35"/>
      <c r="H50" s="30"/>
      <c r="I50" s="30"/>
      <c r="J50" s="30"/>
      <c r="K50" s="30"/>
      <c r="L50" s="30"/>
      <c r="M50" s="24"/>
      <c r="N50" s="24"/>
      <c r="O50" s="24"/>
      <c r="P50" s="24"/>
      <c r="Q50" s="24"/>
      <c r="R50" s="24"/>
    </row>
    <row r="51" spans="1:18" x14ac:dyDescent="0.4">
      <c r="A51" s="40"/>
      <c r="B51" s="29" t="s">
        <v>108</v>
      </c>
      <c r="C51" s="29">
        <v>5159</v>
      </c>
      <c r="D51" s="32">
        <v>4585</v>
      </c>
      <c r="E51" s="29">
        <v>3870</v>
      </c>
      <c r="F51" s="39"/>
      <c r="G51" s="39"/>
      <c r="H51" s="29"/>
      <c r="I51" s="29"/>
      <c r="J51" s="29"/>
      <c r="K51" s="29"/>
      <c r="L51" s="29"/>
      <c r="M51" s="26"/>
      <c r="N51" s="26"/>
      <c r="O51" s="26"/>
      <c r="P51" s="26"/>
      <c r="Q51" s="26"/>
      <c r="R51" s="26"/>
    </row>
    <row r="52" spans="1:18" x14ac:dyDescent="0.4">
      <c r="B52" s="25"/>
      <c r="C52" s="26">
        <v>500</v>
      </c>
      <c r="D52" s="27">
        <v>420</v>
      </c>
      <c r="E52" s="26">
        <v>340</v>
      </c>
      <c r="F52" s="39"/>
      <c r="G52" s="39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1:18" x14ac:dyDescent="0.4">
      <c r="C53"/>
      <c r="D53"/>
    </row>
    <row r="54" spans="1:18" x14ac:dyDescent="0.4">
      <c r="C54"/>
      <c r="D54"/>
    </row>
    <row r="55" spans="1:18" x14ac:dyDescent="0.4">
      <c r="C55"/>
      <c r="D55"/>
    </row>
    <row r="56" spans="1:18" x14ac:dyDescent="0.4">
      <c r="C56"/>
      <c r="D56"/>
    </row>
    <row r="57" spans="1:18" x14ac:dyDescent="0.4">
      <c r="C57"/>
      <c r="D57"/>
    </row>
    <row r="58" spans="1:18" x14ac:dyDescent="0.4">
      <c r="C58"/>
      <c r="D58"/>
    </row>
    <row r="59" spans="1:18" x14ac:dyDescent="0.4">
      <c r="C59"/>
      <c r="D59"/>
    </row>
    <row r="60" spans="1:18" x14ac:dyDescent="0.4">
      <c r="C60"/>
      <c r="D60"/>
    </row>
    <row r="61" spans="1:18" x14ac:dyDescent="0.4">
      <c r="C61"/>
      <c r="D61"/>
    </row>
    <row r="62" spans="1:18" x14ac:dyDescent="0.4">
      <c r="C62"/>
      <c r="D62"/>
    </row>
    <row r="63" spans="1:18" x14ac:dyDescent="0.4">
      <c r="C63"/>
      <c r="D63"/>
    </row>
    <row r="64" spans="1:18" x14ac:dyDescent="0.4">
      <c r="C64"/>
      <c r="D64"/>
    </row>
    <row r="65" spans="3:4" x14ac:dyDescent="0.4">
      <c r="C65"/>
      <c r="D65"/>
    </row>
    <row r="66" spans="3:4" x14ac:dyDescent="0.4">
      <c r="C66"/>
      <c r="D66"/>
    </row>
    <row r="67" spans="3:4" x14ac:dyDescent="0.4">
      <c r="C67"/>
      <c r="D67"/>
    </row>
    <row r="68" spans="3:4" x14ac:dyDescent="0.4">
      <c r="C68"/>
      <c r="D68"/>
    </row>
    <row r="69" spans="3:4" x14ac:dyDescent="0.4">
      <c r="C69"/>
      <c r="D69"/>
    </row>
    <row r="70" spans="3:4" x14ac:dyDescent="0.4">
      <c r="C70"/>
      <c r="D70"/>
    </row>
    <row r="71" spans="3:4" x14ac:dyDescent="0.4">
      <c r="C71"/>
      <c r="D71"/>
    </row>
    <row r="72" spans="3:4" x14ac:dyDescent="0.4">
      <c r="C72"/>
      <c r="D72"/>
    </row>
    <row r="73" spans="3:4" x14ac:dyDescent="0.4">
      <c r="C73"/>
      <c r="D73"/>
    </row>
    <row r="74" spans="3:4" x14ac:dyDescent="0.4">
      <c r="C74"/>
      <c r="D74"/>
    </row>
    <row r="75" spans="3:4" x14ac:dyDescent="0.4">
      <c r="C75"/>
      <c r="D75"/>
    </row>
    <row r="76" spans="3:4" x14ac:dyDescent="0.4">
      <c r="C76"/>
      <c r="D76"/>
    </row>
    <row r="77" spans="3:4" x14ac:dyDescent="0.4">
      <c r="C77"/>
      <c r="D77"/>
    </row>
    <row r="78" spans="3:4" x14ac:dyDescent="0.4">
      <c r="C78"/>
      <c r="D78"/>
    </row>
    <row r="79" spans="3:4" x14ac:dyDescent="0.4">
      <c r="C79"/>
      <c r="D79"/>
    </row>
    <row r="80" spans="3:4" x14ac:dyDescent="0.4">
      <c r="C80"/>
      <c r="D80"/>
    </row>
    <row r="81" spans="3:4" x14ac:dyDescent="0.4">
      <c r="C81"/>
      <c r="D81"/>
    </row>
    <row r="82" spans="3:4" x14ac:dyDescent="0.4">
      <c r="C82"/>
      <c r="D82"/>
    </row>
    <row r="83" spans="3:4" x14ac:dyDescent="0.4">
      <c r="C83"/>
      <c r="D83"/>
    </row>
    <row r="84" spans="3:4" x14ac:dyDescent="0.4">
      <c r="C84"/>
      <c r="D84"/>
    </row>
    <row r="85" spans="3:4" x14ac:dyDescent="0.4">
      <c r="C85"/>
      <c r="D85"/>
    </row>
    <row r="86" spans="3:4" x14ac:dyDescent="0.4">
      <c r="C86"/>
      <c r="D86"/>
    </row>
    <row r="87" spans="3:4" x14ac:dyDescent="0.4">
      <c r="C87"/>
      <c r="D87"/>
    </row>
    <row r="88" spans="3:4" x14ac:dyDescent="0.4">
      <c r="C88"/>
      <c r="D88"/>
    </row>
    <row r="89" spans="3:4" x14ac:dyDescent="0.4">
      <c r="C89"/>
      <c r="D89"/>
    </row>
    <row r="90" spans="3:4" x14ac:dyDescent="0.4">
      <c r="C90"/>
      <c r="D90"/>
    </row>
    <row r="91" spans="3:4" x14ac:dyDescent="0.4">
      <c r="C91"/>
      <c r="D91"/>
    </row>
    <row r="92" spans="3:4" x14ac:dyDescent="0.4">
      <c r="C92"/>
      <c r="D92"/>
    </row>
    <row r="93" spans="3:4" x14ac:dyDescent="0.4">
      <c r="C93"/>
      <c r="D93"/>
    </row>
    <row r="94" spans="3:4" x14ac:dyDescent="0.4">
      <c r="C94"/>
      <c r="D94"/>
    </row>
    <row r="95" spans="3:4" x14ac:dyDescent="0.4">
      <c r="C95"/>
      <c r="D95"/>
    </row>
    <row r="96" spans="3:4" x14ac:dyDescent="0.4">
      <c r="C96"/>
      <c r="D96"/>
    </row>
    <row r="97" spans="3:4" x14ac:dyDescent="0.4">
      <c r="C97"/>
      <c r="D97"/>
    </row>
    <row r="98" spans="3:4" x14ac:dyDescent="0.4">
      <c r="C98"/>
      <c r="D98"/>
    </row>
    <row r="99" spans="3:4" x14ac:dyDescent="0.4">
      <c r="C99"/>
      <c r="D99"/>
    </row>
    <row r="100" spans="3:4" x14ac:dyDescent="0.4">
      <c r="C100"/>
      <c r="D100"/>
    </row>
    <row r="101" spans="3:4" x14ac:dyDescent="0.4">
      <c r="C101"/>
      <c r="D101"/>
    </row>
    <row r="102" spans="3:4" x14ac:dyDescent="0.4">
      <c r="C102"/>
      <c r="D102"/>
    </row>
    <row r="103" spans="3:4" x14ac:dyDescent="0.4">
      <c r="C103"/>
      <c r="D103"/>
    </row>
    <row r="104" spans="3:4" x14ac:dyDescent="0.4">
      <c r="C104"/>
      <c r="D104"/>
    </row>
    <row r="105" spans="3:4" x14ac:dyDescent="0.4">
      <c r="C105"/>
      <c r="D105"/>
    </row>
    <row r="106" spans="3:4" x14ac:dyDescent="0.4">
      <c r="C106"/>
      <c r="D106"/>
    </row>
    <row r="107" spans="3:4" x14ac:dyDescent="0.4">
      <c r="C107"/>
      <c r="D107"/>
    </row>
    <row r="108" spans="3:4" x14ac:dyDescent="0.4">
      <c r="C108"/>
      <c r="D108"/>
    </row>
    <row r="109" spans="3:4" x14ac:dyDescent="0.4">
      <c r="C109"/>
      <c r="D109"/>
    </row>
    <row r="110" spans="3:4" x14ac:dyDescent="0.4">
      <c r="C110"/>
      <c r="D110"/>
    </row>
    <row r="111" spans="3:4" x14ac:dyDescent="0.4">
      <c r="C111"/>
      <c r="D111"/>
    </row>
    <row r="112" spans="3:4" x14ac:dyDescent="0.4">
      <c r="C112"/>
      <c r="D112"/>
    </row>
    <row r="113" spans="3:4" x14ac:dyDescent="0.4">
      <c r="C113"/>
      <c r="D113"/>
    </row>
    <row r="114" spans="3:4" x14ac:dyDescent="0.4">
      <c r="C114"/>
      <c r="D114"/>
    </row>
    <row r="115" spans="3:4" x14ac:dyDescent="0.4">
      <c r="C115"/>
      <c r="D115"/>
    </row>
    <row r="116" spans="3:4" x14ac:dyDescent="0.4">
      <c r="C116"/>
      <c r="D116"/>
    </row>
    <row r="117" spans="3:4" x14ac:dyDescent="0.4">
      <c r="C117"/>
      <c r="D117"/>
    </row>
    <row r="118" spans="3:4" x14ac:dyDescent="0.4">
      <c r="C118"/>
      <c r="D118"/>
    </row>
    <row r="119" spans="3:4" x14ac:dyDescent="0.4">
      <c r="C119"/>
      <c r="D119"/>
    </row>
    <row r="120" spans="3:4" x14ac:dyDescent="0.4">
      <c r="C120"/>
      <c r="D120"/>
    </row>
    <row r="121" spans="3:4" x14ac:dyDescent="0.4">
      <c r="C121"/>
      <c r="D121"/>
    </row>
    <row r="122" spans="3:4" x14ac:dyDescent="0.4">
      <c r="C122"/>
      <c r="D122"/>
    </row>
    <row r="123" spans="3:4" x14ac:dyDescent="0.4">
      <c r="C123"/>
      <c r="D123"/>
    </row>
    <row r="124" spans="3:4" x14ac:dyDescent="0.4">
      <c r="C124"/>
      <c r="D124"/>
    </row>
    <row r="125" spans="3:4" x14ac:dyDescent="0.4">
      <c r="C125"/>
      <c r="D125"/>
    </row>
    <row r="126" spans="3:4" x14ac:dyDescent="0.4">
      <c r="C126"/>
      <c r="D126"/>
    </row>
    <row r="127" spans="3:4" x14ac:dyDescent="0.4">
      <c r="C127"/>
      <c r="D127"/>
    </row>
    <row r="128" spans="3:4" x14ac:dyDescent="0.4">
      <c r="C128"/>
      <c r="D128"/>
    </row>
    <row r="129" spans="3:4" x14ac:dyDescent="0.4">
      <c r="C129"/>
      <c r="D129"/>
    </row>
    <row r="130" spans="3:4" x14ac:dyDescent="0.4">
      <c r="C130"/>
      <c r="D130"/>
    </row>
    <row r="131" spans="3:4" x14ac:dyDescent="0.4">
      <c r="C131"/>
      <c r="D131"/>
    </row>
    <row r="132" spans="3:4" x14ac:dyDescent="0.4">
      <c r="C132"/>
      <c r="D132"/>
    </row>
    <row r="133" spans="3:4" x14ac:dyDescent="0.4">
      <c r="C133"/>
      <c r="D133"/>
    </row>
    <row r="134" spans="3:4" x14ac:dyDescent="0.4">
      <c r="C134"/>
      <c r="D134"/>
    </row>
    <row r="135" spans="3:4" x14ac:dyDescent="0.4">
      <c r="C135"/>
      <c r="D135"/>
    </row>
    <row r="136" spans="3:4" x14ac:dyDescent="0.4">
      <c r="C136"/>
      <c r="D136"/>
    </row>
    <row r="137" spans="3:4" x14ac:dyDescent="0.4">
      <c r="C137"/>
      <c r="D137"/>
    </row>
    <row r="138" spans="3:4" x14ac:dyDescent="0.4">
      <c r="C138"/>
      <c r="D138"/>
    </row>
    <row r="139" spans="3:4" x14ac:dyDescent="0.4">
      <c r="C139"/>
      <c r="D139"/>
    </row>
    <row r="140" spans="3:4" x14ac:dyDescent="0.4">
      <c r="C140"/>
      <c r="D140"/>
    </row>
    <row r="141" spans="3:4" x14ac:dyDescent="0.4">
      <c r="C141"/>
      <c r="D141"/>
    </row>
    <row r="142" spans="3:4" x14ac:dyDescent="0.4">
      <c r="C142"/>
      <c r="D142"/>
    </row>
    <row r="143" spans="3:4" x14ac:dyDescent="0.4">
      <c r="C143"/>
      <c r="D143"/>
    </row>
    <row r="144" spans="3:4" x14ac:dyDescent="0.4">
      <c r="C144"/>
      <c r="D144"/>
    </row>
    <row r="145" spans="3:4" x14ac:dyDescent="0.4">
      <c r="C145"/>
      <c r="D145"/>
    </row>
    <row r="146" spans="3:4" x14ac:dyDescent="0.4">
      <c r="C146"/>
      <c r="D146"/>
    </row>
    <row r="147" spans="3:4" x14ac:dyDescent="0.4">
      <c r="C147"/>
      <c r="D147"/>
    </row>
    <row r="148" spans="3:4" x14ac:dyDescent="0.4">
      <c r="C148"/>
      <c r="D148"/>
    </row>
    <row r="149" spans="3:4" x14ac:dyDescent="0.4">
      <c r="C149"/>
      <c r="D149"/>
    </row>
    <row r="150" spans="3:4" x14ac:dyDescent="0.4">
      <c r="C150"/>
      <c r="D150"/>
    </row>
    <row r="151" spans="3:4" x14ac:dyDescent="0.4">
      <c r="C151"/>
      <c r="D151"/>
    </row>
    <row r="152" spans="3:4" x14ac:dyDescent="0.4">
      <c r="C152"/>
      <c r="D152"/>
    </row>
    <row r="153" spans="3:4" x14ac:dyDescent="0.4">
      <c r="C153"/>
      <c r="D153"/>
    </row>
    <row r="154" spans="3:4" x14ac:dyDescent="0.4">
      <c r="C154"/>
      <c r="D154"/>
    </row>
    <row r="155" spans="3:4" x14ac:dyDescent="0.4">
      <c r="C155"/>
      <c r="D155"/>
    </row>
    <row r="156" spans="3:4" x14ac:dyDescent="0.4">
      <c r="C156"/>
      <c r="D156"/>
    </row>
    <row r="157" spans="3:4" x14ac:dyDescent="0.4">
      <c r="C157"/>
      <c r="D157"/>
    </row>
    <row r="158" spans="3:4" x14ac:dyDescent="0.4">
      <c r="C158"/>
      <c r="D158"/>
    </row>
    <row r="159" spans="3:4" x14ac:dyDescent="0.4">
      <c r="C159"/>
      <c r="D159"/>
    </row>
    <row r="160" spans="3:4" x14ac:dyDescent="0.4">
      <c r="C160"/>
      <c r="D160"/>
    </row>
    <row r="161" spans="3:4" x14ac:dyDescent="0.4">
      <c r="C161"/>
      <c r="D161"/>
    </row>
    <row r="162" spans="3:4" x14ac:dyDescent="0.4">
      <c r="C162"/>
      <c r="D162"/>
    </row>
    <row r="163" spans="3:4" x14ac:dyDescent="0.4">
      <c r="C163"/>
      <c r="D163"/>
    </row>
  </sheetData>
  <mergeCells count="6">
    <mergeCell ref="A48:A51"/>
    <mergeCell ref="A4:A7"/>
    <mergeCell ref="A8:A21"/>
    <mergeCell ref="A22:A26"/>
    <mergeCell ref="A27:A42"/>
    <mergeCell ref="A43:A47"/>
  </mergeCells>
  <phoneticPr fontId="5" type="noConversion"/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3"/>
  <sheetViews>
    <sheetView workbookViewId="0">
      <selection activeCell="C5" sqref="C5"/>
    </sheetView>
  </sheetViews>
  <sheetFormatPr defaultRowHeight="13.9" x14ac:dyDescent="0.4"/>
  <cols>
    <col min="2" max="2" width="11.06640625" customWidth="1"/>
  </cols>
  <sheetData>
    <row r="1" spans="1:6" x14ac:dyDescent="0.4">
      <c r="B1" t="s">
        <v>78</v>
      </c>
      <c r="C1">
        <v>100.3</v>
      </c>
      <c r="D1">
        <v>104.7</v>
      </c>
      <c r="E1">
        <v>106.3</v>
      </c>
      <c r="F1">
        <v>131.19999999999999</v>
      </c>
    </row>
    <row r="2" spans="1:6" x14ac:dyDescent="0.4">
      <c r="A2" s="40" t="s">
        <v>79</v>
      </c>
      <c r="B2" t="s">
        <v>80</v>
      </c>
      <c r="C2">
        <f>Sheet2!C25-Sheet2!C26</f>
        <v>0.34399999999999986</v>
      </c>
      <c r="D2">
        <f>Sheet2!D25-Sheet2!D26</f>
        <v>0.2759999999999998</v>
      </c>
      <c r="E2">
        <f>Sheet2!E25-Sheet2!E26</f>
        <v>0.2759999999999998</v>
      </c>
      <c r="F2">
        <f>Sheet2!F24-Sheet2!F26</f>
        <v>7.22</v>
      </c>
    </row>
    <row r="3" spans="1:6" x14ac:dyDescent="0.4">
      <c r="A3" s="40"/>
      <c r="B3" t="s">
        <v>81</v>
      </c>
      <c r="C3" t="e">
        <f>Sheet2!C26-Sheet2!#REF!</f>
        <v>#REF!</v>
      </c>
      <c r="D3">
        <f>Sheet2!D25-Sheet2!D26</f>
        <v>0.2759999999999998</v>
      </c>
      <c r="E3">
        <f>Sheet2!E25-Sheet2!E26</f>
        <v>0.2759999999999998</v>
      </c>
      <c r="F3">
        <f>Sheet2!F24-Sheet2!F26</f>
        <v>7.22</v>
      </c>
    </row>
    <row r="4" spans="1:6" x14ac:dyDescent="0.4">
      <c r="A4" s="40"/>
      <c r="B4" t="s">
        <v>82</v>
      </c>
      <c r="C4" t="e">
        <f>Sheet2!#REF!-Sheet2!C22</f>
        <v>#REF!</v>
      </c>
      <c r="D4" t="e">
        <f>Sheet2!#REF!-Sheet2!D22</f>
        <v>#REF!</v>
      </c>
      <c r="E4" t="e">
        <f>Sheet2!#REF!-Sheet2!E22</f>
        <v>#REF!</v>
      </c>
      <c r="F4" t="e">
        <f>Sheet2!#REF!-Sheet2!F22</f>
        <v>#REF!</v>
      </c>
    </row>
    <row r="5" spans="1:6" x14ac:dyDescent="0.4">
      <c r="A5" s="40"/>
      <c r="B5" t="s">
        <v>100</v>
      </c>
      <c r="D5" t="e">
        <f>Sheet2!D23-Sheet2!#REF!</f>
        <v>#REF!</v>
      </c>
      <c r="E5" t="e">
        <f>Sheet2!E23-Sheet2!#REF!</f>
        <v>#REF!</v>
      </c>
      <c r="F5" t="e">
        <f>Sheet2!F23-Sheet2!#REF!</f>
        <v>#REF!</v>
      </c>
    </row>
    <row r="6" spans="1:6" x14ac:dyDescent="0.4">
      <c r="A6" s="40"/>
      <c r="B6" t="s">
        <v>99</v>
      </c>
    </row>
    <row r="7" spans="1:6" x14ac:dyDescent="0.4">
      <c r="A7" s="15"/>
    </row>
    <row r="27" spans="1:7" x14ac:dyDescent="0.4">
      <c r="B27" s="50" t="s">
        <v>83</v>
      </c>
      <c r="C27" s="50"/>
      <c r="D27" s="50" t="s">
        <v>84</v>
      </c>
      <c r="E27" s="50"/>
      <c r="F27" s="17" t="s">
        <v>85</v>
      </c>
    </row>
    <row r="28" spans="1:7" x14ac:dyDescent="0.4">
      <c r="A28" s="50" t="s">
        <v>86</v>
      </c>
      <c r="B28" s="16" t="s">
        <v>88</v>
      </c>
      <c r="C28" s="16" t="s">
        <v>79</v>
      </c>
      <c r="D28" s="16" t="s">
        <v>87</v>
      </c>
      <c r="E28" s="16" t="s">
        <v>79</v>
      </c>
      <c r="F28" s="16" t="s">
        <v>88</v>
      </c>
      <c r="G28" s="17"/>
    </row>
    <row r="29" spans="1:7" x14ac:dyDescent="0.4">
      <c r="A29" s="50"/>
      <c r="B29" s="16"/>
      <c r="C29" s="16"/>
      <c r="D29" s="16">
        <v>100.3</v>
      </c>
      <c r="E29" s="16">
        <v>0.29199999999999982</v>
      </c>
      <c r="F29" s="16"/>
      <c r="G29" s="16" t="s">
        <v>79</v>
      </c>
    </row>
    <row r="30" spans="1:7" x14ac:dyDescent="0.4">
      <c r="A30" s="50"/>
      <c r="B30" s="16">
        <v>99</v>
      </c>
      <c r="C30" s="16">
        <v>0.53900000000000015</v>
      </c>
      <c r="D30" s="16">
        <v>104.7</v>
      </c>
      <c r="E30" s="16">
        <v>0.32200000000000006</v>
      </c>
      <c r="F30" s="16"/>
      <c r="G30" s="16"/>
    </row>
    <row r="31" spans="1:7" x14ac:dyDescent="0.4">
      <c r="A31" s="50"/>
      <c r="B31" s="16">
        <v>105.2</v>
      </c>
      <c r="C31" s="16">
        <v>0.5950000000000002</v>
      </c>
      <c r="D31" s="16">
        <v>106.3</v>
      </c>
      <c r="E31" s="16">
        <v>0.33599999999999985</v>
      </c>
      <c r="F31" s="16">
        <v>106.19</v>
      </c>
      <c r="G31" s="16"/>
    </row>
    <row r="32" spans="1:7" x14ac:dyDescent="0.4">
      <c r="A32" s="50"/>
      <c r="B32" s="16">
        <v>128.1</v>
      </c>
      <c r="C32" s="16">
        <v>0.82499999999999973</v>
      </c>
      <c r="D32" s="16">
        <v>131.19999999999999</v>
      </c>
      <c r="E32" s="16">
        <v>0.5089999999999999</v>
      </c>
      <c r="F32" s="16">
        <v>118.92</v>
      </c>
      <c r="G32" s="16">
        <v>0.26400000000000001</v>
      </c>
    </row>
    <row r="33" spans="1:7" x14ac:dyDescent="0.4">
      <c r="A33" s="50"/>
      <c r="G33" s="16">
        <v>0.32400000000000001</v>
      </c>
    </row>
  </sheetData>
  <mergeCells count="4">
    <mergeCell ref="A2:A6"/>
    <mergeCell ref="B27:C27"/>
    <mergeCell ref="D27:E27"/>
    <mergeCell ref="A28:A33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N9"/>
  <sheetViews>
    <sheetView zoomScale="130" zoomScaleNormal="130" workbookViewId="0">
      <selection activeCell="B1" sqref="B1:L6"/>
    </sheetView>
  </sheetViews>
  <sheetFormatPr defaultRowHeight="13.9" x14ac:dyDescent="0.4"/>
  <sheetData>
    <row r="1" spans="2:14" x14ac:dyDescent="0.4">
      <c r="B1" s="52" t="s">
        <v>89</v>
      </c>
      <c r="C1" s="53"/>
      <c r="D1" s="53"/>
      <c r="E1" s="54"/>
      <c r="F1" s="51" t="s">
        <v>93</v>
      </c>
      <c r="G1" s="51"/>
      <c r="H1" s="51"/>
      <c r="I1" s="51"/>
      <c r="J1" s="52" t="s">
        <v>94</v>
      </c>
      <c r="K1" s="53"/>
      <c r="L1" s="54"/>
      <c r="M1" s="19"/>
      <c r="N1" s="13"/>
    </row>
    <row r="2" spans="2:14" x14ac:dyDescent="0.4">
      <c r="B2" s="16" t="s">
        <v>90</v>
      </c>
      <c r="C2" s="16" t="s">
        <v>95</v>
      </c>
      <c r="D2" s="16" t="s">
        <v>91</v>
      </c>
      <c r="E2" s="16" t="s">
        <v>92</v>
      </c>
      <c r="F2" s="10" t="s">
        <v>90</v>
      </c>
      <c r="G2" s="10" t="s">
        <v>96</v>
      </c>
      <c r="H2" s="10" t="s">
        <v>91</v>
      </c>
      <c r="I2" s="10" t="s">
        <v>92</v>
      </c>
      <c r="J2" s="16" t="s">
        <v>90</v>
      </c>
      <c r="K2" s="16" t="s">
        <v>97</v>
      </c>
      <c r="L2" s="16" t="s">
        <v>91</v>
      </c>
      <c r="M2" s="13"/>
    </row>
    <row r="3" spans="2:14" x14ac:dyDescent="0.4">
      <c r="B3" s="16">
        <v>302.07900000000001</v>
      </c>
      <c r="C3" s="16">
        <v>113</v>
      </c>
      <c r="D3" s="16">
        <v>2632.99</v>
      </c>
      <c r="E3" s="16">
        <v>0.61547218326320707</v>
      </c>
      <c r="F3" s="10">
        <v>297.30399999999997</v>
      </c>
      <c r="G3" s="10">
        <v>100.3</v>
      </c>
      <c r="H3" s="10">
        <v>3564.06</v>
      </c>
      <c r="I3" s="10">
        <v>1.2753837895866882</v>
      </c>
      <c r="J3" s="16">
        <v>200</v>
      </c>
      <c r="K3" s="16">
        <v>57.11</v>
      </c>
      <c r="L3" s="16">
        <v>2405</v>
      </c>
      <c r="M3" s="13"/>
    </row>
    <row r="4" spans="2:14" x14ac:dyDescent="0.4">
      <c r="B4" s="16">
        <v>420.173</v>
      </c>
      <c r="C4" s="16">
        <v>129.30000000000001</v>
      </c>
      <c r="D4" s="16">
        <v>4043.3</v>
      </c>
      <c r="E4" s="16">
        <v>1.0752046270442759</v>
      </c>
      <c r="F4" s="10">
        <v>421.09699999999998</v>
      </c>
      <c r="G4" s="10">
        <v>104.7</v>
      </c>
      <c r="H4" s="10">
        <v>4124.63</v>
      </c>
      <c r="I4" s="10">
        <v>1.4065234441602728</v>
      </c>
      <c r="J4" s="16">
        <v>340</v>
      </c>
      <c r="K4" s="16">
        <v>89.37</v>
      </c>
      <c r="L4" s="16">
        <v>3870</v>
      </c>
      <c r="M4" s="13"/>
    </row>
    <row r="5" spans="2:14" x14ac:dyDescent="0.4">
      <c r="B5" s="16">
        <v>420.57100000000003</v>
      </c>
      <c r="C5" s="16">
        <v>113.6</v>
      </c>
      <c r="D5" s="16">
        <v>3815.0230000000001</v>
      </c>
      <c r="E5" s="16">
        <v>1.3009456095481671</v>
      </c>
      <c r="F5" s="10">
        <v>503.90300000000002</v>
      </c>
      <c r="G5" s="10">
        <v>106.3</v>
      </c>
      <c r="H5" s="10">
        <v>4380.3999999999996</v>
      </c>
      <c r="I5" s="10">
        <v>1.4763734411863834</v>
      </c>
      <c r="J5" s="16">
        <v>420</v>
      </c>
      <c r="K5" s="16">
        <v>106.19</v>
      </c>
      <c r="L5" s="16">
        <v>4585</v>
      </c>
      <c r="M5" s="13"/>
    </row>
    <row r="6" spans="2:14" x14ac:dyDescent="0.4">
      <c r="B6" s="16"/>
      <c r="C6" s="16"/>
      <c r="D6" s="16"/>
      <c r="E6" s="16"/>
      <c r="F6" s="10">
        <v>505.52</v>
      </c>
      <c r="G6" s="10">
        <v>131.19999999999999</v>
      </c>
      <c r="H6" s="10">
        <v>5018.8</v>
      </c>
      <c r="I6" s="10">
        <v>1.3105627366496932</v>
      </c>
      <c r="J6" s="16">
        <v>500</v>
      </c>
      <c r="K6" s="16">
        <v>118.92</v>
      </c>
      <c r="L6" s="16">
        <v>5159</v>
      </c>
      <c r="M6" s="13"/>
    </row>
    <row r="7" spans="2:14" x14ac:dyDescent="0.4">
      <c r="B7" s="13"/>
      <c r="C7" s="13"/>
      <c r="D7" s="13"/>
      <c r="E7" s="13"/>
      <c r="F7" s="13"/>
      <c r="G7" s="13"/>
      <c r="I7" s="13"/>
      <c r="J7" s="13"/>
      <c r="L7" s="13"/>
      <c r="M7" s="13"/>
      <c r="N7" s="13"/>
    </row>
    <row r="8" spans="2:14" x14ac:dyDescent="0.4">
      <c r="B8" s="13"/>
      <c r="C8" s="13"/>
      <c r="D8" s="13"/>
      <c r="E8" s="13"/>
      <c r="F8" s="13"/>
      <c r="G8" s="13"/>
      <c r="I8" s="13"/>
      <c r="J8" s="13"/>
      <c r="L8" s="13"/>
      <c r="M8" s="13"/>
      <c r="N8" s="13"/>
    </row>
    <row r="9" spans="2:14" x14ac:dyDescent="0.4">
      <c r="B9" s="13"/>
      <c r="C9" s="13"/>
      <c r="D9" s="13"/>
      <c r="E9" s="13"/>
      <c r="F9" s="13"/>
      <c r="G9" s="13"/>
      <c r="I9" s="13"/>
      <c r="J9" s="13"/>
      <c r="L9" s="13"/>
      <c r="M9" s="13"/>
      <c r="N9" s="13"/>
    </row>
  </sheetData>
  <mergeCells count="3">
    <mergeCell ref="F1:I1"/>
    <mergeCell ref="B1:E1"/>
    <mergeCell ref="J1:L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压降分析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方健珉</dc:creator>
  <cp:lastModifiedBy>qhr</cp:lastModifiedBy>
  <dcterms:created xsi:type="dcterms:W3CDTF">2019-03-22T02:59:42Z</dcterms:created>
  <dcterms:modified xsi:type="dcterms:W3CDTF">2019-12-19T01:50:49Z</dcterms:modified>
</cp:coreProperties>
</file>