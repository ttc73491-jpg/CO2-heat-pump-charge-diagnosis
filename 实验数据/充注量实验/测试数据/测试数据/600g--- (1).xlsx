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发给东风\"/>
    </mc:Choice>
  </mc:AlternateContent>
  <xr:revisionPtr revIDLastSave="1223" documentId="114_{1DF1706E-5F94-4485-8455-D63EA265D2B2}" xr6:coauthVersionLast="45" xr6:coauthVersionMax="45" xr10:uidLastSave="{B7BDB47D-36A5-44AA-851E-4639BE3A3081}"/>
  <bookViews>
    <workbookView xWindow="-98" yWindow="-98" windowWidth="19396" windowHeight="103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4" i="1" l="1"/>
  <c r="S34" i="1"/>
  <c r="S35" i="1" s="1"/>
  <c r="V35" i="1" l="1"/>
  <c r="AO34" i="1"/>
  <c r="AO35" i="1" s="1"/>
  <c r="AP34" i="1"/>
  <c r="AP35" i="1" s="1"/>
  <c r="AQ34" i="1"/>
  <c r="AQ35" i="1" s="1"/>
  <c r="AR34" i="1"/>
  <c r="AS34" i="1"/>
  <c r="AU34" i="1"/>
  <c r="AV34" i="1"/>
  <c r="AW34" i="1"/>
  <c r="AX34" i="1"/>
  <c r="AY34" i="1"/>
  <c r="AZ34" i="1"/>
  <c r="BA34" i="1"/>
  <c r="BA35" i="1" s="1"/>
  <c r="BB34" i="1"/>
  <c r="BC34" i="1"/>
  <c r="BC35" i="1" s="1"/>
  <c r="BE34" i="1"/>
  <c r="BE35" i="1" s="1"/>
  <c r="BF34" i="1"/>
  <c r="BG34" i="1"/>
  <c r="BH34" i="1"/>
  <c r="BI34" i="1"/>
  <c r="BJ34" i="1"/>
  <c r="BK34" i="1"/>
  <c r="AN34" i="1"/>
  <c r="AN35" i="1" s="1"/>
  <c r="AM34" i="1"/>
  <c r="AM35" i="1" s="1"/>
  <c r="AU35" i="1" l="1"/>
  <c r="AR35" i="1"/>
  <c r="BB35" i="1"/>
  <c r="BF35" i="1"/>
  <c r="BI35" i="1"/>
  <c r="BH35" i="1"/>
  <c r="BG35" i="1"/>
  <c r="BK35" i="1"/>
  <c r="BJ35" i="1"/>
  <c r="AZ35" i="1"/>
  <c r="AY35" i="1"/>
  <c r="AX35" i="1"/>
  <c r="AW35" i="1"/>
  <c r="AV35" i="1"/>
  <c r="AS35" i="1"/>
  <c r="AB34" i="1"/>
  <c r="AB35" i="1" l="1"/>
  <c r="K34" i="1" l="1"/>
  <c r="L34" i="1"/>
  <c r="L35" i="1" s="1"/>
  <c r="F34" i="1"/>
  <c r="F35" i="1" s="1"/>
  <c r="D34" i="1"/>
  <c r="D35" i="1" s="1"/>
  <c r="K35" i="1" l="1"/>
  <c r="AI34" i="1" l="1"/>
  <c r="AJ34" i="1"/>
  <c r="AJ35" i="1" l="1"/>
  <c r="AF34" i="1"/>
  <c r="AL34" i="1"/>
  <c r="AK34" i="1"/>
  <c r="AI35" i="1"/>
  <c r="AC34" i="1"/>
  <c r="AD34" i="1"/>
  <c r="AE34" i="1"/>
  <c r="AG34" i="1"/>
  <c r="AH34" i="1"/>
  <c r="AL35" i="1" l="1"/>
  <c r="AK35" i="1"/>
  <c r="AE35" i="1"/>
  <c r="AH35" i="1"/>
  <c r="AF35" i="1"/>
  <c r="AG35" i="1"/>
  <c r="AC35" i="1"/>
  <c r="AD35" i="1"/>
  <c r="X34" i="1"/>
  <c r="Y34" i="1"/>
  <c r="AA34" i="1"/>
  <c r="X35" i="1" l="1"/>
  <c r="Y35" i="1"/>
  <c r="AA35" i="1"/>
  <c r="W34" i="1"/>
  <c r="W35" i="1" l="1"/>
  <c r="H34" i="1"/>
  <c r="I34" i="1"/>
  <c r="J34" i="1"/>
  <c r="G34" i="1"/>
  <c r="I35" i="1" l="1"/>
  <c r="J35" i="1"/>
  <c r="H35" i="1"/>
  <c r="G35" i="1"/>
  <c r="O34" i="1"/>
  <c r="P34" i="1"/>
  <c r="Q34" i="1"/>
  <c r="R34" i="1"/>
  <c r="O35" i="1" l="1"/>
  <c r="P35" i="1"/>
  <c r="R35" i="1"/>
  <c r="Q35" i="1"/>
  <c r="N34" i="1"/>
  <c r="T34" i="1"/>
  <c r="U34" i="1"/>
  <c r="E34" i="1"/>
  <c r="E35" i="1" s="1"/>
  <c r="C34" i="1"/>
  <c r="U35" i="1" l="1"/>
  <c r="N35" i="1"/>
  <c r="T35" i="1"/>
  <c r="C35" i="1"/>
</calcChain>
</file>

<file path=xl/sharedStrings.xml><?xml version="1.0" encoding="utf-8"?>
<sst xmlns="http://schemas.openxmlformats.org/spreadsheetml/2006/main" count="102" uniqueCount="47">
  <si>
    <t>日期</t>
    <phoneticPr fontId="6" type="noConversion"/>
  </si>
  <si>
    <t>类别</t>
    <phoneticPr fontId="6" type="noConversion"/>
  </si>
  <si>
    <t>项目</t>
    <phoneticPr fontId="6" type="noConversion"/>
  </si>
  <si>
    <t>不回热</t>
    <phoneticPr fontId="6" type="noConversion"/>
  </si>
  <si>
    <t>环境参数</t>
    <phoneticPr fontId="6" type="noConversion"/>
  </si>
  <si>
    <t>室内干球</t>
    <phoneticPr fontId="6" type="noConversion"/>
  </si>
  <si>
    <t>室内湿球</t>
    <phoneticPr fontId="6" type="noConversion"/>
  </si>
  <si>
    <t>室外干球</t>
    <phoneticPr fontId="6" type="noConversion"/>
  </si>
  <si>
    <t>室外湿球</t>
    <phoneticPr fontId="6" type="noConversion"/>
  </si>
  <si>
    <t>温度/℃</t>
    <phoneticPr fontId="6" type="noConversion"/>
  </si>
  <si>
    <t>吸气温度</t>
    <phoneticPr fontId="6" type="noConversion"/>
  </si>
  <si>
    <t>排气温度</t>
    <phoneticPr fontId="6" type="noConversion"/>
  </si>
  <si>
    <t>室外换热进口</t>
    <phoneticPr fontId="6" type="noConversion"/>
  </si>
  <si>
    <t>回热器高压进口</t>
    <phoneticPr fontId="6" type="noConversion"/>
  </si>
  <si>
    <t>回热器高压出口</t>
    <phoneticPr fontId="6" type="noConversion"/>
  </si>
  <si>
    <t>阀前温度</t>
    <phoneticPr fontId="6" type="noConversion"/>
  </si>
  <si>
    <t>阀后温度</t>
    <phoneticPr fontId="6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</si>
  <si>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6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</si>
  <si>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6" type="noConversion"/>
  </si>
  <si>
    <t>储液器进口</t>
    <phoneticPr fontId="6" type="noConversion"/>
  </si>
  <si>
    <t>储液器出口</t>
    <phoneticPr fontId="6" type="noConversion"/>
  </si>
  <si>
    <t>回热器低压进口</t>
    <phoneticPr fontId="6" type="noConversion"/>
  </si>
  <si>
    <t>回热器低压出口</t>
    <phoneticPr fontId="6" type="noConversion"/>
  </si>
  <si>
    <t>压力/Mpa</t>
    <phoneticPr fontId="6" type="noConversion"/>
  </si>
  <si>
    <t>吸气压力</t>
    <phoneticPr fontId="6" type="noConversion"/>
  </si>
  <si>
    <t>排气压力</t>
    <phoneticPr fontId="6" type="noConversion"/>
  </si>
  <si>
    <t>阀前压力</t>
    <phoneticPr fontId="6" type="noConversion"/>
  </si>
  <si>
    <t>主换热器进口</t>
    <phoneticPr fontId="6" type="noConversion"/>
  </si>
  <si>
    <t>主换热器出口</t>
    <phoneticPr fontId="6" type="noConversion"/>
  </si>
  <si>
    <t>性能</t>
    <phoneticPr fontId="6" type="noConversion"/>
  </si>
  <si>
    <t>电压/V</t>
    <phoneticPr fontId="6" type="noConversion"/>
  </si>
  <si>
    <t>电流/A</t>
    <phoneticPr fontId="6" type="noConversion"/>
  </si>
  <si>
    <t>充注量/g</t>
    <phoneticPr fontId="6" type="noConversion"/>
  </si>
  <si>
    <t>压缩机转速/rpm</t>
    <phoneticPr fontId="6" type="noConversion"/>
  </si>
  <si>
    <t>膨胀阀开度</t>
    <phoneticPr fontId="6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</si>
  <si>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6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</si>
  <si>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6" type="noConversion"/>
  </si>
  <si>
    <t>室外侧风量/m3·h-1</t>
    <phoneticPr fontId="6" type="noConversion"/>
  </si>
  <si>
    <t>室内侧换热量//蒸发器/W</t>
    <phoneticPr fontId="6" type="noConversion"/>
  </si>
  <si>
    <t>压缩机功率/W</t>
    <phoneticPr fontId="6" type="noConversion"/>
  </si>
  <si>
    <t>室内侧COP</t>
    <phoneticPr fontId="6" type="noConversion"/>
  </si>
  <si>
    <t>室内出风干球/℃</t>
    <phoneticPr fontId="6" type="noConversion"/>
  </si>
  <si>
    <t>室内出风湿球/℃</t>
    <phoneticPr fontId="6" type="noConversion"/>
  </si>
  <si>
    <t>室外出风干球/℃</t>
    <phoneticPr fontId="6" type="noConversion"/>
  </si>
  <si>
    <t>室外出风湿球/℃</t>
    <phoneticPr fontId="6" type="noConversion"/>
  </si>
  <si>
    <t>回热</t>
    <phoneticPr fontId="5" type="noConversion"/>
  </si>
  <si>
    <t>回热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</si>
</sst>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vertAlign val="superscript"/>
      <sz val="11"/>
      <color rgb="FF3F3F76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2" applyNumberFormat="0" applyFont="0" applyAlignment="0" applyProtection="0">
      <alignment vertical="center"/>
    </xf>
  </cellStyleXfs>
  <cellXfs count="47">
    <xf numFmtId="0" fontId="0" fillId="0" borderId="0" xfId="0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6" borderId="3" xfId="3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9" fontId="0" fillId="5" borderId="3" xfId="4" applyNumberFormat="1" applyFont="1" applyBorder="1" applyAlignment="1">
      <alignment horizontal="center" vertical="center"/>
    </xf>
    <xf numFmtId="0" fontId="0" fillId="5" borderId="3" xfId="4" applyNumberFormat="1" applyFont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8" borderId="3" xfId="2" applyFill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5" borderId="4" xfId="4" applyNumberFormat="1" applyFont="1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4" fillId="10" borderId="3" xfId="3" applyFill="1" applyBorder="1" applyAlignment="1">
      <alignment horizontal="center" vertical="center"/>
    </xf>
    <xf numFmtId="0" fontId="2" fillId="10" borderId="3" xfId="1" applyFill="1" applyBorder="1" applyAlignment="1">
      <alignment horizontal="center" vertical="center"/>
    </xf>
    <xf numFmtId="0" fontId="0" fillId="10" borderId="3" xfId="4" applyNumberFormat="1" applyFont="1" applyFill="1" applyBorder="1" applyAlignment="1">
      <alignment horizontal="center" vertical="center"/>
    </xf>
    <xf numFmtId="0" fontId="0" fillId="10" borderId="0" xfId="0" applyFill="1"/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9" fontId="0" fillId="11" borderId="3" xfId="4" applyNumberFormat="1" applyFont="1" applyFill="1" applyBorder="1" applyAlignment="1">
      <alignment horizontal="center" vertical="center"/>
    </xf>
    <xf numFmtId="0" fontId="0" fillId="11" borderId="3" xfId="4" applyNumberFormat="1" applyFont="1" applyFill="1" applyBorder="1" applyAlignment="1">
      <alignment horizontal="center" vertical="center"/>
    </xf>
    <xf numFmtId="0" fontId="0" fillId="11" borderId="0" xfId="0" applyFill="1"/>
    <xf numFmtId="0" fontId="3" fillId="11" borderId="3" xfId="2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12" borderId="3" xfId="2" applyFill="1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0" fillId="5" borderId="3" xfId="4" applyFont="1" applyBorder="1" applyAlignment="1">
      <alignment horizontal="center" vertical="center"/>
    </xf>
    <xf numFmtId="0" fontId="3" fillId="3" borderId="3" xfId="2" applyBorder="1" applyAlignment="1">
      <alignment horizontal="center" vertical="center"/>
    </xf>
  </cellXfs>
  <cellStyles count="5">
    <cellStyle name="常规" xfId="0" builtinId="0"/>
    <cellStyle name="计算" xfId="3" builtinId="22"/>
    <cellStyle name="适中" xfId="1" builtinId="28"/>
    <cellStyle name="输入" xfId="2" builtinId="20"/>
    <cellStyle name="注释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1"/>
  <sheetViews>
    <sheetView tabSelected="1" topLeftCell="A22" zoomScaleNormal="100" workbookViewId="0">
      <pane xSplit="2" topLeftCell="C1" activePane="topRight" state="frozen"/>
      <selection activeCell="A16" sqref="A16"/>
      <selection pane="topRight" activeCell="B45" sqref="B45"/>
    </sheetView>
  </sheetViews>
  <sheetFormatPr defaultRowHeight="13.9" x14ac:dyDescent="0.4"/>
  <cols>
    <col min="1" max="1" width="14.53125" customWidth="1"/>
    <col min="2" max="2" width="22.796875" customWidth="1"/>
    <col min="3" max="3" width="11.53125" customWidth="1"/>
    <col min="4" max="4" width="11.1328125" customWidth="1"/>
    <col min="5" max="9" width="10.86328125" customWidth="1"/>
    <col min="10" max="10" width="10.86328125" style="24" customWidth="1"/>
    <col min="11" max="19" width="10.86328125" customWidth="1"/>
    <col min="20" max="21" width="11.33203125" style="24" customWidth="1"/>
    <col min="22" max="22" width="10.796875" bestFit="1" customWidth="1"/>
    <col min="23" max="23" width="9.86328125" bestFit="1" customWidth="1"/>
    <col min="24" max="25" width="10.796875" bestFit="1" customWidth="1"/>
    <col min="26" max="26" width="10.796875" customWidth="1"/>
    <col min="27" max="27" width="10.796875" bestFit="1" customWidth="1"/>
    <col min="29" max="29" width="9.86328125" bestFit="1" customWidth="1"/>
    <col min="30" max="31" width="9.6640625" bestFit="1" customWidth="1"/>
    <col min="32" max="32" width="9.6640625" customWidth="1"/>
    <col min="33" max="33" width="9.6640625" bestFit="1" customWidth="1"/>
    <col min="34" max="34" width="9.796875" bestFit="1" customWidth="1"/>
  </cols>
  <sheetData>
    <row r="1" spans="1:78" x14ac:dyDescent="0.4">
      <c r="A1" s="1"/>
      <c r="B1" s="2" t="s">
        <v>0</v>
      </c>
      <c r="C1" s="2">
        <v>111902</v>
      </c>
      <c r="D1" s="2">
        <v>111903</v>
      </c>
      <c r="E1" s="2">
        <v>111904</v>
      </c>
      <c r="F1" s="2">
        <v>111905</v>
      </c>
      <c r="G1" s="2">
        <v>111906</v>
      </c>
      <c r="H1" s="2"/>
      <c r="I1" s="2"/>
      <c r="J1" s="20"/>
      <c r="K1" s="2"/>
      <c r="L1" s="2"/>
      <c r="M1" s="2"/>
      <c r="N1" s="3">
        <v>112001</v>
      </c>
      <c r="O1" s="3">
        <v>112002</v>
      </c>
      <c r="P1" s="3">
        <v>112003</v>
      </c>
      <c r="Q1" s="3">
        <v>112004</v>
      </c>
      <c r="R1" s="3">
        <v>112005</v>
      </c>
      <c r="S1" s="3">
        <v>112006</v>
      </c>
      <c r="T1" s="3">
        <v>112007</v>
      </c>
      <c r="U1" s="3">
        <v>112008</v>
      </c>
      <c r="V1" s="3">
        <v>112009</v>
      </c>
      <c r="W1" s="3">
        <v>112010</v>
      </c>
      <c r="X1" s="3">
        <v>112011</v>
      </c>
      <c r="Y1" s="3">
        <v>112012</v>
      </c>
      <c r="Z1" s="3"/>
      <c r="AA1" s="3">
        <v>112013</v>
      </c>
      <c r="AB1" s="3">
        <v>112014</v>
      </c>
      <c r="AC1" s="3">
        <v>112015</v>
      </c>
      <c r="AD1" s="3">
        <v>112016</v>
      </c>
      <c r="AE1" s="3">
        <v>112017</v>
      </c>
      <c r="AF1" s="28">
        <v>112101</v>
      </c>
      <c r="AG1" s="28">
        <v>112102</v>
      </c>
      <c r="AH1" s="28">
        <v>112103</v>
      </c>
      <c r="AI1" s="28">
        <v>112104</v>
      </c>
      <c r="AJ1" s="28">
        <v>112105</v>
      </c>
      <c r="AK1" s="28">
        <v>112106</v>
      </c>
      <c r="AL1" s="28">
        <v>112107</v>
      </c>
      <c r="AM1" s="28">
        <v>112108</v>
      </c>
      <c r="AN1" s="28">
        <v>112109</v>
      </c>
      <c r="AO1" s="28">
        <v>112110</v>
      </c>
      <c r="AP1" s="28">
        <v>112111</v>
      </c>
      <c r="AQ1" s="28">
        <v>112112</v>
      </c>
      <c r="AR1" s="28">
        <v>112113</v>
      </c>
      <c r="AS1" s="28">
        <v>112201</v>
      </c>
      <c r="AT1" s="28"/>
      <c r="AU1" s="28">
        <v>112202</v>
      </c>
      <c r="AV1" s="28">
        <v>112203</v>
      </c>
      <c r="AW1" s="28">
        <v>112204</v>
      </c>
      <c r="AX1" s="28">
        <v>112205</v>
      </c>
      <c r="AY1" s="28">
        <v>112206</v>
      </c>
      <c r="AZ1" s="28">
        <v>112207</v>
      </c>
      <c r="BA1" s="28">
        <v>112208</v>
      </c>
      <c r="BB1" s="28">
        <v>112209</v>
      </c>
      <c r="BC1" s="28">
        <v>112210</v>
      </c>
      <c r="BD1" s="28"/>
      <c r="BE1" s="28"/>
    </row>
    <row r="2" spans="1:78" x14ac:dyDescent="0.4">
      <c r="A2" s="1" t="s">
        <v>1</v>
      </c>
      <c r="B2" s="2" t="s">
        <v>2</v>
      </c>
      <c r="C2" s="4" t="s">
        <v>46</v>
      </c>
      <c r="D2" s="4" t="s">
        <v>46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  <c r="J2" s="4" t="s">
        <v>46</v>
      </c>
      <c r="K2" s="4" t="s">
        <v>46</v>
      </c>
      <c r="L2" s="4" t="s">
        <v>46</v>
      </c>
      <c r="M2" s="4"/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/>
      <c r="AA2" s="4" t="s">
        <v>45</v>
      </c>
      <c r="AB2" s="4" t="s">
        <v>45</v>
      </c>
      <c r="AC2" s="4" t="s">
        <v>45</v>
      </c>
      <c r="AD2" s="4" t="s">
        <v>45</v>
      </c>
      <c r="AE2" s="4" t="s">
        <v>45</v>
      </c>
      <c r="AF2" s="4" t="s">
        <v>45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45</v>
      </c>
      <c r="AO2" s="4" t="s">
        <v>45</v>
      </c>
      <c r="AP2" s="4" t="s">
        <v>45</v>
      </c>
      <c r="AQ2" s="4" t="s">
        <v>45</v>
      </c>
      <c r="AR2" s="4" t="s">
        <v>45</v>
      </c>
      <c r="AS2" s="4" t="s">
        <v>45</v>
      </c>
      <c r="AT2" s="4"/>
      <c r="AU2" s="4" t="s">
        <v>45</v>
      </c>
      <c r="AV2" s="4" t="s">
        <v>45</v>
      </c>
      <c r="AW2" s="4" t="s">
        <v>45</v>
      </c>
      <c r="AX2" s="4" t="s">
        <v>45</v>
      </c>
      <c r="AY2" s="4" t="s">
        <v>45</v>
      </c>
      <c r="AZ2" s="4" t="s">
        <v>45</v>
      </c>
      <c r="BA2" s="4" t="s">
        <v>45</v>
      </c>
      <c r="BB2" s="4" t="s">
        <v>45</v>
      </c>
      <c r="BC2" s="4" t="s">
        <v>45</v>
      </c>
      <c r="BD2" s="4"/>
      <c r="BE2" s="4" t="s">
        <v>45</v>
      </c>
      <c r="BF2" s="4" t="s">
        <v>45</v>
      </c>
      <c r="BG2" s="4" t="s">
        <v>45</v>
      </c>
      <c r="BH2" s="4" t="s">
        <v>45</v>
      </c>
      <c r="BI2" s="4" t="s">
        <v>45</v>
      </c>
      <c r="BJ2" s="4" t="s">
        <v>45</v>
      </c>
      <c r="BK2" s="4" t="s">
        <v>45</v>
      </c>
      <c r="BL2" s="4" t="s">
        <v>45</v>
      </c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</row>
    <row r="3" spans="1:78" x14ac:dyDescent="0.4">
      <c r="A3" s="43" t="s">
        <v>4</v>
      </c>
      <c r="B3" s="5" t="s">
        <v>5</v>
      </c>
      <c r="C3" s="6">
        <v>27</v>
      </c>
      <c r="D3" s="6">
        <v>27</v>
      </c>
      <c r="E3" s="6">
        <v>27</v>
      </c>
      <c r="F3" s="6">
        <v>27</v>
      </c>
      <c r="G3" s="6">
        <v>27</v>
      </c>
      <c r="H3" s="6">
        <v>27</v>
      </c>
      <c r="I3" s="6">
        <v>27</v>
      </c>
      <c r="J3" s="21">
        <v>27</v>
      </c>
      <c r="K3" s="6">
        <v>27</v>
      </c>
      <c r="L3" s="6">
        <v>27</v>
      </c>
      <c r="M3" s="6"/>
      <c r="N3" s="6">
        <v>27</v>
      </c>
      <c r="O3" s="6">
        <v>27</v>
      </c>
      <c r="P3" s="6">
        <v>27</v>
      </c>
      <c r="Q3" s="6">
        <v>27</v>
      </c>
      <c r="R3" s="6">
        <v>27</v>
      </c>
      <c r="S3" s="6">
        <v>27</v>
      </c>
      <c r="T3" s="6">
        <v>27</v>
      </c>
      <c r="U3" s="6">
        <v>27</v>
      </c>
      <c r="V3" s="6">
        <v>27</v>
      </c>
      <c r="W3" s="6">
        <v>27</v>
      </c>
      <c r="X3" s="6">
        <v>27</v>
      </c>
      <c r="Y3" s="6">
        <v>27</v>
      </c>
      <c r="Z3" s="6"/>
      <c r="AA3" s="6">
        <v>27</v>
      </c>
      <c r="AB3" s="6">
        <v>27</v>
      </c>
      <c r="AC3" s="6">
        <v>27</v>
      </c>
      <c r="AD3" s="6">
        <v>27</v>
      </c>
      <c r="AE3" s="6">
        <v>27</v>
      </c>
      <c r="AF3" s="6">
        <v>27</v>
      </c>
      <c r="AG3" s="6">
        <v>27</v>
      </c>
      <c r="AH3" s="6">
        <v>27</v>
      </c>
      <c r="AI3" s="6">
        <v>27</v>
      </c>
      <c r="AJ3" s="6">
        <v>27</v>
      </c>
      <c r="AK3" s="6">
        <v>27</v>
      </c>
      <c r="AL3" s="6">
        <v>27</v>
      </c>
      <c r="AM3" s="6">
        <v>27</v>
      </c>
      <c r="AN3" s="6">
        <v>27</v>
      </c>
      <c r="AO3" s="6">
        <v>27</v>
      </c>
      <c r="AP3" s="6">
        <v>27</v>
      </c>
      <c r="AQ3" s="6">
        <v>27</v>
      </c>
      <c r="AR3" s="6">
        <v>27</v>
      </c>
      <c r="AS3" s="6">
        <v>27</v>
      </c>
      <c r="AT3" s="6"/>
      <c r="AU3" s="6">
        <v>27</v>
      </c>
      <c r="AV3" s="6">
        <v>27</v>
      </c>
      <c r="AW3" s="6">
        <v>27</v>
      </c>
      <c r="AX3" s="6">
        <v>27</v>
      </c>
      <c r="AY3" s="6">
        <v>27</v>
      </c>
      <c r="AZ3" s="6">
        <v>27</v>
      </c>
      <c r="BA3" s="6">
        <v>27</v>
      </c>
      <c r="BB3" s="6">
        <v>27</v>
      </c>
      <c r="BC3" s="6">
        <v>27</v>
      </c>
      <c r="BD3" s="6"/>
      <c r="BE3" s="6">
        <v>27</v>
      </c>
      <c r="BF3" s="6">
        <v>27</v>
      </c>
      <c r="BG3" s="6">
        <v>27</v>
      </c>
      <c r="BH3" s="6">
        <v>27</v>
      </c>
      <c r="BI3" s="6">
        <v>27</v>
      </c>
      <c r="BJ3" s="6">
        <v>27</v>
      </c>
      <c r="BK3" s="6">
        <v>27</v>
      </c>
      <c r="BL3" s="6">
        <v>27</v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</row>
    <row r="4" spans="1:78" x14ac:dyDescent="0.4">
      <c r="A4" s="43"/>
      <c r="B4" s="5" t="s">
        <v>6</v>
      </c>
      <c r="C4" s="6">
        <v>19.600000000000001</v>
      </c>
      <c r="D4" s="6">
        <v>19.5</v>
      </c>
      <c r="E4" s="6">
        <v>19.5</v>
      </c>
      <c r="F4" s="6">
        <v>19.5</v>
      </c>
      <c r="G4" s="6">
        <v>19.5</v>
      </c>
      <c r="H4" s="6">
        <v>19.5</v>
      </c>
      <c r="I4" s="6">
        <v>19.5</v>
      </c>
      <c r="J4" s="21">
        <v>19.5</v>
      </c>
      <c r="K4" s="6">
        <v>19.5</v>
      </c>
      <c r="L4" s="6">
        <v>19.5</v>
      </c>
      <c r="M4" s="6"/>
      <c r="N4" s="6">
        <v>19.5</v>
      </c>
      <c r="O4" s="6">
        <v>19.5</v>
      </c>
      <c r="P4" s="6">
        <v>19.5</v>
      </c>
      <c r="Q4" s="6">
        <v>19.5</v>
      </c>
      <c r="R4" s="6">
        <v>19.5</v>
      </c>
      <c r="S4" s="6">
        <v>19.5</v>
      </c>
      <c r="T4" s="6">
        <v>19.5</v>
      </c>
      <c r="U4" s="6">
        <v>19.5</v>
      </c>
      <c r="V4" s="6">
        <v>19.5</v>
      </c>
      <c r="W4" s="6">
        <v>19.5</v>
      </c>
      <c r="X4" s="6">
        <v>19.5</v>
      </c>
      <c r="Y4" s="6">
        <v>19.5</v>
      </c>
      <c r="Z4" s="6"/>
      <c r="AA4" s="6">
        <v>19.5</v>
      </c>
      <c r="AB4" s="6">
        <v>19.5</v>
      </c>
      <c r="AC4" s="6">
        <v>19.5</v>
      </c>
      <c r="AD4" s="6">
        <v>19.5</v>
      </c>
      <c r="AE4" s="6">
        <v>19.5</v>
      </c>
      <c r="AF4" s="6">
        <v>19.5</v>
      </c>
      <c r="AG4" s="6">
        <v>19.5</v>
      </c>
      <c r="AH4" s="6">
        <v>19.5</v>
      </c>
      <c r="AI4" s="6">
        <v>19.5</v>
      </c>
      <c r="AJ4" s="6">
        <v>19.5</v>
      </c>
      <c r="AK4" s="6">
        <v>19.5</v>
      </c>
      <c r="AL4" s="6">
        <v>19.5</v>
      </c>
      <c r="AM4" s="6">
        <v>19.5</v>
      </c>
      <c r="AN4" s="6">
        <v>19.5</v>
      </c>
      <c r="AO4" s="6">
        <v>19.5</v>
      </c>
      <c r="AP4" s="6">
        <v>19.5</v>
      </c>
      <c r="AQ4" s="6">
        <v>19.5</v>
      </c>
      <c r="AR4" s="6">
        <v>19.5</v>
      </c>
      <c r="AS4" s="6">
        <v>19.5</v>
      </c>
      <c r="AT4" s="6"/>
      <c r="AU4" s="6">
        <v>19.5</v>
      </c>
      <c r="AV4" s="6">
        <v>19.5</v>
      </c>
      <c r="AW4" s="6">
        <v>19.5</v>
      </c>
      <c r="AX4" s="6">
        <v>19.5</v>
      </c>
      <c r="AY4" s="6">
        <v>19.5</v>
      </c>
      <c r="AZ4" s="6">
        <v>19.5</v>
      </c>
      <c r="BA4" s="6">
        <v>19.5</v>
      </c>
      <c r="BB4" s="6">
        <v>19.5</v>
      </c>
      <c r="BC4" s="6">
        <v>19.5</v>
      </c>
      <c r="BD4" s="6"/>
      <c r="BE4" s="6">
        <v>19.5</v>
      </c>
      <c r="BF4" s="6">
        <v>19.5</v>
      </c>
      <c r="BG4" s="6">
        <v>19.5</v>
      </c>
      <c r="BH4" s="6">
        <v>19.5</v>
      </c>
      <c r="BI4" s="6">
        <v>19.5</v>
      </c>
      <c r="BJ4" s="6">
        <v>19.5</v>
      </c>
      <c r="BK4" s="6">
        <v>19.5</v>
      </c>
      <c r="BL4" s="6">
        <v>19.5</v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</row>
    <row r="5" spans="1:78" x14ac:dyDescent="0.4">
      <c r="A5" s="43"/>
      <c r="B5" s="5" t="s">
        <v>7</v>
      </c>
      <c r="C5" s="6">
        <v>40</v>
      </c>
      <c r="D5" s="6">
        <v>40</v>
      </c>
      <c r="E5" s="6">
        <v>40</v>
      </c>
      <c r="F5" s="6">
        <v>40</v>
      </c>
      <c r="G5" s="6">
        <v>40</v>
      </c>
      <c r="H5" s="6">
        <v>40</v>
      </c>
      <c r="I5" s="6">
        <v>40</v>
      </c>
      <c r="J5" s="21">
        <v>40</v>
      </c>
      <c r="K5" s="6">
        <v>40</v>
      </c>
      <c r="L5" s="6">
        <v>40</v>
      </c>
      <c r="M5" s="6"/>
      <c r="N5" s="6">
        <v>40</v>
      </c>
      <c r="O5" s="6">
        <v>40</v>
      </c>
      <c r="P5" s="6">
        <v>40</v>
      </c>
      <c r="Q5" s="6">
        <v>40</v>
      </c>
      <c r="R5" s="6">
        <v>40</v>
      </c>
      <c r="S5" s="6">
        <v>40</v>
      </c>
      <c r="T5" s="6">
        <v>40</v>
      </c>
      <c r="U5" s="6">
        <v>40</v>
      </c>
      <c r="V5" s="6">
        <v>40</v>
      </c>
      <c r="W5" s="6">
        <v>40</v>
      </c>
      <c r="X5" s="6">
        <v>40</v>
      </c>
      <c r="Y5" s="6">
        <v>40</v>
      </c>
      <c r="Z5" s="6"/>
      <c r="AA5" s="6">
        <v>40</v>
      </c>
      <c r="AB5" s="6">
        <v>40</v>
      </c>
      <c r="AC5" s="6">
        <v>40</v>
      </c>
      <c r="AD5" s="6">
        <v>40</v>
      </c>
      <c r="AE5" s="6">
        <v>40</v>
      </c>
      <c r="AF5" s="6">
        <v>40</v>
      </c>
      <c r="AG5" s="6">
        <v>40</v>
      </c>
      <c r="AH5" s="6">
        <v>40</v>
      </c>
      <c r="AI5" s="6">
        <v>40</v>
      </c>
      <c r="AJ5" s="6">
        <v>40</v>
      </c>
      <c r="AK5" s="6">
        <v>40</v>
      </c>
      <c r="AL5" s="6">
        <v>40</v>
      </c>
      <c r="AM5" s="6">
        <v>40</v>
      </c>
      <c r="AN5" s="6">
        <v>40</v>
      </c>
      <c r="AO5" s="6">
        <v>40</v>
      </c>
      <c r="AP5" s="6">
        <v>40</v>
      </c>
      <c r="AQ5" s="6">
        <v>40</v>
      </c>
      <c r="AR5" s="6">
        <v>40</v>
      </c>
      <c r="AS5" s="6">
        <v>40</v>
      </c>
      <c r="AT5" s="6"/>
      <c r="AU5" s="6">
        <v>40</v>
      </c>
      <c r="AV5" s="6">
        <v>40</v>
      </c>
      <c r="AW5" s="6">
        <v>40</v>
      </c>
      <c r="AX5" s="6">
        <v>40</v>
      </c>
      <c r="AY5" s="6">
        <v>40</v>
      </c>
      <c r="AZ5" s="6">
        <v>40</v>
      </c>
      <c r="BA5" s="6">
        <v>40</v>
      </c>
      <c r="BB5" s="6">
        <v>40</v>
      </c>
      <c r="BC5" s="6">
        <v>40</v>
      </c>
      <c r="BD5" s="6"/>
      <c r="BE5" s="6">
        <v>40</v>
      </c>
      <c r="BF5" s="6">
        <v>40</v>
      </c>
      <c r="BG5" s="6">
        <v>40</v>
      </c>
      <c r="BH5" s="6">
        <v>40</v>
      </c>
      <c r="BI5" s="6">
        <v>40</v>
      </c>
      <c r="BJ5" s="6">
        <v>40</v>
      </c>
      <c r="BK5" s="6">
        <v>40</v>
      </c>
      <c r="BL5" s="6">
        <v>40</v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</row>
    <row r="6" spans="1:78" x14ac:dyDescent="0.4">
      <c r="A6" s="43"/>
      <c r="B6" s="5" t="s">
        <v>8</v>
      </c>
      <c r="C6" s="6">
        <v>30.2</v>
      </c>
      <c r="D6" s="6">
        <v>30.2</v>
      </c>
      <c r="E6" s="6">
        <v>30.2</v>
      </c>
      <c r="F6" s="6">
        <v>30.2</v>
      </c>
      <c r="G6" s="6">
        <v>30.2</v>
      </c>
      <c r="H6" s="6">
        <v>30.2</v>
      </c>
      <c r="I6" s="6">
        <v>30.2</v>
      </c>
      <c r="J6" s="21">
        <v>30.2</v>
      </c>
      <c r="K6" s="6">
        <v>30.2</v>
      </c>
      <c r="L6" s="6">
        <v>30.2</v>
      </c>
      <c r="M6" s="6"/>
      <c r="N6" s="6">
        <v>30.2</v>
      </c>
      <c r="O6" s="6">
        <v>30.2</v>
      </c>
      <c r="P6" s="6">
        <v>30.2</v>
      </c>
      <c r="Q6" s="6">
        <v>30.2</v>
      </c>
      <c r="R6" s="6">
        <v>30.2</v>
      </c>
      <c r="S6" s="6">
        <v>30.2</v>
      </c>
      <c r="T6" s="6">
        <v>30.2</v>
      </c>
      <c r="U6" s="6">
        <v>30.2</v>
      </c>
      <c r="V6" s="6">
        <v>30.2</v>
      </c>
      <c r="W6" s="6">
        <v>30.2</v>
      </c>
      <c r="X6" s="6">
        <v>30.2</v>
      </c>
      <c r="Y6" s="6">
        <v>30.2</v>
      </c>
      <c r="Z6" s="6"/>
      <c r="AA6" s="6">
        <v>30.2</v>
      </c>
      <c r="AB6" s="6">
        <v>30.2</v>
      </c>
      <c r="AC6" s="6">
        <v>30.2</v>
      </c>
      <c r="AD6" s="6">
        <v>30.2</v>
      </c>
      <c r="AE6" s="6">
        <v>30.2</v>
      </c>
      <c r="AF6" s="6">
        <v>30.2</v>
      </c>
      <c r="AG6" s="6">
        <v>30.2</v>
      </c>
      <c r="AH6" s="6">
        <v>30.2</v>
      </c>
      <c r="AI6" s="6">
        <v>30.2</v>
      </c>
      <c r="AJ6" s="6">
        <v>30.2</v>
      </c>
      <c r="AK6" s="6">
        <v>30.2</v>
      </c>
      <c r="AL6" s="6">
        <v>30.2</v>
      </c>
      <c r="AM6" s="6">
        <v>30.2</v>
      </c>
      <c r="AN6" s="6">
        <v>30.2</v>
      </c>
      <c r="AO6" s="6">
        <v>30.2</v>
      </c>
      <c r="AP6" s="6">
        <v>30.2</v>
      </c>
      <c r="AQ6" s="6">
        <v>30.2</v>
      </c>
      <c r="AR6" s="6">
        <v>30.2</v>
      </c>
      <c r="AS6" s="6">
        <v>30.2</v>
      </c>
      <c r="AT6" s="6"/>
      <c r="AU6" s="6">
        <v>30.2</v>
      </c>
      <c r="AV6" s="6">
        <v>30.2</v>
      </c>
      <c r="AW6" s="6">
        <v>30.2</v>
      </c>
      <c r="AX6" s="6">
        <v>30.2</v>
      </c>
      <c r="AY6" s="6">
        <v>30.2</v>
      </c>
      <c r="AZ6" s="6">
        <v>30.2</v>
      </c>
      <c r="BA6" s="6">
        <v>30.2</v>
      </c>
      <c r="BB6" s="6">
        <v>30.2</v>
      </c>
      <c r="BC6" s="6">
        <v>30.2</v>
      </c>
      <c r="BD6" s="6"/>
      <c r="BE6" s="6">
        <v>30.2</v>
      </c>
      <c r="BF6" s="6">
        <v>30.2</v>
      </c>
      <c r="BG6" s="6">
        <v>30.2</v>
      </c>
      <c r="BH6" s="6">
        <v>30.2</v>
      </c>
      <c r="BI6" s="6">
        <v>30.2</v>
      </c>
      <c r="BJ6" s="6">
        <v>30.2</v>
      </c>
      <c r="BK6" s="6">
        <v>30.2</v>
      </c>
      <c r="BL6" s="6">
        <v>30.2</v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</row>
    <row r="7" spans="1:78" x14ac:dyDescent="0.4">
      <c r="A7" s="44" t="s">
        <v>9</v>
      </c>
      <c r="B7" s="7" t="s">
        <v>10</v>
      </c>
      <c r="C7" s="7">
        <v>34.25</v>
      </c>
      <c r="D7" s="7">
        <v>33.94</v>
      </c>
      <c r="E7" s="7">
        <v>35.1</v>
      </c>
      <c r="F7" s="14">
        <v>35</v>
      </c>
      <c r="G7" s="14">
        <v>33.94</v>
      </c>
      <c r="H7" s="18">
        <v>34.68</v>
      </c>
      <c r="I7" s="18">
        <v>34.340000000000003</v>
      </c>
      <c r="J7" s="22">
        <v>35.5</v>
      </c>
      <c r="K7" s="14">
        <v>35.28</v>
      </c>
      <c r="L7" s="7">
        <v>34.04</v>
      </c>
      <c r="M7" s="30"/>
      <c r="N7" s="7">
        <v>4.47</v>
      </c>
      <c r="O7" s="7">
        <v>4.2</v>
      </c>
      <c r="P7" s="7">
        <v>4.33</v>
      </c>
      <c r="Q7" s="7">
        <v>4.42</v>
      </c>
      <c r="R7" s="7">
        <v>5.56</v>
      </c>
      <c r="S7" s="7">
        <v>1.04</v>
      </c>
      <c r="T7" s="38">
        <v>0.63</v>
      </c>
      <c r="U7" s="38">
        <v>0.52</v>
      </c>
      <c r="V7" s="7">
        <v>0.68</v>
      </c>
      <c r="W7" s="18">
        <v>-2.0299999999999998</v>
      </c>
      <c r="X7" s="7">
        <v>-2.39</v>
      </c>
      <c r="Y7" s="7">
        <v>-2.4700000000000002</v>
      </c>
      <c r="Z7" s="30"/>
      <c r="AA7" s="7">
        <v>34.65</v>
      </c>
      <c r="AB7" s="7">
        <v>35.64</v>
      </c>
      <c r="AC7" s="7">
        <v>35.96</v>
      </c>
      <c r="AD7" s="7">
        <v>35.22</v>
      </c>
      <c r="AE7" s="7">
        <v>35.799999999999997</v>
      </c>
      <c r="AF7" s="25">
        <v>35.54</v>
      </c>
      <c r="AG7" s="7">
        <v>35.46</v>
      </c>
      <c r="AH7" s="7">
        <v>34.340000000000003</v>
      </c>
      <c r="AI7" s="7">
        <v>34.17</v>
      </c>
      <c r="AJ7" s="25">
        <v>34.68</v>
      </c>
      <c r="AK7" s="7">
        <v>34.42</v>
      </c>
      <c r="AL7" s="7">
        <v>35.07</v>
      </c>
      <c r="AM7" s="7">
        <v>35.54</v>
      </c>
      <c r="AN7" s="32">
        <v>34.74</v>
      </c>
      <c r="AO7" s="32">
        <v>35.15</v>
      </c>
      <c r="AP7" s="32">
        <v>35.1</v>
      </c>
      <c r="AQ7" s="32">
        <v>34.159999999999997</v>
      </c>
      <c r="AR7" s="32">
        <v>34.22</v>
      </c>
      <c r="AS7" s="32">
        <v>34.869999999999997</v>
      </c>
      <c r="AT7" s="38"/>
      <c r="AU7" s="32">
        <v>34.270000000000003</v>
      </c>
      <c r="AV7" s="32">
        <v>34.85</v>
      </c>
      <c r="AW7" s="32">
        <v>35.340000000000003</v>
      </c>
      <c r="AX7" s="32">
        <v>34.72</v>
      </c>
      <c r="AY7" s="32">
        <v>35.07</v>
      </c>
      <c r="AZ7" s="32">
        <v>35.24</v>
      </c>
      <c r="BA7" s="32">
        <v>32.89</v>
      </c>
      <c r="BB7" s="32">
        <v>32.119999999999997</v>
      </c>
      <c r="BC7" s="32">
        <v>33.909999999999997</v>
      </c>
      <c r="BD7" s="40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</row>
    <row r="8" spans="1:78" x14ac:dyDescent="0.4">
      <c r="A8" s="44"/>
      <c r="B8" s="7" t="s">
        <v>11</v>
      </c>
      <c r="C8" s="7">
        <v>135.71</v>
      </c>
      <c r="D8" s="7">
        <v>132.66</v>
      </c>
      <c r="E8" s="7">
        <v>134.69999999999999</v>
      </c>
      <c r="F8" s="14">
        <v>131.31</v>
      </c>
      <c r="G8" s="14">
        <v>119.04</v>
      </c>
      <c r="H8" s="18">
        <v>135.03</v>
      </c>
      <c r="I8" s="18">
        <v>134.38999999999999</v>
      </c>
      <c r="J8" s="22">
        <v>123.84</v>
      </c>
      <c r="K8" s="14">
        <v>115.15</v>
      </c>
      <c r="L8" s="7">
        <v>104.41</v>
      </c>
      <c r="M8" s="30"/>
      <c r="N8" s="7">
        <v>103.91</v>
      </c>
      <c r="O8" s="7">
        <v>99.27</v>
      </c>
      <c r="P8" s="7">
        <v>94.87</v>
      </c>
      <c r="Q8" s="7">
        <v>89.46</v>
      </c>
      <c r="R8" s="7">
        <v>82.22</v>
      </c>
      <c r="S8" s="7">
        <v>91.8</v>
      </c>
      <c r="T8" s="38">
        <v>97.23</v>
      </c>
      <c r="U8" s="38">
        <v>102.19</v>
      </c>
      <c r="V8" s="7">
        <v>107.34</v>
      </c>
      <c r="W8" s="18">
        <v>100.09</v>
      </c>
      <c r="X8" s="7">
        <v>105.44</v>
      </c>
      <c r="Y8" s="7">
        <v>110.32</v>
      </c>
      <c r="Z8" s="30"/>
      <c r="AA8" s="7">
        <v>134.38999999999999</v>
      </c>
      <c r="AB8" s="7">
        <v>128.75</v>
      </c>
      <c r="AC8" s="7">
        <v>123.77</v>
      </c>
      <c r="AD8" s="7">
        <v>110.9</v>
      </c>
      <c r="AE8" s="7">
        <v>126.31</v>
      </c>
      <c r="AF8" s="25">
        <v>135.02000000000001</v>
      </c>
      <c r="AG8" s="7">
        <v>131.74</v>
      </c>
      <c r="AH8" s="7">
        <v>119.04</v>
      </c>
      <c r="AI8" s="7">
        <v>132.22</v>
      </c>
      <c r="AJ8" s="25">
        <v>137.68</v>
      </c>
      <c r="AK8" s="7">
        <v>133.30000000000001</v>
      </c>
      <c r="AL8" s="7">
        <v>129.08000000000001</v>
      </c>
      <c r="AM8" s="7">
        <v>123.44</v>
      </c>
      <c r="AN8" s="32">
        <v>109.22</v>
      </c>
      <c r="AO8" s="32">
        <v>135.19999999999999</v>
      </c>
      <c r="AP8" s="32">
        <v>131.44</v>
      </c>
      <c r="AQ8" s="32">
        <v>118.09</v>
      </c>
      <c r="AR8" s="32">
        <v>132.04</v>
      </c>
      <c r="AS8" s="32">
        <v>136.30000000000001</v>
      </c>
      <c r="AT8" s="38"/>
      <c r="AU8" s="32">
        <v>136.27000000000001</v>
      </c>
      <c r="AV8" s="32">
        <v>130.6</v>
      </c>
      <c r="AW8" s="32">
        <v>122.34</v>
      </c>
      <c r="AX8" s="32">
        <v>108.45</v>
      </c>
      <c r="AY8" s="32">
        <v>135.97999999999999</v>
      </c>
      <c r="AZ8" s="32">
        <v>131.12</v>
      </c>
      <c r="BA8" s="32">
        <v>115.93</v>
      </c>
      <c r="BB8" s="32">
        <v>127.46</v>
      </c>
      <c r="BC8" s="32">
        <v>136.93</v>
      </c>
      <c r="BD8" s="40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</row>
    <row r="9" spans="1:78" x14ac:dyDescent="0.4">
      <c r="A9" s="44"/>
      <c r="B9" s="7" t="s">
        <v>12</v>
      </c>
      <c r="C9" s="7">
        <v>130.68</v>
      </c>
      <c r="D9" s="7">
        <v>127.92</v>
      </c>
      <c r="E9" s="7">
        <v>129.68</v>
      </c>
      <c r="F9" s="14">
        <v>126.32</v>
      </c>
      <c r="G9" s="14">
        <v>114.84</v>
      </c>
      <c r="H9" s="18">
        <v>120.49</v>
      </c>
      <c r="I9" s="18">
        <v>128.9</v>
      </c>
      <c r="J9" s="22">
        <v>119.05</v>
      </c>
      <c r="K9" s="14">
        <v>110.91</v>
      </c>
      <c r="L9" s="7">
        <v>100.86</v>
      </c>
      <c r="M9" s="30"/>
      <c r="N9" s="7">
        <v>100.74</v>
      </c>
      <c r="O9" s="7">
        <v>96.31</v>
      </c>
      <c r="P9" s="7">
        <v>92.11</v>
      </c>
      <c r="Q9" s="7">
        <v>87</v>
      </c>
      <c r="R9" s="7">
        <v>79.98</v>
      </c>
      <c r="S9" s="7">
        <v>89.31</v>
      </c>
      <c r="T9" s="38">
        <v>94.52</v>
      </c>
      <c r="U9" s="38">
        <v>99.17</v>
      </c>
      <c r="V9" s="7">
        <v>104.2</v>
      </c>
      <c r="W9" s="18">
        <v>97.22</v>
      </c>
      <c r="X9" s="7">
        <v>102.22</v>
      </c>
      <c r="Y9" s="7">
        <v>106.94</v>
      </c>
      <c r="Z9" s="30"/>
      <c r="AA9" s="7">
        <v>129.38999999999999</v>
      </c>
      <c r="AB9" s="7">
        <v>123.75</v>
      </c>
      <c r="AC9" s="7">
        <v>118.77</v>
      </c>
      <c r="AD9" s="7">
        <v>106.55</v>
      </c>
      <c r="AE9" s="7">
        <v>120.88</v>
      </c>
      <c r="AF9" s="25">
        <v>129.57</v>
      </c>
      <c r="AG9" s="7">
        <v>126.38</v>
      </c>
      <c r="AH9" s="7">
        <v>114.37</v>
      </c>
      <c r="AI9" s="7">
        <v>127.04</v>
      </c>
      <c r="AJ9" s="25">
        <v>132.06</v>
      </c>
      <c r="AK9" s="7">
        <v>127.53</v>
      </c>
      <c r="AL9" s="7">
        <v>123.68</v>
      </c>
      <c r="AM9" s="7">
        <v>118.4</v>
      </c>
      <c r="AN9" s="32">
        <v>105.24</v>
      </c>
      <c r="AO9" s="32">
        <v>129.83000000000001</v>
      </c>
      <c r="AP9" s="32">
        <v>126.38</v>
      </c>
      <c r="AQ9" s="32">
        <v>113.74</v>
      </c>
      <c r="AR9" s="32">
        <v>127.01</v>
      </c>
      <c r="AS9" s="32">
        <v>131.13</v>
      </c>
      <c r="AT9" s="38"/>
      <c r="AU9" s="32">
        <v>130.46</v>
      </c>
      <c r="AV9" s="32">
        <v>125.17</v>
      </c>
      <c r="AW9" s="32">
        <v>117.54</v>
      </c>
      <c r="AX9" s="32">
        <v>104.5</v>
      </c>
      <c r="AY9" s="32">
        <v>130.6</v>
      </c>
      <c r="AZ9" s="32">
        <v>126.06</v>
      </c>
      <c r="BA9" s="32">
        <v>111.8</v>
      </c>
      <c r="BB9" s="32">
        <v>122.73</v>
      </c>
      <c r="BC9" s="32">
        <v>131.72</v>
      </c>
      <c r="BD9" s="40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</row>
    <row r="10" spans="1:78" x14ac:dyDescent="0.4">
      <c r="A10" s="44"/>
      <c r="B10" s="7" t="s">
        <v>13</v>
      </c>
      <c r="C10" s="7">
        <v>42.47</v>
      </c>
      <c r="D10" s="7">
        <v>42.28</v>
      </c>
      <c r="E10" s="7">
        <v>42.63</v>
      </c>
      <c r="F10" s="14">
        <v>42.44</v>
      </c>
      <c r="G10" s="14">
        <v>41.64</v>
      </c>
      <c r="H10" s="18">
        <v>42.09</v>
      </c>
      <c r="I10" s="18">
        <v>41.94</v>
      </c>
      <c r="J10" s="22">
        <v>42.14</v>
      </c>
      <c r="K10" s="14">
        <v>41.91</v>
      </c>
      <c r="L10" s="7">
        <v>41.22</v>
      </c>
      <c r="M10" s="30"/>
      <c r="N10" s="7">
        <v>42.19</v>
      </c>
      <c r="O10" s="7">
        <v>42.29</v>
      </c>
      <c r="P10" s="7">
        <v>42.6</v>
      </c>
      <c r="Q10" s="7">
        <v>42.8</v>
      </c>
      <c r="R10" s="7">
        <v>42.91</v>
      </c>
      <c r="S10" s="7">
        <v>43.4</v>
      </c>
      <c r="T10" s="38">
        <v>43.17</v>
      </c>
      <c r="U10" s="38">
        <v>42.77</v>
      </c>
      <c r="V10" s="7">
        <v>42.75</v>
      </c>
      <c r="W10" s="18">
        <v>43.73</v>
      </c>
      <c r="X10" s="7">
        <v>43.35</v>
      </c>
      <c r="Y10" s="7">
        <v>43.23</v>
      </c>
      <c r="Z10" s="30"/>
      <c r="AA10" s="7">
        <v>41.96</v>
      </c>
      <c r="AB10" s="7">
        <v>42.15</v>
      </c>
      <c r="AC10" s="7">
        <v>42.14</v>
      </c>
      <c r="AD10" s="7">
        <v>41.52</v>
      </c>
      <c r="AE10" s="7">
        <v>42.24</v>
      </c>
      <c r="AF10" s="25">
        <v>43.03</v>
      </c>
      <c r="AG10" s="7">
        <v>42.84</v>
      </c>
      <c r="AH10" s="7">
        <v>42.01</v>
      </c>
      <c r="AI10" s="7">
        <v>42.43</v>
      </c>
      <c r="AJ10" s="25">
        <v>42.73</v>
      </c>
      <c r="AK10" s="7">
        <v>42.11</v>
      </c>
      <c r="AL10" s="7">
        <v>42.22</v>
      </c>
      <c r="AM10" s="7">
        <v>42.16</v>
      </c>
      <c r="AN10" s="32">
        <v>41.56</v>
      </c>
      <c r="AO10" s="32">
        <v>42.59</v>
      </c>
      <c r="AP10" s="32">
        <v>42.42</v>
      </c>
      <c r="AQ10" s="32">
        <v>41.69</v>
      </c>
      <c r="AR10" s="32">
        <v>42.23</v>
      </c>
      <c r="AS10" s="32">
        <v>42.87</v>
      </c>
      <c r="AT10" s="38"/>
      <c r="AU10" s="32">
        <v>42.23</v>
      </c>
      <c r="AV10" s="32">
        <v>42.32</v>
      </c>
      <c r="AW10" s="32">
        <v>42.34</v>
      </c>
      <c r="AX10" s="32">
        <v>41.64</v>
      </c>
      <c r="AY10" s="32">
        <v>42.61</v>
      </c>
      <c r="AZ10" s="32">
        <v>42.49</v>
      </c>
      <c r="BA10" s="32">
        <v>41.72</v>
      </c>
      <c r="BB10" s="32">
        <v>42.21</v>
      </c>
      <c r="BC10" s="32">
        <v>42.65</v>
      </c>
      <c r="BD10" s="40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</row>
    <row r="11" spans="1:78" x14ac:dyDescent="0.4">
      <c r="A11" s="44"/>
      <c r="B11" s="7" t="s">
        <v>14</v>
      </c>
      <c r="C11" s="8">
        <v>35.840000000000003</v>
      </c>
      <c r="D11" s="7">
        <v>36.14</v>
      </c>
      <c r="E11" s="7">
        <v>33.57</v>
      </c>
      <c r="F11" s="14">
        <v>34.549999999999997</v>
      </c>
      <c r="G11" s="14">
        <v>36.270000000000003</v>
      </c>
      <c r="H11" s="18">
        <v>35.950000000000003</v>
      </c>
      <c r="I11" s="18">
        <v>29.27</v>
      </c>
      <c r="J11" s="22">
        <v>33.56</v>
      </c>
      <c r="K11" s="14">
        <v>35.97</v>
      </c>
      <c r="L11" s="7">
        <v>36.31</v>
      </c>
      <c r="M11" s="30"/>
      <c r="N11" s="7">
        <v>41.91</v>
      </c>
      <c r="O11" s="7">
        <v>42.01</v>
      </c>
      <c r="P11" s="7">
        <v>42.24</v>
      </c>
      <c r="Q11" s="7">
        <v>42.34</v>
      </c>
      <c r="R11" s="7">
        <v>42.23</v>
      </c>
      <c r="S11" s="7">
        <v>42.72</v>
      </c>
      <c r="T11" s="38">
        <v>42.65</v>
      </c>
      <c r="U11" s="38">
        <v>42.35</v>
      </c>
      <c r="V11" s="7">
        <v>42.38</v>
      </c>
      <c r="W11" s="18">
        <v>43.08</v>
      </c>
      <c r="X11" s="7">
        <v>42.82</v>
      </c>
      <c r="Y11" s="7">
        <v>42.8</v>
      </c>
      <c r="Z11" s="30"/>
      <c r="AA11" s="7">
        <v>28.67</v>
      </c>
      <c r="AB11" s="7">
        <v>31</v>
      </c>
      <c r="AC11" s="7">
        <v>33.25</v>
      </c>
      <c r="AD11" s="7">
        <v>36.25</v>
      </c>
      <c r="AE11" s="7">
        <v>32</v>
      </c>
      <c r="AF11" s="25">
        <v>33.6</v>
      </c>
      <c r="AG11" s="7">
        <v>34.56</v>
      </c>
      <c r="AH11" s="7">
        <v>36.46</v>
      </c>
      <c r="AI11" s="7">
        <v>36.03</v>
      </c>
      <c r="AJ11" s="25">
        <v>35.24</v>
      </c>
      <c r="AK11" s="7">
        <v>29.76</v>
      </c>
      <c r="AL11" s="7">
        <v>30.84</v>
      </c>
      <c r="AM11" s="7">
        <v>33.130000000000003</v>
      </c>
      <c r="AN11" s="32">
        <v>36.18</v>
      </c>
      <c r="AO11" s="32">
        <v>32.520000000000003</v>
      </c>
      <c r="AP11" s="32">
        <v>33.630000000000003</v>
      </c>
      <c r="AQ11" s="32">
        <v>36.090000000000003</v>
      </c>
      <c r="AR11" s="32">
        <v>35.83</v>
      </c>
      <c r="AS11" s="32">
        <v>35.58</v>
      </c>
      <c r="AT11" s="38"/>
      <c r="AU11" s="32">
        <v>28.21</v>
      </c>
      <c r="AV11" s="32">
        <v>29.93</v>
      </c>
      <c r="AW11" s="32">
        <v>32.78</v>
      </c>
      <c r="AX11" s="32">
        <v>36.24</v>
      </c>
      <c r="AY11" s="32">
        <v>31.99</v>
      </c>
      <c r="AZ11" s="32">
        <v>33.799999999999997</v>
      </c>
      <c r="BA11" s="32">
        <v>35.369999999999997</v>
      </c>
      <c r="BB11" s="32">
        <v>34.090000000000003</v>
      </c>
      <c r="BC11" s="32">
        <v>33.81</v>
      </c>
      <c r="BD11" s="40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</row>
    <row r="12" spans="1:78" x14ac:dyDescent="0.4">
      <c r="A12" s="44"/>
      <c r="B12" s="8" t="s">
        <v>15</v>
      </c>
      <c r="C12" s="7">
        <v>35.61</v>
      </c>
      <c r="D12" s="8">
        <v>35.9</v>
      </c>
      <c r="E12" s="7">
        <v>33.29</v>
      </c>
      <c r="F12" s="14">
        <v>34.200000000000003</v>
      </c>
      <c r="G12" s="14">
        <v>35.979999999999997</v>
      </c>
      <c r="H12" s="18">
        <v>35.69</v>
      </c>
      <c r="I12" s="18">
        <v>28.59</v>
      </c>
      <c r="J12" s="22">
        <v>33.200000000000003</v>
      </c>
      <c r="K12" s="14">
        <v>35.630000000000003</v>
      </c>
      <c r="L12" s="7">
        <v>36.01</v>
      </c>
      <c r="M12" s="30"/>
      <c r="N12" s="7">
        <v>41.21</v>
      </c>
      <c r="O12" s="7">
        <v>41.35</v>
      </c>
      <c r="P12" s="7">
        <v>41.52</v>
      </c>
      <c r="Q12" s="7">
        <v>41.74</v>
      </c>
      <c r="R12" s="7">
        <v>41.74</v>
      </c>
      <c r="S12" s="7">
        <v>42.2</v>
      </c>
      <c r="T12" s="38">
        <v>42.08</v>
      </c>
      <c r="U12" s="38">
        <v>41.72</v>
      </c>
      <c r="V12" s="7">
        <v>41.7</v>
      </c>
      <c r="W12" s="18">
        <v>42.53</v>
      </c>
      <c r="X12" s="7">
        <v>42.27</v>
      </c>
      <c r="Y12" s="7">
        <v>42.13</v>
      </c>
      <c r="Z12" s="30"/>
      <c r="AA12" s="7">
        <v>28.42</v>
      </c>
      <c r="AB12" s="7">
        <v>30.67</v>
      </c>
      <c r="AC12" s="7">
        <v>32.950000000000003</v>
      </c>
      <c r="AD12" s="7">
        <v>35.979999999999997</v>
      </c>
      <c r="AE12" s="7">
        <v>32.14</v>
      </c>
      <c r="AF12" s="25">
        <v>33.42</v>
      </c>
      <c r="AG12" s="7">
        <v>34.4</v>
      </c>
      <c r="AH12" s="7">
        <v>36.28</v>
      </c>
      <c r="AI12" s="7">
        <v>35.86</v>
      </c>
      <c r="AJ12" s="25">
        <v>35.11</v>
      </c>
      <c r="AK12" s="7">
        <v>28.62</v>
      </c>
      <c r="AL12" s="7">
        <v>30.47</v>
      </c>
      <c r="AM12" s="7">
        <v>32.869999999999997</v>
      </c>
      <c r="AN12" s="32">
        <v>35.840000000000003</v>
      </c>
      <c r="AO12" s="32">
        <v>32.29</v>
      </c>
      <c r="AP12" s="32">
        <v>33.4</v>
      </c>
      <c r="AQ12" s="32">
        <v>35.78</v>
      </c>
      <c r="AR12" s="32">
        <v>35.520000000000003</v>
      </c>
      <c r="AS12" s="32">
        <v>35.47</v>
      </c>
      <c r="AT12" s="38"/>
      <c r="AU12" s="32">
        <v>28.03</v>
      </c>
      <c r="AV12" s="32">
        <v>29.78</v>
      </c>
      <c r="AW12" s="32">
        <v>32.630000000000003</v>
      </c>
      <c r="AX12" s="32">
        <v>36.01</v>
      </c>
      <c r="AY12" s="32">
        <v>31.82</v>
      </c>
      <c r="AZ12" s="32">
        <v>33.61</v>
      </c>
      <c r="BA12" s="32">
        <v>35.26</v>
      </c>
      <c r="BB12" s="32">
        <v>34.479999999999997</v>
      </c>
      <c r="BC12" s="32">
        <v>33.69</v>
      </c>
      <c r="BD12" s="40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</row>
    <row r="13" spans="1:78" x14ac:dyDescent="0.4">
      <c r="A13" s="44"/>
      <c r="B13" s="7" t="s">
        <v>16</v>
      </c>
      <c r="C13" s="7">
        <v>8.0299999999999994</v>
      </c>
      <c r="D13" s="7">
        <v>8.61</v>
      </c>
      <c r="E13" s="7">
        <v>7.28</v>
      </c>
      <c r="F13" s="14">
        <v>7.7</v>
      </c>
      <c r="G13" s="14">
        <v>9.9600000000000009</v>
      </c>
      <c r="H13" s="18">
        <v>8.9</v>
      </c>
      <c r="I13" s="18">
        <v>6.93</v>
      </c>
      <c r="J13" s="22">
        <v>8.44</v>
      </c>
      <c r="K13" s="14">
        <v>10.029999999999999</v>
      </c>
      <c r="L13" s="7">
        <v>12.16</v>
      </c>
      <c r="M13" s="30"/>
      <c r="N13" s="7">
        <v>9.41</v>
      </c>
      <c r="O13" s="7">
        <v>9.75</v>
      </c>
      <c r="P13" s="7">
        <v>10.039999999999999</v>
      </c>
      <c r="Q13" s="7">
        <v>10.63</v>
      </c>
      <c r="R13" s="7">
        <v>12.19</v>
      </c>
      <c r="S13" s="7">
        <v>10.52</v>
      </c>
      <c r="T13" s="38">
        <v>9.56</v>
      </c>
      <c r="U13" s="38">
        <v>8.84</v>
      </c>
      <c r="V13" s="7">
        <v>8.5299999999999994</v>
      </c>
      <c r="W13" s="18">
        <v>9.58</v>
      </c>
      <c r="X13" s="7">
        <v>8.6199999999999992</v>
      </c>
      <c r="Y13" s="7">
        <v>8.1</v>
      </c>
      <c r="Z13" s="30"/>
      <c r="AA13" s="7">
        <v>7.18</v>
      </c>
      <c r="AB13" s="7">
        <v>7.79</v>
      </c>
      <c r="AC13" s="7">
        <v>8.66</v>
      </c>
      <c r="AD13" s="7">
        <v>10.92</v>
      </c>
      <c r="AE13" s="7">
        <v>8.35</v>
      </c>
      <c r="AF13" s="25">
        <v>7.79</v>
      </c>
      <c r="AG13" s="7">
        <v>8.31</v>
      </c>
      <c r="AH13" s="7">
        <v>10.56</v>
      </c>
      <c r="AI13" s="7">
        <v>9</v>
      </c>
      <c r="AJ13" s="25">
        <v>7.95</v>
      </c>
      <c r="AK13" s="7">
        <v>7.49</v>
      </c>
      <c r="AL13" s="7">
        <v>8.06</v>
      </c>
      <c r="AM13" s="7">
        <v>8.84</v>
      </c>
      <c r="AN13" s="32">
        <v>11.26</v>
      </c>
      <c r="AO13" s="32">
        <v>7.24</v>
      </c>
      <c r="AP13" s="32">
        <v>7.83</v>
      </c>
      <c r="AQ13" s="32">
        <v>10.39</v>
      </c>
      <c r="AR13" s="32">
        <v>8.75</v>
      </c>
      <c r="AS13" s="32">
        <v>8.4600000000000009</v>
      </c>
      <c r="AT13" s="38"/>
      <c r="AU13" s="32">
        <v>7.54</v>
      </c>
      <c r="AV13" s="32">
        <v>8.02</v>
      </c>
      <c r="AW13" s="32">
        <v>9.2100000000000009</v>
      </c>
      <c r="AX13" s="32">
        <v>11.59</v>
      </c>
      <c r="AY13" s="32">
        <v>7.21</v>
      </c>
      <c r="AZ13" s="32">
        <v>8.01</v>
      </c>
      <c r="BA13" s="32">
        <v>10.54</v>
      </c>
      <c r="BB13" s="32">
        <v>9</v>
      </c>
      <c r="BC13" s="32">
        <v>7.65</v>
      </c>
      <c r="BD13" s="40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Z13" s="4"/>
    </row>
    <row r="14" spans="1:78" x14ac:dyDescent="0.4">
      <c r="A14" s="44"/>
      <c r="B14" s="7" t="s">
        <v>17</v>
      </c>
      <c r="C14" s="7">
        <v>7.82</v>
      </c>
      <c r="D14" s="7">
        <v>8.36</v>
      </c>
      <c r="E14" s="7">
        <v>7.18</v>
      </c>
      <c r="F14" s="14">
        <v>7.66</v>
      </c>
      <c r="G14" s="14">
        <v>9.86</v>
      </c>
      <c r="H14" s="18">
        <v>8.84</v>
      </c>
      <c r="I14" s="18">
        <v>7.1</v>
      </c>
      <c r="J14" s="22">
        <v>8.5</v>
      </c>
      <c r="K14" s="14">
        <v>10.039999999999999</v>
      </c>
      <c r="L14" s="7">
        <v>12.04</v>
      </c>
      <c r="M14" s="30"/>
      <c r="N14" s="7">
        <v>9.16</v>
      </c>
      <c r="O14" s="18">
        <v>9.51</v>
      </c>
      <c r="P14" s="7">
        <v>9.85</v>
      </c>
      <c r="Q14" s="7">
        <v>10.43</v>
      </c>
      <c r="R14" s="7">
        <v>11.89</v>
      </c>
      <c r="S14" s="7">
        <v>10.18</v>
      </c>
      <c r="T14" s="38">
        <v>9.27</v>
      </c>
      <c r="U14" s="38">
        <v>8.68</v>
      </c>
      <c r="V14" s="7">
        <v>8.36</v>
      </c>
      <c r="W14" s="18">
        <v>9.2100000000000009</v>
      </c>
      <c r="X14" s="7">
        <v>8.27</v>
      </c>
      <c r="Y14" s="7">
        <v>7.78</v>
      </c>
      <c r="Z14" s="30"/>
      <c r="AA14" s="7">
        <v>7.24</v>
      </c>
      <c r="AB14" s="7">
        <v>7.86</v>
      </c>
      <c r="AC14" s="7">
        <v>8.68</v>
      </c>
      <c r="AD14" s="7">
        <v>10.91</v>
      </c>
      <c r="AE14" s="7">
        <v>8.42</v>
      </c>
      <c r="AF14" s="25">
        <v>7.53</v>
      </c>
      <c r="AG14" s="7">
        <v>8.0299999999999994</v>
      </c>
      <c r="AH14" s="7">
        <v>10.24</v>
      </c>
      <c r="AI14" s="7">
        <v>8.66</v>
      </c>
      <c r="AJ14" s="25">
        <v>7.71</v>
      </c>
      <c r="AK14" s="7">
        <v>7.53</v>
      </c>
      <c r="AL14" s="7">
        <v>8.1199999999999992</v>
      </c>
      <c r="AM14" s="7">
        <v>8.91</v>
      </c>
      <c r="AN14" s="32">
        <v>11.26</v>
      </c>
      <c r="AO14" s="32">
        <v>7.28</v>
      </c>
      <c r="AP14" s="32">
        <v>7.77</v>
      </c>
      <c r="AQ14" s="32">
        <v>10.210000000000001</v>
      </c>
      <c r="AR14" s="32">
        <v>8.57</v>
      </c>
      <c r="AS14" s="32">
        <v>7.92</v>
      </c>
      <c r="AT14" s="38"/>
      <c r="AU14" s="32">
        <v>7.39</v>
      </c>
      <c r="AV14" s="32">
        <v>7.86</v>
      </c>
      <c r="AW14" s="32">
        <v>9.0299999999999994</v>
      </c>
      <c r="AX14" s="32">
        <v>11.44</v>
      </c>
      <c r="AY14" s="32">
        <v>7.17</v>
      </c>
      <c r="AZ14" s="32">
        <v>7.89</v>
      </c>
      <c r="BA14" s="32">
        <v>10.34</v>
      </c>
      <c r="BB14" s="32">
        <v>8.8000000000000007</v>
      </c>
      <c r="BC14" s="32">
        <v>7.52</v>
      </c>
      <c r="BD14" s="40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Z14" s="6"/>
    </row>
    <row r="15" spans="1:78" x14ac:dyDescent="0.4">
      <c r="A15" s="44"/>
      <c r="B15" s="7" t="s">
        <v>18</v>
      </c>
      <c r="C15" s="7">
        <v>4.32</v>
      </c>
      <c r="D15" s="7">
        <v>4.7</v>
      </c>
      <c r="E15" s="7">
        <v>4.71</v>
      </c>
      <c r="F15" s="14">
        <v>5.1100000000000003</v>
      </c>
      <c r="G15" s="14">
        <v>6.86</v>
      </c>
      <c r="H15" s="18">
        <v>6.08</v>
      </c>
      <c r="I15" s="18">
        <v>5.64</v>
      </c>
      <c r="J15" s="22">
        <v>6.78</v>
      </c>
      <c r="K15" s="14">
        <v>8.06</v>
      </c>
      <c r="L15" s="7">
        <v>9.8000000000000007</v>
      </c>
      <c r="M15" s="30"/>
      <c r="N15" s="7">
        <v>6.35</v>
      </c>
      <c r="O15" s="18">
        <v>6.6</v>
      </c>
      <c r="P15" s="7">
        <v>6.88</v>
      </c>
      <c r="Q15" s="7">
        <v>7.21</v>
      </c>
      <c r="R15" s="7">
        <v>8.34</v>
      </c>
      <c r="S15" s="7">
        <v>5.54</v>
      </c>
      <c r="T15" s="38">
        <v>4.93</v>
      </c>
      <c r="U15" s="38">
        <v>4.58</v>
      </c>
      <c r="V15" s="7">
        <v>4.54</v>
      </c>
      <c r="W15" s="18">
        <v>3.63</v>
      </c>
      <c r="X15" s="7">
        <v>2.98</v>
      </c>
      <c r="Y15" s="7">
        <v>2.69</v>
      </c>
      <c r="Z15" s="30"/>
      <c r="AA15" s="7">
        <v>5.92</v>
      </c>
      <c r="AB15" s="7">
        <v>6.38</v>
      </c>
      <c r="AC15" s="7">
        <v>7.08</v>
      </c>
      <c r="AD15" s="7">
        <v>8.8800000000000008</v>
      </c>
      <c r="AE15" s="7">
        <v>6.86</v>
      </c>
      <c r="AF15" s="25">
        <v>5.12</v>
      </c>
      <c r="AG15" s="7">
        <v>5.54</v>
      </c>
      <c r="AH15" s="7">
        <v>7.36</v>
      </c>
      <c r="AI15" s="7">
        <v>5.17</v>
      </c>
      <c r="AJ15" s="25">
        <v>4.4000000000000004</v>
      </c>
      <c r="AK15" s="7">
        <v>6.24</v>
      </c>
      <c r="AL15" s="7">
        <v>6.73</v>
      </c>
      <c r="AM15" s="7">
        <v>7.34</v>
      </c>
      <c r="AN15" s="32">
        <v>9.2799999999999994</v>
      </c>
      <c r="AO15" s="32">
        <v>5.04</v>
      </c>
      <c r="AP15" s="32">
        <v>5.45</v>
      </c>
      <c r="AQ15" s="32">
        <v>7.42</v>
      </c>
      <c r="AR15" s="32">
        <v>5.18</v>
      </c>
      <c r="AS15" s="32">
        <v>4.72</v>
      </c>
      <c r="AT15" s="38"/>
      <c r="AU15" s="32">
        <v>6.19</v>
      </c>
      <c r="AV15" s="32">
        <v>6.55</v>
      </c>
      <c r="AW15" s="32">
        <v>7.56</v>
      </c>
      <c r="AX15" s="32">
        <v>9.52</v>
      </c>
      <c r="AY15" s="32">
        <v>5.03</v>
      </c>
      <c r="AZ15" s="32">
        <v>5.6</v>
      </c>
      <c r="BA15" s="32">
        <v>7.68</v>
      </c>
      <c r="BB15" s="32">
        <v>5.57</v>
      </c>
      <c r="BC15" s="32">
        <v>4.49</v>
      </c>
      <c r="BD15" s="40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Z15" s="6"/>
    </row>
    <row r="16" spans="1:78" x14ac:dyDescent="0.4">
      <c r="A16" s="44"/>
      <c r="B16" s="7" t="s">
        <v>19</v>
      </c>
      <c r="C16" s="7">
        <v>3.42</v>
      </c>
      <c r="D16" s="7">
        <v>3.81</v>
      </c>
      <c r="E16" s="7">
        <v>4.07</v>
      </c>
      <c r="F16" s="14">
        <v>4.3499999999999996</v>
      </c>
      <c r="G16" s="14">
        <v>5.96</v>
      </c>
      <c r="H16" s="18">
        <v>5.24</v>
      </c>
      <c r="I16" s="18">
        <v>5.13</v>
      </c>
      <c r="J16" s="22">
        <v>6.21</v>
      </c>
      <c r="K16" s="14">
        <v>7.43</v>
      </c>
      <c r="L16" s="7">
        <v>9.06</v>
      </c>
      <c r="M16" s="30"/>
      <c r="N16" s="7">
        <v>5.94</v>
      </c>
      <c r="O16" s="18">
        <v>6.09</v>
      </c>
      <c r="P16" s="7">
        <v>6.33</v>
      </c>
      <c r="Q16" s="7">
        <v>6.51</v>
      </c>
      <c r="R16" s="7">
        <v>7.51</v>
      </c>
      <c r="S16" s="7">
        <v>4.3899999999999997</v>
      </c>
      <c r="T16" s="38">
        <v>3.81</v>
      </c>
      <c r="U16" s="38">
        <v>3.55</v>
      </c>
      <c r="V16" s="7">
        <v>3.53</v>
      </c>
      <c r="W16" s="18">
        <v>2.14</v>
      </c>
      <c r="X16" s="7">
        <v>1.58</v>
      </c>
      <c r="Y16" s="7">
        <v>1.36</v>
      </c>
      <c r="Z16" s="30"/>
      <c r="AA16" s="7">
        <v>5.52</v>
      </c>
      <c r="AB16" s="7">
        <v>5.96</v>
      </c>
      <c r="AC16" s="7">
        <v>6.6</v>
      </c>
      <c r="AD16" s="7">
        <v>8.2799999999999994</v>
      </c>
      <c r="AE16" s="7">
        <v>6.36</v>
      </c>
      <c r="AF16" s="25">
        <v>4.8600000000000003</v>
      </c>
      <c r="AG16" s="7">
        <v>5.17</v>
      </c>
      <c r="AH16" s="7">
        <v>6.76</v>
      </c>
      <c r="AI16" s="7">
        <v>4.3899999999999997</v>
      </c>
      <c r="AJ16" s="25">
        <v>3.66</v>
      </c>
      <c r="AK16" s="7">
        <v>5.88</v>
      </c>
      <c r="AL16" s="7">
        <v>6.37</v>
      </c>
      <c r="AM16" s="7">
        <v>6.91</v>
      </c>
      <c r="AN16" s="32">
        <v>8.7799999999999994</v>
      </c>
      <c r="AO16" s="32">
        <v>4.42</v>
      </c>
      <c r="AP16" s="32">
        <v>4.7699999999999996</v>
      </c>
      <c r="AQ16" s="32">
        <v>6.69</v>
      </c>
      <c r="AR16" s="32">
        <v>4.2699999999999996</v>
      </c>
      <c r="AS16" s="32">
        <v>4.22</v>
      </c>
      <c r="AT16" s="38"/>
      <c r="AU16" s="32">
        <v>6.11</v>
      </c>
      <c r="AV16" s="32">
        <v>6.36</v>
      </c>
      <c r="AW16" s="32">
        <v>7.32</v>
      </c>
      <c r="AX16" s="32">
        <v>9.01</v>
      </c>
      <c r="AY16" s="32">
        <v>4.4400000000000004</v>
      </c>
      <c r="AZ16" s="32">
        <v>5.01</v>
      </c>
      <c r="BA16" s="32">
        <v>6.9</v>
      </c>
      <c r="BB16" s="32">
        <v>4.6100000000000003</v>
      </c>
      <c r="BC16" s="32">
        <v>3.59</v>
      </c>
      <c r="BD16" s="40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Z16" s="6"/>
    </row>
    <row r="17" spans="1:78" x14ac:dyDescent="0.4">
      <c r="A17" s="44"/>
      <c r="B17" s="7" t="s">
        <v>20</v>
      </c>
      <c r="C17" s="7">
        <v>2.94</v>
      </c>
      <c r="D17" s="7">
        <v>3.33</v>
      </c>
      <c r="E17" s="7">
        <v>3.7</v>
      </c>
      <c r="F17" s="14">
        <v>3.97</v>
      </c>
      <c r="G17" s="14">
        <v>5.71</v>
      </c>
      <c r="H17" s="18">
        <v>4.99</v>
      </c>
      <c r="I17" s="18">
        <v>4.8600000000000003</v>
      </c>
      <c r="J17" s="22">
        <v>6.02</v>
      </c>
      <c r="K17" s="14">
        <v>7.24</v>
      </c>
      <c r="L17" s="7">
        <v>8.89</v>
      </c>
      <c r="M17" s="30"/>
      <c r="N17" s="7">
        <v>5.52</v>
      </c>
      <c r="O17" s="18">
        <v>5.63</v>
      </c>
      <c r="P17" s="7">
        <v>5.84</v>
      </c>
      <c r="Q17" s="7">
        <v>6.09</v>
      </c>
      <c r="R17" s="7">
        <v>7.06</v>
      </c>
      <c r="S17" s="7">
        <v>3.84</v>
      </c>
      <c r="T17" s="38">
        <v>3.28</v>
      </c>
      <c r="U17" s="38">
        <v>2.99</v>
      </c>
      <c r="V17" s="7">
        <v>3.02</v>
      </c>
      <c r="W17" s="18">
        <v>1.54</v>
      </c>
      <c r="X17" s="7">
        <v>0.95</v>
      </c>
      <c r="Y17" s="7">
        <v>0.75</v>
      </c>
      <c r="Z17" s="30"/>
      <c r="AA17" s="7">
        <v>5.21</v>
      </c>
      <c r="AB17" s="7">
        <v>5.72</v>
      </c>
      <c r="AC17" s="7">
        <v>6.34</v>
      </c>
      <c r="AD17" s="7">
        <v>8.0399999999999991</v>
      </c>
      <c r="AE17" s="7">
        <v>6.17</v>
      </c>
      <c r="AF17" s="25">
        <v>4.28</v>
      </c>
      <c r="AG17" s="7">
        <v>4.66</v>
      </c>
      <c r="AH17" s="7">
        <v>6.33</v>
      </c>
      <c r="AI17" s="7">
        <v>3.89</v>
      </c>
      <c r="AJ17" s="25">
        <v>3.06</v>
      </c>
      <c r="AK17" s="7">
        <v>5.55</v>
      </c>
      <c r="AL17" s="7">
        <v>6.04</v>
      </c>
      <c r="AM17" s="7">
        <v>6.64</v>
      </c>
      <c r="AN17" s="32">
        <v>8.4499999999999993</v>
      </c>
      <c r="AO17" s="32">
        <v>3.99</v>
      </c>
      <c r="AP17" s="32">
        <v>4.5</v>
      </c>
      <c r="AQ17" s="32">
        <v>6.3</v>
      </c>
      <c r="AR17" s="32">
        <v>3.86</v>
      </c>
      <c r="AS17" s="32">
        <v>3.59</v>
      </c>
      <c r="AT17" s="38"/>
      <c r="AU17" s="32">
        <v>5.74</v>
      </c>
      <c r="AV17" s="32">
        <v>6.01</v>
      </c>
      <c r="AW17" s="32">
        <v>7.04</v>
      </c>
      <c r="AX17" s="32">
        <v>8.67</v>
      </c>
      <c r="AY17" s="32">
        <v>4.09</v>
      </c>
      <c r="AZ17" s="32">
        <v>4.66</v>
      </c>
      <c r="BA17" s="32">
        <v>6.6</v>
      </c>
      <c r="BB17" s="32">
        <v>4.16</v>
      </c>
      <c r="BC17" s="32">
        <v>3.19</v>
      </c>
      <c r="BD17" s="40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Z17" s="6"/>
    </row>
    <row r="18" spans="1:78" x14ac:dyDescent="0.4">
      <c r="A18" s="44"/>
      <c r="B18" s="7" t="s">
        <v>21</v>
      </c>
      <c r="C18" s="7">
        <v>0.86</v>
      </c>
      <c r="D18" s="7">
        <v>1.23</v>
      </c>
      <c r="E18" s="7">
        <v>2.33</v>
      </c>
      <c r="F18" s="14">
        <v>2.57</v>
      </c>
      <c r="G18" s="14">
        <v>4.03</v>
      </c>
      <c r="H18" s="18">
        <v>3.42</v>
      </c>
      <c r="I18" s="18">
        <v>4.01</v>
      </c>
      <c r="J18" s="22">
        <v>5.05</v>
      </c>
      <c r="K18" s="14">
        <v>6.17</v>
      </c>
      <c r="L18" s="7">
        <v>7.67</v>
      </c>
      <c r="M18" s="30"/>
      <c r="N18" s="7">
        <v>41.23</v>
      </c>
      <c r="O18" s="18">
        <v>41.43</v>
      </c>
      <c r="P18" s="7">
        <v>41.34</v>
      </c>
      <c r="Q18" s="7">
        <v>41.42</v>
      </c>
      <c r="R18" s="7">
        <v>41.37</v>
      </c>
      <c r="S18" s="7">
        <v>41.74</v>
      </c>
      <c r="T18" s="38">
        <v>41.68</v>
      </c>
      <c r="U18" s="38">
        <v>41.44</v>
      </c>
      <c r="V18" s="7">
        <v>41.44</v>
      </c>
      <c r="W18" s="18">
        <v>41.96</v>
      </c>
      <c r="X18" s="7">
        <v>41.87</v>
      </c>
      <c r="Y18" s="7">
        <v>41.82</v>
      </c>
      <c r="Z18" s="30"/>
      <c r="AA18" s="7">
        <v>4.42</v>
      </c>
      <c r="AB18" s="7">
        <v>4.8600000000000003</v>
      </c>
      <c r="AC18" s="7">
        <v>5.41</v>
      </c>
      <c r="AD18" s="7">
        <v>6.94</v>
      </c>
      <c r="AE18" s="7">
        <v>5.25</v>
      </c>
      <c r="AF18" s="25">
        <v>3.05</v>
      </c>
      <c r="AG18" s="7">
        <v>3.29</v>
      </c>
      <c r="AH18" s="7">
        <v>4.74</v>
      </c>
      <c r="AI18" s="7">
        <v>1.92</v>
      </c>
      <c r="AJ18" s="25">
        <v>1.1200000000000001</v>
      </c>
      <c r="AK18" s="7">
        <v>4.7699999999999996</v>
      </c>
      <c r="AL18" s="7">
        <v>5.2</v>
      </c>
      <c r="AM18" s="7">
        <v>5.82</v>
      </c>
      <c r="AN18" s="32">
        <v>7.39</v>
      </c>
      <c r="AO18" s="32">
        <v>2.72</v>
      </c>
      <c r="AP18" s="32">
        <v>3.08</v>
      </c>
      <c r="AQ18" s="32">
        <v>4.47</v>
      </c>
      <c r="AR18" s="32">
        <v>1.8</v>
      </c>
      <c r="AS18" s="32">
        <v>1.69</v>
      </c>
      <c r="AT18" s="38"/>
      <c r="AU18" s="32">
        <v>5.0199999999999996</v>
      </c>
      <c r="AV18" s="32">
        <v>5.23</v>
      </c>
      <c r="AW18" s="32">
        <v>6.23</v>
      </c>
      <c r="AX18" s="32">
        <v>7.56</v>
      </c>
      <c r="AY18" s="32">
        <v>2.88</v>
      </c>
      <c r="AZ18" s="32">
        <v>3.31</v>
      </c>
      <c r="BA18" s="32">
        <v>5.01</v>
      </c>
      <c r="BB18" s="32">
        <v>2.1</v>
      </c>
      <c r="BC18" s="32">
        <v>1.28</v>
      </c>
      <c r="BD18" s="40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Z18" s="32"/>
    </row>
    <row r="19" spans="1:78" x14ac:dyDescent="0.4">
      <c r="A19" s="44"/>
      <c r="B19" s="7" t="s">
        <v>22</v>
      </c>
      <c r="C19" s="7">
        <v>36.229999999999997</v>
      </c>
      <c r="D19" s="7">
        <v>35.94</v>
      </c>
      <c r="E19" s="7">
        <v>36.67</v>
      </c>
      <c r="F19" s="14">
        <v>36.590000000000003</v>
      </c>
      <c r="G19" s="14">
        <v>35.86</v>
      </c>
      <c r="H19" s="18">
        <v>36.43</v>
      </c>
      <c r="I19" s="18">
        <v>35.799999999999997</v>
      </c>
      <c r="J19" s="22">
        <v>36.75</v>
      </c>
      <c r="K19" s="14">
        <v>36.65</v>
      </c>
      <c r="L19" s="7">
        <v>35.83</v>
      </c>
      <c r="M19" s="30"/>
      <c r="N19" s="7">
        <v>39.590000000000003</v>
      </c>
      <c r="O19" s="7">
        <v>39.74</v>
      </c>
      <c r="P19" s="7">
        <v>39.700000000000003</v>
      </c>
      <c r="Q19" s="7">
        <v>39.81</v>
      </c>
      <c r="R19" s="7">
        <v>39.89</v>
      </c>
      <c r="S19" s="7">
        <v>39.94</v>
      </c>
      <c r="T19" s="38">
        <v>39.82</v>
      </c>
      <c r="U19" s="38">
        <v>41.72</v>
      </c>
      <c r="V19" s="7">
        <v>39.57</v>
      </c>
      <c r="W19" s="18">
        <v>39.880000000000003</v>
      </c>
      <c r="X19" s="7">
        <v>39.68</v>
      </c>
      <c r="Y19" s="7">
        <v>39.549999999999997</v>
      </c>
      <c r="Z19" s="30"/>
      <c r="AA19" s="7">
        <v>35.74</v>
      </c>
      <c r="AB19" s="7">
        <v>36.36</v>
      </c>
      <c r="AC19" s="7">
        <v>36.78</v>
      </c>
      <c r="AD19" s="7">
        <v>36.4</v>
      </c>
      <c r="AE19" s="7">
        <v>36.71</v>
      </c>
      <c r="AF19" s="25">
        <v>36.950000000000003</v>
      </c>
      <c r="AG19" s="7">
        <v>37</v>
      </c>
      <c r="AH19" s="7">
        <v>36.15</v>
      </c>
      <c r="AI19" s="7">
        <v>36.020000000000003</v>
      </c>
      <c r="AJ19" s="25">
        <v>36.32</v>
      </c>
      <c r="AK19" s="7">
        <v>35.729999999999997</v>
      </c>
      <c r="AL19" s="7">
        <v>36.35</v>
      </c>
      <c r="AM19" s="7">
        <v>36.799999999999997</v>
      </c>
      <c r="AN19" s="32">
        <v>36.19</v>
      </c>
      <c r="AO19" s="32">
        <v>36.409999999999997</v>
      </c>
      <c r="AP19" s="32">
        <v>36.42</v>
      </c>
      <c r="AQ19" s="32">
        <v>35.74</v>
      </c>
      <c r="AR19" s="32">
        <v>35.78</v>
      </c>
      <c r="AS19" s="32">
        <v>36.47</v>
      </c>
      <c r="AT19" s="38"/>
      <c r="AU19" s="32">
        <v>35.729999999999997</v>
      </c>
      <c r="AV19" s="32">
        <v>36.14</v>
      </c>
      <c r="AW19" s="32">
        <v>36.65</v>
      </c>
      <c r="AX19" s="32">
        <v>36.03</v>
      </c>
      <c r="AY19" s="32">
        <v>36.35</v>
      </c>
      <c r="AZ19" s="32">
        <v>36.39</v>
      </c>
      <c r="BA19" s="32">
        <v>34.799999999999997</v>
      </c>
      <c r="BB19" s="32">
        <v>34.049999999999997</v>
      </c>
      <c r="BC19" s="32">
        <v>35.479999999999997</v>
      </c>
      <c r="BD19" s="40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Z19" s="32"/>
    </row>
    <row r="20" spans="1:78" x14ac:dyDescent="0.4">
      <c r="A20" s="45" t="s">
        <v>23</v>
      </c>
      <c r="B20" s="9" t="s">
        <v>24</v>
      </c>
      <c r="C20" s="10">
        <v>3.43</v>
      </c>
      <c r="D20" s="10">
        <v>3.47</v>
      </c>
      <c r="E20" s="10">
        <v>3.59</v>
      </c>
      <c r="F20" s="10">
        <v>3.62</v>
      </c>
      <c r="G20" s="10">
        <v>3.76</v>
      </c>
      <c r="H20" s="10">
        <v>3.7</v>
      </c>
      <c r="I20" s="10">
        <v>3.78</v>
      </c>
      <c r="J20" s="23">
        <v>3.89</v>
      </c>
      <c r="K20" s="10">
        <v>4</v>
      </c>
      <c r="L20" s="10">
        <v>4.16</v>
      </c>
      <c r="M20" s="10"/>
      <c r="N20" s="10">
        <v>3.81</v>
      </c>
      <c r="O20" s="10">
        <v>3.82</v>
      </c>
      <c r="P20" s="10">
        <v>3.85</v>
      </c>
      <c r="Q20" s="10">
        <v>3.87</v>
      </c>
      <c r="R20" s="10">
        <v>3.96</v>
      </c>
      <c r="S20" s="10">
        <v>3.58</v>
      </c>
      <c r="T20" s="10">
        <v>3.54</v>
      </c>
      <c r="U20" s="10">
        <v>3.53</v>
      </c>
      <c r="V20" s="10">
        <v>3.54</v>
      </c>
      <c r="W20" s="10">
        <v>3.3</v>
      </c>
      <c r="X20" s="10">
        <v>3.26</v>
      </c>
      <c r="Y20" s="10">
        <v>3.25</v>
      </c>
      <c r="Z20" s="10"/>
      <c r="AA20" s="10">
        <v>3.82</v>
      </c>
      <c r="AB20" s="10">
        <v>3.86</v>
      </c>
      <c r="AC20" s="10">
        <v>3.92</v>
      </c>
      <c r="AD20" s="10">
        <v>4.08</v>
      </c>
      <c r="AE20" s="10">
        <v>3.91</v>
      </c>
      <c r="AF20" s="10">
        <v>3.63</v>
      </c>
      <c r="AG20" s="10">
        <v>3.66</v>
      </c>
      <c r="AH20" s="10">
        <v>3.81</v>
      </c>
      <c r="AI20" s="10">
        <v>3.51</v>
      </c>
      <c r="AJ20" s="10">
        <v>3.46</v>
      </c>
      <c r="AK20" s="10">
        <v>3.85</v>
      </c>
      <c r="AL20" s="10">
        <v>3.9</v>
      </c>
      <c r="AM20" s="10">
        <v>3.96</v>
      </c>
      <c r="AN20" s="10">
        <v>4.1399999999999997</v>
      </c>
      <c r="AO20" s="10">
        <v>3.64</v>
      </c>
      <c r="AP20" s="10">
        <v>3.68</v>
      </c>
      <c r="AQ20" s="10">
        <v>3.85</v>
      </c>
      <c r="AR20" s="10">
        <v>3.54</v>
      </c>
      <c r="AS20" s="10">
        <v>3.49</v>
      </c>
      <c r="AT20" s="10"/>
      <c r="AU20" s="10">
        <v>3.86</v>
      </c>
      <c r="AV20" s="10">
        <v>3.89</v>
      </c>
      <c r="AW20" s="10">
        <v>3.99</v>
      </c>
      <c r="AX20" s="10">
        <v>4.16</v>
      </c>
      <c r="AY20" s="10">
        <v>3.65</v>
      </c>
      <c r="AZ20" s="10">
        <v>3.69</v>
      </c>
      <c r="BA20" s="10">
        <v>3.87</v>
      </c>
      <c r="BB20" s="10">
        <v>3.57</v>
      </c>
      <c r="BC20" s="10">
        <v>3.5</v>
      </c>
      <c r="BD20" s="10"/>
      <c r="BE20" s="10">
        <v>3.49</v>
      </c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Z20" s="32"/>
    </row>
    <row r="21" spans="1:78" x14ac:dyDescent="0.4">
      <c r="A21" s="45"/>
      <c r="B21" s="9" t="s">
        <v>25</v>
      </c>
      <c r="C21" s="10">
        <v>9.4</v>
      </c>
      <c r="D21" s="10">
        <v>9.3000000000000007</v>
      </c>
      <c r="E21" s="10">
        <v>9.73</v>
      </c>
      <c r="F21" s="10">
        <v>9.57</v>
      </c>
      <c r="G21" s="10">
        <v>9.08</v>
      </c>
      <c r="H21" s="10">
        <v>9.31</v>
      </c>
      <c r="I21" s="10">
        <v>10.24</v>
      </c>
      <c r="J21" s="23">
        <v>9.61</v>
      </c>
      <c r="K21" s="10">
        <v>9.24</v>
      </c>
      <c r="L21" s="10">
        <v>8.85</v>
      </c>
      <c r="M21" s="10"/>
      <c r="N21" s="10">
        <v>11.55</v>
      </c>
      <c r="O21" s="10">
        <v>11.22</v>
      </c>
      <c r="P21" s="10">
        <v>10.92</v>
      </c>
      <c r="Q21" s="10">
        <v>10.51</v>
      </c>
      <c r="R21" s="10">
        <v>10.02</v>
      </c>
      <c r="S21" s="10">
        <v>10.44</v>
      </c>
      <c r="T21" s="10">
        <v>10.8</v>
      </c>
      <c r="U21" s="10">
        <v>11.15</v>
      </c>
      <c r="V21" s="10">
        <v>11.52</v>
      </c>
      <c r="W21" s="10">
        <v>10.8</v>
      </c>
      <c r="X21" s="10">
        <v>11.15</v>
      </c>
      <c r="Y21" s="10">
        <v>11.48</v>
      </c>
      <c r="Z21" s="10"/>
      <c r="AA21" s="10">
        <v>10.3</v>
      </c>
      <c r="AB21" s="10">
        <v>9.9</v>
      </c>
      <c r="AC21" s="10">
        <v>9.6199999999999992</v>
      </c>
      <c r="AD21" s="10">
        <v>9</v>
      </c>
      <c r="AE21" s="10">
        <v>9.75</v>
      </c>
      <c r="AF21" s="10">
        <v>9.77</v>
      </c>
      <c r="AG21" s="10">
        <v>9.6199999999999992</v>
      </c>
      <c r="AH21" s="10">
        <v>9.11</v>
      </c>
      <c r="AI21" s="10">
        <v>9.31</v>
      </c>
      <c r="AJ21" s="10">
        <v>9.5</v>
      </c>
      <c r="AK21" s="10">
        <v>10.24</v>
      </c>
      <c r="AL21" s="10">
        <v>9.92</v>
      </c>
      <c r="AM21" s="10">
        <v>9.61</v>
      </c>
      <c r="AN21" s="10">
        <v>9.0399999999999991</v>
      </c>
      <c r="AO21" s="10">
        <v>9.7799999999999994</v>
      </c>
      <c r="AP21" s="10">
        <v>9.61</v>
      </c>
      <c r="AQ21" s="10">
        <v>9.08</v>
      </c>
      <c r="AR21" s="10">
        <v>9.3000000000000007</v>
      </c>
      <c r="AS21" s="10">
        <v>9.4600000000000009</v>
      </c>
      <c r="AT21" s="10"/>
      <c r="AU21" s="10">
        <v>10.42</v>
      </c>
      <c r="AV21" s="10">
        <v>10.050000000000001</v>
      </c>
      <c r="AW21" s="10">
        <v>9.6199999999999992</v>
      </c>
      <c r="AX21" s="10">
        <v>9.0299999999999994</v>
      </c>
      <c r="AY21" s="10">
        <v>9.83</v>
      </c>
      <c r="AZ21" s="10">
        <v>9.61</v>
      </c>
      <c r="BA21" s="10">
        <v>9.1</v>
      </c>
      <c r="BB21" s="10">
        <v>9.3000000000000007</v>
      </c>
      <c r="BC21" s="10">
        <v>9.5500000000000007</v>
      </c>
      <c r="BD21" s="10"/>
      <c r="BE21" s="10">
        <v>9.7200000000000006</v>
      </c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Z21" s="32"/>
    </row>
    <row r="22" spans="1:78" x14ac:dyDescent="0.4">
      <c r="A22" s="45"/>
      <c r="B22" s="9" t="s">
        <v>26</v>
      </c>
      <c r="C22" s="10">
        <v>8.98</v>
      </c>
      <c r="D22" s="10">
        <v>8.8369999999999997</v>
      </c>
      <c r="E22" s="10">
        <v>9.4710000000000001</v>
      </c>
      <c r="F22" s="10">
        <v>9.282</v>
      </c>
      <c r="G22" s="10">
        <v>8.6660000000000004</v>
      </c>
      <c r="H22" s="10">
        <v>8.9529999999999994</v>
      </c>
      <c r="I22" s="10">
        <v>10.103</v>
      </c>
      <c r="J22" s="23">
        <v>9.3789999999999996</v>
      </c>
      <c r="K22" s="10">
        <v>8.9930000000000003</v>
      </c>
      <c r="L22" s="10">
        <v>8.4939999999999998</v>
      </c>
      <c r="M22" s="10"/>
      <c r="N22" s="10">
        <v>11.335000000000001</v>
      </c>
      <c r="O22" s="16">
        <v>10.997999999999999</v>
      </c>
      <c r="P22" s="10">
        <v>10.691000000000001</v>
      </c>
      <c r="Q22" s="10">
        <v>10.243</v>
      </c>
      <c r="R22" s="10">
        <v>9.6630000000000003</v>
      </c>
      <c r="S22" s="10">
        <v>9.9969999999999999</v>
      </c>
      <c r="T22" s="10">
        <v>10.472</v>
      </c>
      <c r="U22" s="10">
        <v>10.847</v>
      </c>
      <c r="V22" s="10">
        <v>11.26</v>
      </c>
      <c r="W22" s="10">
        <v>10.324</v>
      </c>
      <c r="X22" s="10">
        <v>10.75</v>
      </c>
      <c r="Y22" s="10">
        <v>11.117000000000001</v>
      </c>
      <c r="Z22" s="10"/>
      <c r="AA22" s="10">
        <v>10.194000000000001</v>
      </c>
      <c r="AB22" s="10">
        <v>9.7539999999999996</v>
      </c>
      <c r="AC22" s="10">
        <v>9.4489999999999998</v>
      </c>
      <c r="AD22" s="10">
        <v>8.7769999999999992</v>
      </c>
      <c r="AE22" s="10">
        <v>9.5660000000000007</v>
      </c>
      <c r="AF22" s="10">
        <v>9.4930000000000003</v>
      </c>
      <c r="AG22" s="10">
        <v>9.3249999999999993</v>
      </c>
      <c r="AH22" s="10">
        <v>8.702</v>
      </c>
      <c r="AI22" s="10">
        <v>8.85</v>
      </c>
      <c r="AJ22" s="10">
        <v>9.109</v>
      </c>
      <c r="AK22" s="10">
        <v>10.119</v>
      </c>
      <c r="AL22" s="10">
        <v>9.7810000000000006</v>
      </c>
      <c r="AM22" s="10">
        <v>9.4390000000000001</v>
      </c>
      <c r="AN22" s="10">
        <v>8.75</v>
      </c>
      <c r="AO22" s="10">
        <v>9.5489999999999995</v>
      </c>
      <c r="AP22" s="10">
        <v>9.3309999999999995</v>
      </c>
      <c r="AQ22" s="10">
        <v>8.6850000000000005</v>
      </c>
      <c r="AR22" s="10">
        <v>8.8420000000000005</v>
      </c>
      <c r="AS22" s="10">
        <v>9.0579999999999998</v>
      </c>
      <c r="AT22" s="10"/>
      <c r="AU22" s="10">
        <v>10.305</v>
      </c>
      <c r="AV22" s="10">
        <v>9.9269999999999996</v>
      </c>
      <c r="AW22" s="10">
        <v>9.4329999999999998</v>
      </c>
      <c r="AX22" s="10">
        <v>8.734</v>
      </c>
      <c r="AY22" s="10">
        <v>9.5869999999999997</v>
      </c>
      <c r="AZ22" s="10">
        <v>9.3330000000000002</v>
      </c>
      <c r="BA22" s="10">
        <v>8.6639999999999997</v>
      </c>
      <c r="BB22" s="10">
        <v>8.8179999999999996</v>
      </c>
      <c r="BC22" s="10">
        <v>9.1150000000000002</v>
      </c>
      <c r="BD22" s="10"/>
      <c r="BE22" s="10">
        <v>9.3469999999999995</v>
      </c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Z22" s="32"/>
    </row>
    <row r="23" spans="1:78" s="36" customFormat="1" x14ac:dyDescent="0.4">
      <c r="A23" s="45"/>
      <c r="B23" s="34" t="s">
        <v>27</v>
      </c>
      <c r="C23" s="35">
        <v>4.2290000000000001</v>
      </c>
      <c r="D23" s="35">
        <v>4.2969999999999997</v>
      </c>
      <c r="E23" s="35">
        <v>4.17</v>
      </c>
      <c r="F23" s="35">
        <v>4.2160000000000002</v>
      </c>
      <c r="G23" s="35">
        <v>4.4489999999999998</v>
      </c>
      <c r="H23" s="35">
        <v>4.3410000000000002</v>
      </c>
      <c r="I23" s="35">
        <v>4.1529999999999996</v>
      </c>
      <c r="J23" s="35">
        <v>4.3029999999999999</v>
      </c>
      <c r="K23" s="35">
        <v>4.4740000000000002</v>
      </c>
      <c r="L23" s="35">
        <v>4.7009999999999996</v>
      </c>
      <c r="M23" s="35"/>
      <c r="N23" s="35">
        <v>4.3540000000000001</v>
      </c>
      <c r="O23" s="35">
        <v>4.3979999999999997</v>
      </c>
      <c r="P23" s="35">
        <v>4.4409999999999998</v>
      </c>
      <c r="Q23" s="35">
        <v>4.5060000000000002</v>
      </c>
      <c r="R23" s="35">
        <v>4.6689999999999996</v>
      </c>
      <c r="S23" s="35">
        <v>4.4790000000000001</v>
      </c>
      <c r="T23" s="35">
        <v>4.3760000000000003</v>
      </c>
      <c r="U23" s="35">
        <v>4.3109999999999999</v>
      </c>
      <c r="V23" s="35">
        <v>4.2839999999999998</v>
      </c>
      <c r="W23" s="35">
        <v>4.37</v>
      </c>
      <c r="X23" s="35">
        <v>4.2699999999999996</v>
      </c>
      <c r="Y23" s="35">
        <v>4.2240000000000002</v>
      </c>
      <c r="Z23" s="35"/>
      <c r="AA23" s="35">
        <v>4.1890000000000001</v>
      </c>
      <c r="AB23" s="35">
        <v>4.2510000000000003</v>
      </c>
      <c r="AC23" s="35">
        <v>4.335</v>
      </c>
      <c r="AD23" s="35">
        <v>4.5599999999999996</v>
      </c>
      <c r="AE23" s="35">
        <v>4.3079999999999998</v>
      </c>
      <c r="AF23" s="35">
        <v>4.1970000000000001</v>
      </c>
      <c r="AG23" s="35">
        <v>4.2590000000000003</v>
      </c>
      <c r="AH23" s="35">
        <v>4.4980000000000002</v>
      </c>
      <c r="AI23" s="35">
        <v>4.3159999999999998</v>
      </c>
      <c r="AJ23" s="35">
        <v>4.2210000000000001</v>
      </c>
      <c r="AK23" s="35">
        <v>4.2190000000000003</v>
      </c>
      <c r="AL23" s="35">
        <v>4.2759999999999998</v>
      </c>
      <c r="AM23" s="35">
        <v>4.3620000000000001</v>
      </c>
      <c r="AN23" s="35">
        <v>4.617</v>
      </c>
      <c r="AO23" s="35">
        <v>4.1890000000000001</v>
      </c>
      <c r="AP23" s="35">
        <v>4.24</v>
      </c>
      <c r="AQ23" s="35">
        <v>4.5060000000000002</v>
      </c>
      <c r="AR23" s="35">
        <v>4.33</v>
      </c>
      <c r="AS23" s="35">
        <v>4.2670000000000003</v>
      </c>
      <c r="AT23" s="35"/>
      <c r="AU23" s="35">
        <v>4.202</v>
      </c>
      <c r="AV23" s="35">
        <v>4.2569999999999997</v>
      </c>
      <c r="AW23" s="35">
        <v>4.3840000000000003</v>
      </c>
      <c r="AX23" s="35">
        <v>4.6390000000000002</v>
      </c>
      <c r="AY23" s="35">
        <v>4.1749999999999998</v>
      </c>
      <c r="AZ23" s="35">
        <v>4.2569999999999997</v>
      </c>
      <c r="BA23" s="35">
        <v>4.5250000000000004</v>
      </c>
      <c r="BB23" s="35">
        <v>4.3570000000000002</v>
      </c>
      <c r="BC23" s="35">
        <v>4.2270000000000003</v>
      </c>
      <c r="BD23" s="35"/>
      <c r="BE23" s="35">
        <v>4.1559999999999997</v>
      </c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Z23" s="32"/>
    </row>
    <row r="24" spans="1:78" s="36" customFormat="1" x14ac:dyDescent="0.4">
      <c r="A24" s="45"/>
      <c r="B24" s="34" t="s">
        <v>28</v>
      </c>
      <c r="C24" s="35">
        <v>3.875</v>
      </c>
      <c r="D24" s="35">
        <v>3.89</v>
      </c>
      <c r="E24" s="35">
        <v>3.8849999999999998</v>
      </c>
      <c r="F24" s="35">
        <v>3.92</v>
      </c>
      <c r="G24" s="35">
        <v>4.1100000000000003</v>
      </c>
      <c r="H24" s="35">
        <v>4.0309999999999997</v>
      </c>
      <c r="I24" s="35">
        <v>3.988</v>
      </c>
      <c r="J24" s="35">
        <v>4.0990000000000002</v>
      </c>
      <c r="K24" s="35">
        <v>4.2320000000000002</v>
      </c>
      <c r="L24" s="35">
        <v>4.4249999999999998</v>
      </c>
      <c r="M24" s="35"/>
      <c r="N24" s="35">
        <v>4.0359999999999996</v>
      </c>
      <c r="O24" s="35">
        <v>4.0720000000000001</v>
      </c>
      <c r="P24" s="35">
        <v>4.1050000000000004</v>
      </c>
      <c r="Q24" s="35">
        <v>4.1399999999999997</v>
      </c>
      <c r="R24" s="35">
        <v>4.2590000000000003</v>
      </c>
      <c r="S24" s="35">
        <v>3.9529999999999998</v>
      </c>
      <c r="T24" s="35">
        <v>3.9009999999999998</v>
      </c>
      <c r="U24" s="35">
        <v>3.86</v>
      </c>
      <c r="V24" s="35">
        <v>3.8660000000000001</v>
      </c>
      <c r="W24" s="35">
        <v>3.782</v>
      </c>
      <c r="X24" s="35">
        <v>3.714</v>
      </c>
      <c r="Y24" s="35">
        <v>3.6920000000000002</v>
      </c>
      <c r="Z24" s="35"/>
      <c r="AA24" s="35">
        <v>4.0039999999999996</v>
      </c>
      <c r="AB24" s="35">
        <v>4.0750000000000002</v>
      </c>
      <c r="AC24" s="35">
        <v>4.1319999999999997</v>
      </c>
      <c r="AD24" s="35">
        <v>4.3239999999999998</v>
      </c>
      <c r="AE24" s="35">
        <v>4.1100000000000003</v>
      </c>
      <c r="AF24" s="35">
        <v>3.923</v>
      </c>
      <c r="AG24" s="35">
        <v>3.964</v>
      </c>
      <c r="AH24" s="35">
        <v>4.2560000000000002</v>
      </c>
      <c r="AI24" s="35">
        <v>3.931</v>
      </c>
      <c r="AJ24" s="35">
        <v>3.8660000000000001</v>
      </c>
      <c r="AK24" s="35">
        <v>4.0419999999999998</v>
      </c>
      <c r="AL24" s="35">
        <v>4.1059999999999999</v>
      </c>
      <c r="AM24" s="35">
        <v>4.1639999999999997</v>
      </c>
      <c r="AN24" s="35">
        <v>4.3920000000000003</v>
      </c>
      <c r="AO24" s="35">
        <v>3.9260000000000002</v>
      </c>
      <c r="AP24" s="35">
        <v>3.9740000000000002</v>
      </c>
      <c r="AQ24" s="35">
        <v>4.1779999999999999</v>
      </c>
      <c r="AR24" s="35">
        <v>3.9390000000000001</v>
      </c>
      <c r="AS24" s="35">
        <v>3.8849999999999998</v>
      </c>
      <c r="AT24" s="35"/>
      <c r="AU24" s="35">
        <v>4.048</v>
      </c>
      <c r="AV24" s="35">
        <v>4.0830000000000002</v>
      </c>
      <c r="AW24" s="35">
        <v>4.2</v>
      </c>
      <c r="AX24" s="35">
        <v>4.4029999999999996</v>
      </c>
      <c r="AY24" s="35">
        <v>3.931</v>
      </c>
      <c r="AZ24" s="35">
        <v>3.9910000000000001</v>
      </c>
      <c r="BA24" s="35">
        <v>4.2050000000000001</v>
      </c>
      <c r="BB24" s="35">
        <v>3.9910000000000001</v>
      </c>
      <c r="BC24" s="35">
        <v>3.871</v>
      </c>
      <c r="BD24" s="35"/>
      <c r="BE24" s="35">
        <v>3.8580000000000001</v>
      </c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Z24" s="32"/>
    </row>
    <row r="25" spans="1:78" x14ac:dyDescent="0.4">
      <c r="A25" s="46" t="s">
        <v>29</v>
      </c>
      <c r="B25" s="11" t="s">
        <v>30</v>
      </c>
      <c r="C25" s="11">
        <v>345</v>
      </c>
      <c r="D25" s="11">
        <v>345</v>
      </c>
      <c r="E25" s="11">
        <v>345</v>
      </c>
      <c r="F25" s="29">
        <v>345</v>
      </c>
      <c r="G25" s="15">
        <v>345</v>
      </c>
      <c r="H25" s="15">
        <v>345</v>
      </c>
      <c r="I25" s="15">
        <v>345</v>
      </c>
      <c r="J25" s="31">
        <v>345</v>
      </c>
      <c r="K25" s="15">
        <v>345</v>
      </c>
      <c r="L25" s="11">
        <v>345</v>
      </c>
      <c r="M25" s="31"/>
      <c r="N25" s="11">
        <v>345</v>
      </c>
      <c r="O25" s="11">
        <v>345</v>
      </c>
      <c r="P25" s="11">
        <v>345</v>
      </c>
      <c r="Q25" s="11">
        <v>345</v>
      </c>
      <c r="R25" s="11">
        <v>345</v>
      </c>
      <c r="S25" s="29">
        <v>345</v>
      </c>
      <c r="T25" s="39">
        <v>345</v>
      </c>
      <c r="U25" s="29">
        <v>345</v>
      </c>
      <c r="V25" s="29">
        <v>345</v>
      </c>
      <c r="W25" s="29">
        <v>345</v>
      </c>
      <c r="X25" s="29">
        <v>345</v>
      </c>
      <c r="Y25" s="29">
        <v>345</v>
      </c>
      <c r="Z25" s="31"/>
      <c r="AA25" s="29">
        <v>345</v>
      </c>
      <c r="AB25" s="29">
        <v>345</v>
      </c>
      <c r="AC25" s="29">
        <v>345</v>
      </c>
      <c r="AD25" s="29">
        <v>345</v>
      </c>
      <c r="AE25" s="29">
        <v>345</v>
      </c>
      <c r="AF25" s="29">
        <v>345</v>
      </c>
      <c r="AG25" s="29">
        <v>345</v>
      </c>
      <c r="AH25" s="29">
        <v>345</v>
      </c>
      <c r="AI25" s="29">
        <v>345</v>
      </c>
      <c r="AJ25" s="29">
        <v>345</v>
      </c>
      <c r="AK25" s="29">
        <v>345</v>
      </c>
      <c r="AL25" s="29">
        <v>345</v>
      </c>
      <c r="AM25" s="29">
        <v>345</v>
      </c>
      <c r="AN25" s="33">
        <v>345</v>
      </c>
      <c r="AO25" s="33">
        <v>345</v>
      </c>
      <c r="AP25" s="33">
        <v>345</v>
      </c>
      <c r="AQ25" s="33">
        <v>345</v>
      </c>
      <c r="AR25" s="33">
        <v>345</v>
      </c>
      <c r="AS25" s="33">
        <v>345</v>
      </c>
      <c r="AT25" s="39"/>
      <c r="AU25" s="33">
        <v>345</v>
      </c>
      <c r="AV25" s="39">
        <v>345</v>
      </c>
      <c r="AW25" s="39">
        <v>345</v>
      </c>
      <c r="AX25" s="39">
        <v>345</v>
      </c>
      <c r="AY25" s="39">
        <v>345</v>
      </c>
      <c r="AZ25" s="39">
        <v>345</v>
      </c>
      <c r="BA25" s="39">
        <v>345</v>
      </c>
      <c r="BB25" s="39">
        <v>345</v>
      </c>
      <c r="BC25" s="39">
        <v>345</v>
      </c>
      <c r="BD25" s="41"/>
      <c r="BE25" s="41">
        <v>345</v>
      </c>
      <c r="BF25" s="41">
        <v>345</v>
      </c>
      <c r="BG25" s="41">
        <v>345</v>
      </c>
      <c r="BH25" s="41">
        <v>345</v>
      </c>
      <c r="BI25" s="41">
        <v>345</v>
      </c>
      <c r="BJ25" s="41">
        <v>345</v>
      </c>
      <c r="BK25" s="41">
        <v>345</v>
      </c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Z25" s="32"/>
    </row>
    <row r="26" spans="1:78" s="36" customFormat="1" x14ac:dyDescent="0.4">
      <c r="A26" s="46"/>
      <c r="B26" s="37" t="s">
        <v>31</v>
      </c>
      <c r="C26" s="37">
        <v>9.5</v>
      </c>
      <c r="D26" s="37">
        <v>9.4</v>
      </c>
      <c r="E26" s="37">
        <v>8</v>
      </c>
      <c r="F26" s="37">
        <v>7.9</v>
      </c>
      <c r="G26" s="37">
        <v>7.4</v>
      </c>
      <c r="H26" s="37">
        <v>7.7</v>
      </c>
      <c r="I26" s="37">
        <v>6.7</v>
      </c>
      <c r="J26" s="37">
        <v>6.2</v>
      </c>
      <c r="K26" s="37">
        <v>5.8</v>
      </c>
      <c r="L26" s="37">
        <v>5.5</v>
      </c>
      <c r="M26" s="37"/>
      <c r="N26" s="37">
        <v>7.7</v>
      </c>
      <c r="O26" s="37">
        <v>7.4</v>
      </c>
      <c r="P26" s="37">
        <v>7.2</v>
      </c>
      <c r="Q26" s="37">
        <v>6.9</v>
      </c>
      <c r="R26" s="37">
        <v>6.5</v>
      </c>
      <c r="S26" s="37">
        <v>8.6999999999999993</v>
      </c>
      <c r="T26" s="37">
        <v>9.1</v>
      </c>
      <c r="U26" s="37">
        <v>9.4</v>
      </c>
      <c r="V26" s="37">
        <v>9.6999999999999993</v>
      </c>
      <c r="W26" s="37">
        <v>11</v>
      </c>
      <c r="X26" s="37">
        <v>11.3</v>
      </c>
      <c r="Y26" s="37">
        <v>11.6</v>
      </c>
      <c r="Z26" s="37"/>
      <c r="AA26" s="37">
        <v>6.7</v>
      </c>
      <c r="AB26" s="37">
        <v>6.4</v>
      </c>
      <c r="AC26" s="37">
        <v>6.2</v>
      </c>
      <c r="AD26" s="37">
        <v>5.7</v>
      </c>
      <c r="AE26" s="37">
        <v>6.3</v>
      </c>
      <c r="AF26" s="37">
        <v>8</v>
      </c>
      <c r="AG26" s="37">
        <v>7.9</v>
      </c>
      <c r="AH26" s="37">
        <v>7.4</v>
      </c>
      <c r="AI26" s="37">
        <v>9.4</v>
      </c>
      <c r="AJ26" s="37">
        <v>9.6</v>
      </c>
      <c r="AK26" s="37">
        <v>6.7</v>
      </c>
      <c r="AL26" s="37">
        <v>6.4</v>
      </c>
      <c r="AM26" s="37">
        <v>6.15</v>
      </c>
      <c r="AN26" s="37">
        <v>5.6</v>
      </c>
      <c r="AO26" s="37">
        <v>8.1</v>
      </c>
      <c r="AP26" s="37">
        <v>7.9</v>
      </c>
      <c r="AQ26" s="37">
        <v>7.7</v>
      </c>
      <c r="AR26" s="37">
        <v>9.4</v>
      </c>
      <c r="AS26" s="37">
        <v>9.6</v>
      </c>
      <c r="AT26" s="37"/>
      <c r="AU26" s="37">
        <v>6.8</v>
      </c>
      <c r="AV26" s="37">
        <v>6.5</v>
      </c>
      <c r="AW26" s="37">
        <v>6.1</v>
      </c>
      <c r="AX26" s="37">
        <v>5.6</v>
      </c>
      <c r="AY26" s="37">
        <v>8.1</v>
      </c>
      <c r="AZ26" s="37">
        <v>7.9</v>
      </c>
      <c r="BA26" s="37">
        <v>7.4</v>
      </c>
      <c r="BB26" s="37">
        <v>9.4</v>
      </c>
      <c r="BC26" s="37">
        <v>9.6999999999999993</v>
      </c>
      <c r="BD26" s="37"/>
      <c r="BE26" s="37">
        <v>9.8000000000000007</v>
      </c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Z26" s="32"/>
    </row>
    <row r="27" spans="1:78" x14ac:dyDescent="0.4">
      <c r="A27" s="46"/>
      <c r="B27" s="11" t="s">
        <v>32</v>
      </c>
      <c r="C27" s="11">
        <v>600</v>
      </c>
      <c r="D27" s="29">
        <v>600</v>
      </c>
      <c r="E27" s="29">
        <v>600</v>
      </c>
      <c r="F27" s="29">
        <v>600</v>
      </c>
      <c r="G27" s="29">
        <v>600</v>
      </c>
      <c r="H27" s="29">
        <v>600</v>
      </c>
      <c r="I27" s="29">
        <v>600</v>
      </c>
      <c r="J27" s="29">
        <v>600</v>
      </c>
      <c r="K27" s="29">
        <v>600</v>
      </c>
      <c r="L27" s="29">
        <v>600</v>
      </c>
      <c r="M27" s="31"/>
      <c r="N27" s="29">
        <v>600</v>
      </c>
      <c r="O27" s="29">
        <v>600</v>
      </c>
      <c r="P27" s="29">
        <v>600</v>
      </c>
      <c r="Q27" s="29">
        <v>600</v>
      </c>
      <c r="R27" s="29">
        <v>600</v>
      </c>
      <c r="S27" s="42">
        <v>600</v>
      </c>
      <c r="T27" s="42">
        <v>600</v>
      </c>
      <c r="U27" s="42">
        <v>600</v>
      </c>
      <c r="V27" s="42">
        <v>600</v>
      </c>
      <c r="W27" s="29">
        <v>600</v>
      </c>
      <c r="X27" s="29">
        <v>600</v>
      </c>
      <c r="Y27" s="29">
        <v>600</v>
      </c>
      <c r="Z27" s="31"/>
      <c r="AA27" s="29">
        <v>700</v>
      </c>
      <c r="AB27" s="33">
        <v>700</v>
      </c>
      <c r="AC27" s="33">
        <v>700</v>
      </c>
      <c r="AD27" s="33">
        <v>700</v>
      </c>
      <c r="AE27" s="33">
        <v>700</v>
      </c>
      <c r="AF27" s="33">
        <v>700</v>
      </c>
      <c r="AG27" s="33">
        <v>700</v>
      </c>
      <c r="AH27" s="33">
        <v>700</v>
      </c>
      <c r="AI27" s="33">
        <v>700</v>
      </c>
      <c r="AJ27" s="33">
        <v>700</v>
      </c>
      <c r="AK27" s="29">
        <v>800</v>
      </c>
      <c r="AL27" s="33">
        <v>800</v>
      </c>
      <c r="AM27" s="33">
        <v>800</v>
      </c>
      <c r="AN27" s="33">
        <v>800</v>
      </c>
      <c r="AO27" s="33">
        <v>800</v>
      </c>
      <c r="AP27" s="33">
        <v>800</v>
      </c>
      <c r="AQ27" s="33">
        <v>800</v>
      </c>
      <c r="AR27" s="33">
        <v>800</v>
      </c>
      <c r="AS27" s="33">
        <v>800</v>
      </c>
      <c r="AT27" s="39"/>
      <c r="AU27" s="33">
        <v>900</v>
      </c>
      <c r="AV27" s="39">
        <v>900</v>
      </c>
      <c r="AW27" s="39">
        <v>900</v>
      </c>
      <c r="AX27" s="39">
        <v>900</v>
      </c>
      <c r="AY27" s="39">
        <v>900</v>
      </c>
      <c r="AZ27" s="39">
        <v>900</v>
      </c>
      <c r="BA27" s="39">
        <v>900</v>
      </c>
      <c r="BB27" s="39">
        <v>900</v>
      </c>
      <c r="BC27" s="39">
        <v>900</v>
      </c>
      <c r="BD27" s="41"/>
      <c r="BE27" s="39">
        <v>1000</v>
      </c>
      <c r="BF27" s="41">
        <v>1000</v>
      </c>
      <c r="BG27" s="41">
        <v>1000</v>
      </c>
      <c r="BH27" s="41">
        <v>1000</v>
      </c>
      <c r="BI27" s="41">
        <v>1000</v>
      </c>
      <c r="BJ27" s="41">
        <v>1000</v>
      </c>
      <c r="BK27" s="41">
        <v>1000</v>
      </c>
      <c r="BL27" s="39"/>
      <c r="BM27" s="39"/>
      <c r="BN27" s="39"/>
      <c r="BO27" s="39"/>
      <c r="BP27" s="33"/>
      <c r="BQ27" s="33"/>
      <c r="BR27" s="33"/>
      <c r="BS27" s="33"/>
      <c r="BT27" s="33"/>
      <c r="BU27" s="33"/>
      <c r="BV27" s="33"/>
      <c r="BW27" s="33"/>
      <c r="BX27" s="33"/>
      <c r="BZ27" s="32"/>
    </row>
    <row r="28" spans="1:78" x14ac:dyDescent="0.4">
      <c r="A28" s="46"/>
      <c r="B28" s="11" t="s">
        <v>33</v>
      </c>
      <c r="C28" s="12">
        <v>6000</v>
      </c>
      <c r="D28" s="12">
        <v>6000</v>
      </c>
      <c r="E28" s="12">
        <v>5000</v>
      </c>
      <c r="F28" s="12">
        <v>5000</v>
      </c>
      <c r="G28" s="12">
        <v>5000</v>
      </c>
      <c r="H28" s="12">
        <v>5000</v>
      </c>
      <c r="I28" s="12">
        <v>4000</v>
      </c>
      <c r="J28" s="12">
        <v>4000</v>
      </c>
      <c r="K28" s="12">
        <v>4000</v>
      </c>
      <c r="L28" s="12">
        <v>4000</v>
      </c>
      <c r="M28" s="12"/>
      <c r="N28" s="12">
        <v>4000</v>
      </c>
      <c r="O28" s="12">
        <v>4000</v>
      </c>
      <c r="P28" s="12">
        <v>4000</v>
      </c>
      <c r="Q28" s="12">
        <v>4000</v>
      </c>
      <c r="R28" s="12">
        <v>4000</v>
      </c>
      <c r="S28" s="42">
        <v>5000</v>
      </c>
      <c r="T28" s="42">
        <v>5000</v>
      </c>
      <c r="U28" s="42">
        <v>5000</v>
      </c>
      <c r="V28" s="42">
        <v>5000</v>
      </c>
      <c r="W28" s="12">
        <v>6000</v>
      </c>
      <c r="X28" s="12">
        <v>6000</v>
      </c>
      <c r="Y28" s="12">
        <v>6000</v>
      </c>
      <c r="Z28" s="12"/>
      <c r="AA28" s="12">
        <v>4000</v>
      </c>
      <c r="AB28" s="12">
        <v>4000</v>
      </c>
      <c r="AC28" s="12">
        <v>4000</v>
      </c>
      <c r="AD28" s="12">
        <v>4000</v>
      </c>
      <c r="AE28" s="12">
        <v>4000</v>
      </c>
      <c r="AF28" s="12">
        <v>5000</v>
      </c>
      <c r="AG28" s="12">
        <v>5000</v>
      </c>
      <c r="AH28" s="12">
        <v>5000</v>
      </c>
      <c r="AI28" s="12">
        <v>6000</v>
      </c>
      <c r="AJ28" s="12">
        <v>6000</v>
      </c>
      <c r="AK28" s="12">
        <v>4000</v>
      </c>
      <c r="AL28" s="12">
        <v>4000</v>
      </c>
      <c r="AM28" s="12">
        <v>4000</v>
      </c>
      <c r="AN28" s="12">
        <v>4000</v>
      </c>
      <c r="AO28" s="12">
        <v>5000</v>
      </c>
      <c r="AP28" s="12">
        <v>5000</v>
      </c>
      <c r="AQ28" s="12">
        <v>5000</v>
      </c>
      <c r="AR28" s="12">
        <v>6000</v>
      </c>
      <c r="AS28" s="12">
        <v>6000</v>
      </c>
      <c r="AT28" s="12"/>
      <c r="AU28" s="12">
        <v>4000</v>
      </c>
      <c r="AV28" s="12">
        <v>4000</v>
      </c>
      <c r="AW28" s="12">
        <v>4000</v>
      </c>
      <c r="AX28" s="12">
        <v>4000</v>
      </c>
      <c r="AY28" s="12">
        <v>5000</v>
      </c>
      <c r="AZ28" s="12">
        <v>5000</v>
      </c>
      <c r="BA28" s="12">
        <v>5000</v>
      </c>
      <c r="BB28" s="12">
        <v>6000</v>
      </c>
      <c r="BC28" s="12">
        <v>6000</v>
      </c>
      <c r="BD28" s="12"/>
      <c r="BE28" s="12">
        <v>6000</v>
      </c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Z28" s="32"/>
    </row>
    <row r="29" spans="1:78" s="36" customFormat="1" x14ac:dyDescent="0.4">
      <c r="A29" s="46"/>
      <c r="B29" s="37" t="s">
        <v>34</v>
      </c>
      <c r="C29" s="37">
        <v>510</v>
      </c>
      <c r="D29" s="37">
        <v>576</v>
      </c>
      <c r="E29" s="37">
        <v>283</v>
      </c>
      <c r="F29" s="37">
        <v>325</v>
      </c>
      <c r="G29" s="37">
        <v>576</v>
      </c>
      <c r="H29" s="37">
        <v>465</v>
      </c>
      <c r="I29" s="37">
        <v>262</v>
      </c>
      <c r="J29" s="37">
        <v>277</v>
      </c>
      <c r="K29" s="37">
        <v>377</v>
      </c>
      <c r="L29" s="37">
        <v>576</v>
      </c>
      <c r="M29" s="37"/>
      <c r="N29" s="37">
        <v>277</v>
      </c>
      <c r="O29" s="37">
        <v>282</v>
      </c>
      <c r="P29" s="37">
        <v>313</v>
      </c>
      <c r="Q29" s="37">
        <v>400</v>
      </c>
      <c r="R29" s="37">
        <v>576</v>
      </c>
      <c r="S29" s="37">
        <v>576</v>
      </c>
      <c r="T29" s="37">
        <v>450</v>
      </c>
      <c r="U29" s="37">
        <v>365</v>
      </c>
      <c r="V29" s="37">
        <v>307</v>
      </c>
      <c r="W29" s="37">
        <v>576</v>
      </c>
      <c r="X29" s="37">
        <v>460</v>
      </c>
      <c r="Y29" s="37">
        <v>388</v>
      </c>
      <c r="Z29" s="37"/>
      <c r="AA29" s="37">
        <v>261</v>
      </c>
      <c r="AB29" s="37">
        <v>267</v>
      </c>
      <c r="AC29" s="37">
        <v>276</v>
      </c>
      <c r="AD29" s="37">
        <v>450</v>
      </c>
      <c r="AE29" s="37">
        <v>272</v>
      </c>
      <c r="AF29" s="37">
        <v>282</v>
      </c>
      <c r="AG29" s="37">
        <v>320</v>
      </c>
      <c r="AH29" s="37">
        <v>576</v>
      </c>
      <c r="AI29" s="37">
        <v>576</v>
      </c>
      <c r="AJ29" s="37">
        <v>455</v>
      </c>
      <c r="AK29" s="37">
        <v>262</v>
      </c>
      <c r="AL29" s="37">
        <v>267</v>
      </c>
      <c r="AM29" s="37">
        <v>276</v>
      </c>
      <c r="AN29" s="37">
        <v>465</v>
      </c>
      <c r="AO29" s="37">
        <v>280</v>
      </c>
      <c r="AP29" s="37">
        <v>305</v>
      </c>
      <c r="AQ29" s="37">
        <v>576</v>
      </c>
      <c r="AR29" s="37">
        <v>576</v>
      </c>
      <c r="AS29" s="37">
        <v>480</v>
      </c>
      <c r="AT29" s="37"/>
      <c r="AU29" s="37">
        <v>261</v>
      </c>
      <c r="AV29" s="37">
        <v>265</v>
      </c>
      <c r="AW29" s="37">
        <v>276</v>
      </c>
      <c r="AX29" s="37">
        <v>475</v>
      </c>
      <c r="AY29" s="37">
        <v>278</v>
      </c>
      <c r="AZ29" s="37">
        <v>310</v>
      </c>
      <c r="BA29" s="37">
        <v>576</v>
      </c>
      <c r="BB29" s="37">
        <v>576</v>
      </c>
      <c r="BC29" s="37">
        <v>410</v>
      </c>
      <c r="BD29" s="37"/>
      <c r="BE29" s="37">
        <v>303</v>
      </c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Z29" s="10"/>
    </row>
    <row r="30" spans="1:78" s="36" customFormat="1" ht="16.149999999999999" x14ac:dyDescent="0.4">
      <c r="A30" s="46"/>
      <c r="B30" s="37" t="s">
        <v>35</v>
      </c>
      <c r="C30" s="37">
        <v>136.30000000000001</v>
      </c>
      <c r="D30" s="37">
        <v>139.1</v>
      </c>
      <c r="E30" s="37">
        <v>117.6</v>
      </c>
      <c r="F30" s="37">
        <v>120.3</v>
      </c>
      <c r="G30" s="37">
        <v>131.30000000000001</v>
      </c>
      <c r="H30" s="37">
        <v>125.8</v>
      </c>
      <c r="I30" s="37">
        <v>97.7</v>
      </c>
      <c r="J30" s="37">
        <v>104.4</v>
      </c>
      <c r="K30" s="37">
        <v>112.7</v>
      </c>
      <c r="L30" s="37">
        <v>120.5</v>
      </c>
      <c r="M30" s="37"/>
      <c r="N30" s="37">
        <v>121.2</v>
      </c>
      <c r="O30" s="37">
        <v>124.1</v>
      </c>
      <c r="P30" s="37">
        <v>126.6</v>
      </c>
      <c r="Q30" s="37">
        <v>132.5</v>
      </c>
      <c r="R30" s="37">
        <v>141.4</v>
      </c>
      <c r="S30" s="37">
        <v>154.19999999999999</v>
      </c>
      <c r="T30" s="37">
        <v>147.69999999999999</v>
      </c>
      <c r="U30" s="37">
        <v>142.19999999999999</v>
      </c>
      <c r="V30" s="37">
        <v>138.80000000000001</v>
      </c>
      <c r="W30" s="37">
        <v>165.7</v>
      </c>
      <c r="X30" s="37">
        <v>159</v>
      </c>
      <c r="Y30" s="37">
        <v>154.30000000000001</v>
      </c>
      <c r="Z30" s="37"/>
      <c r="AA30" s="37">
        <v>97.8</v>
      </c>
      <c r="AB30" s="37">
        <v>100.2</v>
      </c>
      <c r="AC30" s="37">
        <v>105.3</v>
      </c>
      <c r="AD30" s="37">
        <v>115.2</v>
      </c>
      <c r="AE30" s="37">
        <v>103</v>
      </c>
      <c r="AF30" s="37">
        <v>118.7</v>
      </c>
      <c r="AG30" s="37">
        <v>121.2</v>
      </c>
      <c r="AH30" s="37">
        <v>131.4</v>
      </c>
      <c r="AI30" s="37">
        <v>140.80000000000001</v>
      </c>
      <c r="AJ30" s="37">
        <v>135.9</v>
      </c>
      <c r="AK30" s="37">
        <v>98.5</v>
      </c>
      <c r="AL30" s="37">
        <v>100.4</v>
      </c>
      <c r="AM30" s="37">
        <v>104.3</v>
      </c>
      <c r="AN30" s="37">
        <v>117.1</v>
      </c>
      <c r="AO30" s="37">
        <v>117.8</v>
      </c>
      <c r="AP30" s="37">
        <v>120.6</v>
      </c>
      <c r="AQ30" s="37">
        <v>132.9</v>
      </c>
      <c r="AR30" s="37">
        <v>140.6</v>
      </c>
      <c r="AS30" s="37">
        <v>137.1</v>
      </c>
      <c r="AT30" s="37"/>
      <c r="AU30" s="37">
        <v>97.3</v>
      </c>
      <c r="AV30" s="37">
        <v>100.1</v>
      </c>
      <c r="AW30" s="37">
        <v>106.2</v>
      </c>
      <c r="AX30" s="37">
        <v>117.8</v>
      </c>
      <c r="AY30" s="37">
        <v>116.2</v>
      </c>
      <c r="AZ30" s="37">
        <v>120.3</v>
      </c>
      <c r="BA30" s="37">
        <v>135.19999999999999</v>
      </c>
      <c r="BB30" s="37">
        <v>145.4</v>
      </c>
      <c r="BC30" s="37">
        <v>135.6</v>
      </c>
      <c r="BD30" s="37"/>
      <c r="BE30" s="37">
        <v>139.4</v>
      </c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Z30" s="10"/>
    </row>
    <row r="31" spans="1:78" ht="16.149999999999999" x14ac:dyDescent="0.4">
      <c r="A31" s="46"/>
      <c r="B31" s="11" t="s">
        <v>36</v>
      </c>
      <c r="C31" s="11">
        <v>478.97399999999999</v>
      </c>
      <c r="D31" s="11">
        <v>481.37599999999998</v>
      </c>
      <c r="E31" s="11">
        <v>479.596</v>
      </c>
      <c r="F31" s="15">
        <v>481.92200000000003</v>
      </c>
      <c r="G31" s="15">
        <v>481.06099999999998</v>
      </c>
      <c r="H31" s="19">
        <v>480.72899999999998</v>
      </c>
      <c r="I31" s="19">
        <v>478.75</v>
      </c>
      <c r="J31" s="31">
        <v>480.68200000000002</v>
      </c>
      <c r="K31" s="15">
        <v>479.70400000000001</v>
      </c>
      <c r="L31" s="11">
        <v>481.87599999999998</v>
      </c>
      <c r="M31" s="31"/>
      <c r="N31" s="11">
        <v>481.12200000000001</v>
      </c>
      <c r="O31" s="11">
        <v>480.54500000000002</v>
      </c>
      <c r="P31" s="11">
        <v>481.459</v>
      </c>
      <c r="Q31" s="11">
        <v>480.92</v>
      </c>
      <c r="R31" s="11">
        <v>483.91300000000001</v>
      </c>
      <c r="S31" s="11">
        <v>480.404</v>
      </c>
      <c r="T31" s="39">
        <v>478.49599999999998</v>
      </c>
      <c r="U31" s="31">
        <v>481.291</v>
      </c>
      <c r="V31" s="11">
        <v>480.96600000000001</v>
      </c>
      <c r="W31" s="19">
        <v>480.37</v>
      </c>
      <c r="X31" s="11">
        <v>480.93200000000002</v>
      </c>
      <c r="Y31" s="11">
        <v>480.14499999999998</v>
      </c>
      <c r="Z31" s="31"/>
      <c r="AA31" s="11">
        <v>480.74700000000001</v>
      </c>
      <c r="AB31" s="11">
        <v>480.63499999999999</v>
      </c>
      <c r="AC31" s="11">
        <v>480.887</v>
      </c>
      <c r="AD31" s="11">
        <v>480.80500000000001</v>
      </c>
      <c r="AE31" s="11">
        <v>483.92</v>
      </c>
      <c r="AF31" s="26">
        <v>482.33199999999999</v>
      </c>
      <c r="AG31" s="11">
        <v>480.08</v>
      </c>
      <c r="AH31" s="11">
        <v>483.42</v>
      </c>
      <c r="AI31" s="11">
        <v>481.13799999999998</v>
      </c>
      <c r="AJ31" s="26">
        <v>480.52</v>
      </c>
      <c r="AK31" s="11">
        <v>480.98099999999999</v>
      </c>
      <c r="AL31" s="11">
        <v>482.01900000000001</v>
      </c>
      <c r="AM31" s="11">
        <v>482.40600000000001</v>
      </c>
      <c r="AN31" s="33">
        <v>482.57</v>
      </c>
      <c r="AO31" s="33">
        <v>484.52600000000001</v>
      </c>
      <c r="AP31" s="33">
        <v>481.55900000000003</v>
      </c>
      <c r="AQ31" s="33">
        <v>484.64800000000002</v>
      </c>
      <c r="AR31" s="33">
        <v>481.72800000000001</v>
      </c>
      <c r="AS31" s="33">
        <v>483.17200000000003</v>
      </c>
      <c r="AT31" s="39"/>
      <c r="AU31" s="33">
        <v>482.88600000000002</v>
      </c>
      <c r="AV31" s="33">
        <v>483.94799999999998</v>
      </c>
      <c r="AW31" s="33">
        <v>483.97500000000002</v>
      </c>
      <c r="AX31" s="33">
        <v>485.51799999999997</v>
      </c>
      <c r="AY31" s="33">
        <v>483.80200000000002</v>
      </c>
      <c r="AZ31" s="33">
        <v>482.56299999999999</v>
      </c>
      <c r="BA31" s="33">
        <v>484.62099999999998</v>
      </c>
      <c r="BB31" s="33">
        <v>485.33300000000003</v>
      </c>
      <c r="BC31" s="33">
        <v>483.14499999999998</v>
      </c>
      <c r="BD31" s="41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Z31" s="35"/>
    </row>
    <row r="32" spans="1:78" x14ac:dyDescent="0.4">
      <c r="A32" s="46"/>
      <c r="B32" s="11" t="s">
        <v>37</v>
      </c>
      <c r="C32" s="11">
        <v>4520.24</v>
      </c>
      <c r="D32" s="11">
        <v>4518.67</v>
      </c>
      <c r="E32" s="11">
        <v>4516.93</v>
      </c>
      <c r="F32" s="15">
        <v>4521.67</v>
      </c>
      <c r="G32" s="15">
        <v>4516.0200000000004</v>
      </c>
      <c r="H32" s="19">
        <v>4527.25</v>
      </c>
      <c r="I32" s="19">
        <v>4511.49</v>
      </c>
      <c r="J32" s="31">
        <v>4515.09</v>
      </c>
      <c r="K32" s="15">
        <v>4523.53</v>
      </c>
      <c r="L32" s="11">
        <v>4505.99</v>
      </c>
      <c r="M32" s="31"/>
      <c r="N32" s="11">
        <v>4529.8900000000003</v>
      </c>
      <c r="O32" s="17">
        <v>4526.96</v>
      </c>
      <c r="P32" s="11">
        <v>4514.84</v>
      </c>
      <c r="Q32" s="11">
        <v>4520.74</v>
      </c>
      <c r="R32" s="11">
        <v>4519.6499999999996</v>
      </c>
      <c r="S32" s="11">
        <v>4522.2700000000004</v>
      </c>
      <c r="T32" s="31">
        <v>4518.05</v>
      </c>
      <c r="U32" s="31">
        <v>4522.9799999999996</v>
      </c>
      <c r="V32" s="11">
        <v>4520.13</v>
      </c>
      <c r="W32" s="19">
        <v>4531.49</v>
      </c>
      <c r="X32" s="11">
        <v>4534.4799999999996</v>
      </c>
      <c r="Y32" s="11">
        <v>4536.12</v>
      </c>
      <c r="Z32" s="31"/>
      <c r="AA32" s="11">
        <v>4515.05</v>
      </c>
      <c r="AB32" s="11">
        <v>4517.54</v>
      </c>
      <c r="AC32" s="11">
        <v>4515.88</v>
      </c>
      <c r="AD32" s="11">
        <v>4516.6000000000004</v>
      </c>
      <c r="AE32" s="11">
        <v>4516.49</v>
      </c>
      <c r="AF32" s="26">
        <v>4534.93</v>
      </c>
      <c r="AG32" s="11">
        <v>4534.96</v>
      </c>
      <c r="AH32" s="11">
        <v>4534.2700000000004</v>
      </c>
      <c r="AI32" s="11">
        <v>4539.1899999999996</v>
      </c>
      <c r="AJ32" s="26">
        <v>4551.75</v>
      </c>
      <c r="AK32" s="11">
        <v>4544.88</v>
      </c>
      <c r="AL32" s="11">
        <v>4517.03</v>
      </c>
      <c r="AM32" s="11">
        <v>4533.5200000000004</v>
      </c>
      <c r="AN32" s="33">
        <v>4537.78</v>
      </c>
      <c r="AO32" s="33">
        <v>4539.01</v>
      </c>
      <c r="AP32" s="33">
        <v>4537.51</v>
      </c>
      <c r="AQ32" s="33">
        <v>4528.01</v>
      </c>
      <c r="AR32" s="33">
        <v>4538.17</v>
      </c>
      <c r="AS32" s="33">
        <v>4557.8599999999997</v>
      </c>
      <c r="AT32" s="39"/>
      <c r="AU32" s="33">
        <v>4531.3100000000004</v>
      </c>
      <c r="AV32" s="33">
        <v>4549.37</v>
      </c>
      <c r="AW32" s="33">
        <v>4551.43</v>
      </c>
      <c r="AX32" s="33">
        <v>4540.8</v>
      </c>
      <c r="AY32" s="33">
        <v>4543.63</v>
      </c>
      <c r="AZ32" s="33">
        <v>4554.3999999999996</v>
      </c>
      <c r="BA32" s="33">
        <v>4543.67</v>
      </c>
      <c r="BB32" s="33">
        <v>4569.59</v>
      </c>
      <c r="BC32" s="33">
        <v>4553.58</v>
      </c>
      <c r="BD32" s="41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Z32" s="35"/>
    </row>
    <row r="33" spans="1:78" x14ac:dyDescent="0.4">
      <c r="A33" s="46"/>
      <c r="B33" s="11" t="s">
        <v>38</v>
      </c>
      <c r="C33" s="11">
        <v>4012.25</v>
      </c>
      <c r="D33" s="11">
        <v>3912.32</v>
      </c>
      <c r="E33" s="11">
        <v>4026.06</v>
      </c>
      <c r="F33" s="15">
        <v>3955.87</v>
      </c>
      <c r="G33" s="15">
        <v>3490.45</v>
      </c>
      <c r="H33" s="19">
        <v>3673.71</v>
      </c>
      <c r="I33" s="19">
        <v>3859.46</v>
      </c>
      <c r="J33" s="31">
        <v>3610.44</v>
      </c>
      <c r="K33" s="15">
        <v>3229.19</v>
      </c>
      <c r="L33" s="11">
        <v>2938.66</v>
      </c>
      <c r="M33" s="31"/>
      <c r="N33" s="11">
        <v>3563.26</v>
      </c>
      <c r="O33" s="11">
        <v>3503.45</v>
      </c>
      <c r="P33" s="11">
        <v>3452.19</v>
      </c>
      <c r="Q33" s="11">
        <v>3303.42</v>
      </c>
      <c r="R33" s="11">
        <v>2969.7</v>
      </c>
      <c r="S33" s="11">
        <v>3518.68</v>
      </c>
      <c r="T33" s="31">
        <v>3726.43</v>
      </c>
      <c r="U33" s="31">
        <v>3878.06</v>
      </c>
      <c r="V33" s="11">
        <v>3928.81</v>
      </c>
      <c r="W33" s="19">
        <v>3901.15</v>
      </c>
      <c r="X33" s="11">
        <v>4134.4399999999996</v>
      </c>
      <c r="Y33" s="11">
        <v>4212.71</v>
      </c>
      <c r="Z33" s="31"/>
      <c r="AA33" s="11">
        <v>3815.04</v>
      </c>
      <c r="AB33" s="11">
        <v>3699.53</v>
      </c>
      <c r="AC33" s="11">
        <v>3538.37</v>
      </c>
      <c r="AD33" s="11">
        <v>3048.09</v>
      </c>
      <c r="AE33" s="11">
        <v>3597.5</v>
      </c>
      <c r="AF33" s="26">
        <v>4037.71</v>
      </c>
      <c r="AG33" s="11">
        <v>3928.48</v>
      </c>
      <c r="AH33" s="11">
        <v>3473.09</v>
      </c>
      <c r="AI33" s="11">
        <v>3906.43</v>
      </c>
      <c r="AJ33" s="27">
        <v>4231.32</v>
      </c>
      <c r="AK33" s="11">
        <v>3824.22</v>
      </c>
      <c r="AL33" s="11">
        <v>3720.42</v>
      </c>
      <c r="AM33" s="11">
        <v>3552.64</v>
      </c>
      <c r="AN33" s="33">
        <v>3033.57</v>
      </c>
      <c r="AO33" s="33">
        <v>4083.74</v>
      </c>
      <c r="AP33" s="33">
        <v>3963.96</v>
      </c>
      <c r="AQ33" s="33">
        <v>3459.2</v>
      </c>
      <c r="AR33" s="33">
        <v>3881.41</v>
      </c>
      <c r="AS33" s="33">
        <v>3907.42</v>
      </c>
      <c r="AT33" s="39"/>
      <c r="AU33" s="33">
        <v>3762.77</v>
      </c>
      <c r="AV33" s="33">
        <v>3619.14</v>
      </c>
      <c r="AW33" s="33">
        <v>3401.67</v>
      </c>
      <c r="AX33" s="33">
        <v>2881.52</v>
      </c>
      <c r="AY33" s="33">
        <v>3927.32</v>
      </c>
      <c r="AZ33" s="33">
        <v>3795.54</v>
      </c>
      <c r="BA33" s="33">
        <v>3386.35</v>
      </c>
      <c r="BB33" s="33">
        <v>3681.69</v>
      </c>
      <c r="BC33" s="33">
        <v>3954.65</v>
      </c>
      <c r="BD33" s="41"/>
      <c r="BE33" s="33">
        <v>4204.54</v>
      </c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Z33" s="10"/>
    </row>
    <row r="34" spans="1:78" x14ac:dyDescent="0.4">
      <c r="A34" s="46"/>
      <c r="B34" s="11" t="s">
        <v>39</v>
      </c>
      <c r="C34" s="11">
        <f>C25*C26</f>
        <v>3277.5</v>
      </c>
      <c r="D34" s="29">
        <f>D25*D26</f>
        <v>3243</v>
      </c>
      <c r="E34" s="11">
        <f>E25*E26</f>
        <v>2760</v>
      </c>
      <c r="F34" s="29">
        <f>F25*F26</f>
        <v>2725.5</v>
      </c>
      <c r="G34" s="15">
        <f>G25*G26</f>
        <v>2553</v>
      </c>
      <c r="H34" s="15">
        <f>H25*H26</f>
        <v>2656.5</v>
      </c>
      <c r="I34" s="15">
        <f>I25*I26</f>
        <v>2311.5</v>
      </c>
      <c r="J34" s="31">
        <f>J25*J26</f>
        <v>2139</v>
      </c>
      <c r="K34" s="31">
        <f>K25*K26</f>
        <v>2001</v>
      </c>
      <c r="L34" s="31">
        <f>L25*L26</f>
        <v>1897.5</v>
      </c>
      <c r="M34" s="31"/>
      <c r="N34" s="11">
        <f>N25*N26</f>
        <v>2656.5</v>
      </c>
      <c r="O34" s="13">
        <f>O25*O26</f>
        <v>2553</v>
      </c>
      <c r="P34" s="13">
        <f>P25*P26</f>
        <v>2484</v>
      </c>
      <c r="Q34" s="13">
        <f>Q25*Q26</f>
        <v>2380.5</v>
      </c>
      <c r="R34" s="13">
        <f>R25*R26</f>
        <v>2242.5</v>
      </c>
      <c r="S34" s="39">
        <f>S25*S26</f>
        <v>3001.4999999999995</v>
      </c>
      <c r="T34" s="31">
        <f>T25*T26</f>
        <v>3139.5</v>
      </c>
      <c r="U34" s="31">
        <f>U25*U26</f>
        <v>3243</v>
      </c>
      <c r="V34" s="39">
        <f>V25*V26</f>
        <v>3346.4999999999995</v>
      </c>
      <c r="W34" s="19">
        <f>W25*W26</f>
        <v>3795</v>
      </c>
      <c r="X34" s="19">
        <f>X25*X26</f>
        <v>3898.5000000000005</v>
      </c>
      <c r="Y34" s="19">
        <f>Y25*Y26</f>
        <v>4002</v>
      </c>
      <c r="Z34" s="31"/>
      <c r="AA34" s="19">
        <f>AA25*AA26</f>
        <v>2311.5</v>
      </c>
      <c r="AB34" s="31">
        <f>AB25*AB26</f>
        <v>2208</v>
      </c>
      <c r="AC34" s="26">
        <f>AC25*AC26</f>
        <v>2139</v>
      </c>
      <c r="AD34" s="26">
        <f>AD25*AD26</f>
        <v>1966.5</v>
      </c>
      <c r="AE34" s="26">
        <f>AE25*AE26</f>
        <v>2173.5</v>
      </c>
      <c r="AF34" s="26">
        <f>AF25*AF26</f>
        <v>2760</v>
      </c>
      <c r="AG34" s="26">
        <f>AG25*AG26</f>
        <v>2725.5</v>
      </c>
      <c r="AH34" s="26">
        <f>AH25*AH26</f>
        <v>2553</v>
      </c>
      <c r="AI34" s="27">
        <f>AI25*AI26</f>
        <v>3243</v>
      </c>
      <c r="AJ34" s="27">
        <f>AJ25*AJ26</f>
        <v>3312</v>
      </c>
      <c r="AK34" s="26">
        <f>AK25*AK26</f>
        <v>2311.5</v>
      </c>
      <c r="AL34" s="26">
        <f>AL25*AL26</f>
        <v>2208</v>
      </c>
      <c r="AM34" s="33">
        <f>AM25*AM26</f>
        <v>2121.75</v>
      </c>
      <c r="AN34" s="33">
        <f>AN25*AN26</f>
        <v>1931.9999999999998</v>
      </c>
      <c r="AO34" s="33">
        <f>AO25*AO26</f>
        <v>2794.5</v>
      </c>
      <c r="AP34" s="33">
        <f>AP25*AP26</f>
        <v>2725.5</v>
      </c>
      <c r="AQ34" s="33">
        <f>AQ25*AQ26</f>
        <v>2656.5</v>
      </c>
      <c r="AR34" s="33">
        <f>AR25*AR26</f>
        <v>3243</v>
      </c>
      <c r="AS34" s="33">
        <f>AS25*AS26</f>
        <v>3312</v>
      </c>
      <c r="AT34" s="39"/>
      <c r="AU34" s="33">
        <f>AU25*AU26</f>
        <v>2346</v>
      </c>
      <c r="AV34" s="33">
        <f>AV25*AV26</f>
        <v>2242.5</v>
      </c>
      <c r="AW34" s="33">
        <f>AW25*AW26</f>
        <v>2104.5</v>
      </c>
      <c r="AX34" s="33">
        <f>AX25*AX26</f>
        <v>1931.9999999999998</v>
      </c>
      <c r="AY34" s="33">
        <f>AY25*AY26</f>
        <v>2794.5</v>
      </c>
      <c r="AZ34" s="33">
        <f>AZ25*AZ26</f>
        <v>2725.5</v>
      </c>
      <c r="BA34" s="33">
        <f>BA25*BA26</f>
        <v>2553</v>
      </c>
      <c r="BB34" s="33">
        <f>BB25*BB26</f>
        <v>3243</v>
      </c>
      <c r="BC34" s="33">
        <f>BC25*BC26</f>
        <v>3346.4999999999995</v>
      </c>
      <c r="BD34" s="41"/>
      <c r="BE34" s="33">
        <f>BE25*BE26</f>
        <v>3381.0000000000005</v>
      </c>
      <c r="BF34" s="33">
        <f>BF25*BF26</f>
        <v>0</v>
      </c>
      <c r="BG34" s="33">
        <f>BG25*BG26</f>
        <v>0</v>
      </c>
      <c r="BH34" s="33">
        <f>BH25*BH26</f>
        <v>0</v>
      </c>
      <c r="BI34" s="33">
        <f>BI25*BI26</f>
        <v>0</v>
      </c>
      <c r="BJ34" s="33">
        <f>BJ25*BJ26</f>
        <v>0</v>
      </c>
      <c r="BK34" s="33">
        <f>BK25*BK26</f>
        <v>0</v>
      </c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Z34" s="10"/>
    </row>
    <row r="35" spans="1:78" x14ac:dyDescent="0.4">
      <c r="A35" s="46"/>
      <c r="B35" s="11" t="s">
        <v>40</v>
      </c>
      <c r="C35" s="11">
        <f>C33/C34</f>
        <v>1.2241800152555302</v>
      </c>
      <c r="D35" s="29">
        <f>D33/D34</f>
        <v>1.2063891458526057</v>
      </c>
      <c r="E35" s="29">
        <f>E33/E34</f>
        <v>1.4587173913043479</v>
      </c>
      <c r="F35" s="29">
        <f>F33/F34</f>
        <v>1.4514290955787927</v>
      </c>
      <c r="G35" s="15">
        <f>G33/G34</f>
        <v>1.367195456325891</v>
      </c>
      <c r="H35" s="15">
        <f>H33/H34</f>
        <v>1.3829136081309994</v>
      </c>
      <c r="I35" s="15">
        <f>I33/I34</f>
        <v>1.6696776984642008</v>
      </c>
      <c r="J35" s="31">
        <f>J33/J34</f>
        <v>1.6879102384291724</v>
      </c>
      <c r="K35" s="31">
        <f>K33/K34</f>
        <v>1.6137881059470265</v>
      </c>
      <c r="L35" s="31">
        <f>L33/L34</f>
        <v>1.5487009222661396</v>
      </c>
      <c r="M35" s="31"/>
      <c r="N35" s="11">
        <f>N33/N34</f>
        <v>1.3413363448146058</v>
      </c>
      <c r="O35" s="13">
        <f>O33/O34</f>
        <v>1.3722875048962004</v>
      </c>
      <c r="P35" s="13">
        <f>P33/P34</f>
        <v>1.3897705314009663</v>
      </c>
      <c r="Q35" s="13">
        <f>Q33/Q34</f>
        <v>1.3877000630119722</v>
      </c>
      <c r="R35" s="13">
        <f>R33/R34</f>
        <v>1.3242809364548493</v>
      </c>
      <c r="S35" s="39">
        <f>S33/S34</f>
        <v>1.1723071797434617</v>
      </c>
      <c r="T35" s="31">
        <f>T33/T34</f>
        <v>1.1869501512979774</v>
      </c>
      <c r="U35" s="31">
        <f>U33/U34</f>
        <v>1.1958248535306815</v>
      </c>
      <c r="V35" s="39">
        <f>V33/V34</f>
        <v>1.1740056775735845</v>
      </c>
      <c r="W35" s="19">
        <f>W33/W34</f>
        <v>1.0279710144927536</v>
      </c>
      <c r="X35" s="19">
        <f>X33/X34</f>
        <v>1.0605207130947798</v>
      </c>
      <c r="Y35" s="19">
        <f>Y33/Y34</f>
        <v>1.0526511744127935</v>
      </c>
      <c r="Z35" s="31"/>
      <c r="AA35" s="19">
        <f>AA33/AA34</f>
        <v>1.650460739779364</v>
      </c>
      <c r="AB35" s="31">
        <f>AB33/AB34</f>
        <v>1.675511775362319</v>
      </c>
      <c r="AC35" s="26">
        <f>AC33/AC34</f>
        <v>1.6542169237961664</v>
      </c>
      <c r="AD35" s="26">
        <f>AD33/AD34</f>
        <v>1.550007627765065</v>
      </c>
      <c r="AE35" s="26">
        <f>AE33/AE34</f>
        <v>1.6551644812514377</v>
      </c>
      <c r="AF35" s="26">
        <f>AF33/AF34</f>
        <v>1.4629384057971015</v>
      </c>
      <c r="AG35" s="26">
        <f>AG33/AG34</f>
        <v>1.4413795633828654</v>
      </c>
      <c r="AH35" s="26">
        <f>AH33/AH34</f>
        <v>1.3603956130043087</v>
      </c>
      <c r="AI35" s="26">
        <f>AI33/AI34</f>
        <v>1.204572926302806</v>
      </c>
      <c r="AJ35" s="27">
        <f>AJ33/AJ34</f>
        <v>1.2775724637681158</v>
      </c>
      <c r="AK35" s="26">
        <f>AK33/AK34</f>
        <v>1.6544321868916287</v>
      </c>
      <c r="AL35" s="26">
        <f>AL33/AL34</f>
        <v>1.6849728260869565</v>
      </c>
      <c r="AM35" s="33">
        <f>AM33/AM34</f>
        <v>1.6743914221750913</v>
      </c>
      <c r="AN35" s="33">
        <f>AN33/AN34</f>
        <v>1.5701708074534164</v>
      </c>
      <c r="AO35" s="33">
        <f>AO33/AO34</f>
        <v>1.4613490785471461</v>
      </c>
      <c r="AP35" s="33">
        <f>AP33/AP34</f>
        <v>1.454397358282884</v>
      </c>
      <c r="AQ35" s="33">
        <f>AQ33/AQ34</f>
        <v>1.3021645021645021</v>
      </c>
      <c r="AR35" s="33">
        <f>AR33/AR34</f>
        <v>1.1968578476719087</v>
      </c>
      <c r="AS35" s="33">
        <f>AS33/AS34</f>
        <v>1.1797765700483092</v>
      </c>
      <c r="AT35" s="39"/>
      <c r="AU35" s="33">
        <f>AU33/AU34</f>
        <v>1.6039087809036658</v>
      </c>
      <c r="AV35" s="33">
        <f>AV33/AV34</f>
        <v>1.6138862876254181</v>
      </c>
      <c r="AW35" s="33">
        <f>AW33/AW34</f>
        <v>1.6163791874554527</v>
      </c>
      <c r="AX35" s="33">
        <f>AX33/AX34</f>
        <v>1.4914699792960664</v>
      </c>
      <c r="AY35" s="33">
        <f>AY33/AY34</f>
        <v>1.4053748434424764</v>
      </c>
      <c r="AZ35" s="33">
        <f>AZ33/AZ34</f>
        <v>1.3926031920748487</v>
      </c>
      <c r="BA35" s="33">
        <f>BA33/BA34</f>
        <v>1.3264198981590285</v>
      </c>
      <c r="BB35" s="39">
        <f>BB33/BB34</f>
        <v>1.13527289546716</v>
      </c>
      <c r="BC35" s="39">
        <f>BC33/BC34</f>
        <v>1.1817271776482894</v>
      </c>
      <c r="BD35" s="41"/>
      <c r="BE35" s="41">
        <f>BE33/BE34</f>
        <v>1.243578822833481</v>
      </c>
      <c r="BF35" s="41" t="e">
        <f>BF33/BF34</f>
        <v>#DIV/0!</v>
      </c>
      <c r="BG35" s="41" t="e">
        <f>BG33/BG34</f>
        <v>#DIV/0!</v>
      </c>
      <c r="BH35" s="41" t="e">
        <f>BH33/BH34</f>
        <v>#DIV/0!</v>
      </c>
      <c r="BI35" s="41" t="e">
        <f>BI33/BI34</f>
        <v>#DIV/0!</v>
      </c>
      <c r="BJ35" s="41" t="e">
        <f>BJ33/BJ34</f>
        <v>#DIV/0!</v>
      </c>
      <c r="BK35" s="41" t="e">
        <f>BK33/BK34</f>
        <v>#DIV/0!</v>
      </c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Z35" s="37"/>
    </row>
    <row r="36" spans="1:78" x14ac:dyDescent="0.4">
      <c r="A36" s="46"/>
      <c r="B36" s="11" t="s">
        <v>41</v>
      </c>
      <c r="C36" s="11">
        <v>10.86</v>
      </c>
      <c r="D36" s="29">
        <v>11.19</v>
      </c>
      <c r="E36" s="11">
        <v>10.84</v>
      </c>
      <c r="F36" s="15">
        <v>11.08</v>
      </c>
      <c r="G36" s="15">
        <v>12.33</v>
      </c>
      <c r="H36" s="19">
        <v>11.79</v>
      </c>
      <c r="I36" s="19">
        <v>11.21</v>
      </c>
      <c r="J36" s="31">
        <v>11.94</v>
      </c>
      <c r="K36" s="15">
        <v>12.87</v>
      </c>
      <c r="L36" s="11">
        <v>13.91</v>
      </c>
      <c r="M36" s="31"/>
      <c r="N36" s="11">
        <v>12.04</v>
      </c>
      <c r="O36" s="11">
        <v>12.19</v>
      </c>
      <c r="P36" s="11">
        <v>12.35</v>
      </c>
      <c r="Q36" s="11">
        <v>12.69</v>
      </c>
      <c r="R36" s="11">
        <v>13.58</v>
      </c>
      <c r="S36" s="11">
        <v>12.14</v>
      </c>
      <c r="T36" s="31">
        <v>11.57</v>
      </c>
      <c r="U36" s="31">
        <v>11.21</v>
      </c>
      <c r="V36" s="11">
        <v>11.06</v>
      </c>
      <c r="W36" s="19">
        <v>11.13</v>
      </c>
      <c r="X36" s="11">
        <v>10.51</v>
      </c>
      <c r="Y36" s="11">
        <v>10.27</v>
      </c>
      <c r="Z36" s="31"/>
      <c r="AA36" s="11">
        <v>11.45</v>
      </c>
      <c r="AB36" s="11">
        <v>11.74</v>
      </c>
      <c r="AC36" s="11">
        <v>12.18</v>
      </c>
      <c r="AD36" s="11">
        <v>13.41</v>
      </c>
      <c r="AE36" s="11">
        <v>12.06</v>
      </c>
      <c r="AF36" s="26">
        <v>10.71</v>
      </c>
      <c r="AG36" s="11">
        <v>10.97</v>
      </c>
      <c r="AH36" s="11">
        <v>12.26</v>
      </c>
      <c r="AI36" s="11">
        <v>11.05</v>
      </c>
      <c r="AJ36" s="26">
        <v>10.41</v>
      </c>
      <c r="AK36" s="11">
        <v>11.34</v>
      </c>
      <c r="AL36" s="11">
        <v>11.67</v>
      </c>
      <c r="AM36" s="11">
        <v>12.12</v>
      </c>
      <c r="AN36" s="33">
        <v>13.43</v>
      </c>
      <c r="AO36" s="33">
        <v>10.73</v>
      </c>
      <c r="AP36" s="33">
        <v>10.98</v>
      </c>
      <c r="AQ36" s="33">
        <v>12.34</v>
      </c>
      <c r="AR36" s="33">
        <v>11.24</v>
      </c>
      <c r="AS36" s="33">
        <v>10.65</v>
      </c>
      <c r="AT36" s="39"/>
      <c r="AU36" s="33">
        <v>11.4</v>
      </c>
      <c r="AV36" s="33">
        <v>11.68</v>
      </c>
      <c r="AW36" s="33">
        <v>12.33</v>
      </c>
      <c r="AX36" s="33">
        <v>13.69</v>
      </c>
      <c r="AY36" s="33">
        <v>10.82</v>
      </c>
      <c r="AZ36" s="33">
        <v>11.2</v>
      </c>
      <c r="BA36" s="33">
        <v>12.54</v>
      </c>
      <c r="BB36" s="33">
        <v>11.35</v>
      </c>
      <c r="BC36" s="33">
        <v>10.57</v>
      </c>
      <c r="BD36" s="41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Z36" s="37"/>
    </row>
    <row r="37" spans="1:78" x14ac:dyDescent="0.4">
      <c r="A37" s="46"/>
      <c r="B37" s="11" t="s">
        <v>42</v>
      </c>
      <c r="C37" s="11">
        <v>10.45</v>
      </c>
      <c r="D37" s="29">
        <v>10.76</v>
      </c>
      <c r="E37" s="11">
        <v>10.44</v>
      </c>
      <c r="F37" s="15">
        <v>10.65</v>
      </c>
      <c r="G37" s="15">
        <v>11.83</v>
      </c>
      <c r="H37" s="19">
        <v>11.34</v>
      </c>
      <c r="I37" s="19">
        <v>10.84</v>
      </c>
      <c r="J37" s="31">
        <v>11.5</v>
      </c>
      <c r="K37" s="15">
        <v>12.43</v>
      </c>
      <c r="L37" s="11">
        <v>13.42</v>
      </c>
      <c r="M37" s="31"/>
      <c r="N37" s="11">
        <v>11.64</v>
      </c>
      <c r="O37" s="11">
        <v>11.76</v>
      </c>
      <c r="P37" s="11">
        <v>11.93</v>
      </c>
      <c r="Q37" s="11">
        <v>12.27</v>
      </c>
      <c r="R37" s="11">
        <v>13.13</v>
      </c>
      <c r="S37" s="11">
        <v>11.73</v>
      </c>
      <c r="T37" s="31">
        <v>11.17</v>
      </c>
      <c r="U37" s="31">
        <v>10.85</v>
      </c>
      <c r="V37" s="11">
        <v>10.71</v>
      </c>
      <c r="W37" s="19">
        <v>10.76</v>
      </c>
      <c r="X37" s="11">
        <v>10.19</v>
      </c>
      <c r="Y37" s="11">
        <v>9.9600000000000009</v>
      </c>
      <c r="Z37" s="31"/>
      <c r="AA37" s="11">
        <v>11</v>
      </c>
      <c r="AB37" s="11">
        <v>11.27</v>
      </c>
      <c r="AC37" s="11">
        <v>11.7</v>
      </c>
      <c r="AD37" s="11">
        <v>12.88</v>
      </c>
      <c r="AE37" s="11">
        <v>11.62</v>
      </c>
      <c r="AF37" s="26">
        <v>10.45</v>
      </c>
      <c r="AG37" s="11">
        <v>10.67</v>
      </c>
      <c r="AH37" s="11">
        <v>11.88</v>
      </c>
      <c r="AI37" s="11">
        <v>10.75</v>
      </c>
      <c r="AJ37" s="26">
        <v>10.15</v>
      </c>
      <c r="AK37" s="11">
        <v>10.94</v>
      </c>
      <c r="AL37" s="11">
        <v>11.25</v>
      </c>
      <c r="AM37" s="11">
        <v>11.69</v>
      </c>
      <c r="AN37" s="33">
        <v>12.95</v>
      </c>
      <c r="AO37" s="33">
        <v>10.37</v>
      </c>
      <c r="AP37" s="33">
        <v>10.63</v>
      </c>
      <c r="AQ37" s="33">
        <v>11.94</v>
      </c>
      <c r="AR37" s="33">
        <v>10.82</v>
      </c>
      <c r="AS37" s="33">
        <v>10.78</v>
      </c>
      <c r="AT37" s="39"/>
      <c r="AU37" s="39">
        <v>11.14</v>
      </c>
      <c r="AV37" s="33">
        <v>11.54</v>
      </c>
      <c r="AW37" s="33">
        <v>12.06</v>
      </c>
      <c r="AX37" s="33">
        <v>13.33</v>
      </c>
      <c r="AY37" s="33">
        <v>10.89</v>
      </c>
      <c r="AZ37" s="33">
        <v>11.07</v>
      </c>
      <c r="BA37" s="33">
        <v>12.1</v>
      </c>
      <c r="BB37" s="33">
        <v>11.445</v>
      </c>
      <c r="BC37" s="33">
        <v>10.66</v>
      </c>
      <c r="BD37" s="41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Z37" s="37"/>
    </row>
    <row r="38" spans="1:78" x14ac:dyDescent="0.4">
      <c r="A38" s="46"/>
      <c r="B38" s="11" t="s">
        <v>43</v>
      </c>
      <c r="C38" s="11">
        <v>46.54</v>
      </c>
      <c r="D38" s="29">
        <v>46.45</v>
      </c>
      <c r="E38" s="11">
        <v>46.21</v>
      </c>
      <c r="F38" s="15">
        <v>46</v>
      </c>
      <c r="G38" s="15">
        <v>45.56</v>
      </c>
      <c r="H38" s="19">
        <v>45.93</v>
      </c>
      <c r="I38" s="19">
        <v>45.7</v>
      </c>
      <c r="J38" s="31">
        <v>45.39</v>
      </c>
      <c r="K38" s="15">
        <v>45.12</v>
      </c>
      <c r="L38" s="11">
        <v>44.7</v>
      </c>
      <c r="M38" s="31"/>
      <c r="N38" s="11">
        <v>45.77</v>
      </c>
      <c r="O38" s="11">
        <v>45.79</v>
      </c>
      <c r="P38" s="11">
        <v>45.7</v>
      </c>
      <c r="Q38" s="11">
        <v>45.48</v>
      </c>
      <c r="R38" s="11">
        <v>45.18</v>
      </c>
      <c r="S38" s="11">
        <v>46.1</v>
      </c>
      <c r="T38" s="31">
        <v>46.35</v>
      </c>
      <c r="U38" s="31">
        <v>46.38</v>
      </c>
      <c r="V38" s="11">
        <v>46.79</v>
      </c>
      <c r="W38" s="19">
        <v>46.92</v>
      </c>
      <c r="X38" s="11">
        <v>47.02</v>
      </c>
      <c r="Y38" s="11">
        <v>47.3</v>
      </c>
      <c r="Z38" s="31"/>
      <c r="AA38" s="11">
        <v>45.7</v>
      </c>
      <c r="AB38" s="11">
        <v>45.52</v>
      </c>
      <c r="AC38" s="11">
        <v>45.37</v>
      </c>
      <c r="AD38" s="11">
        <v>44.78</v>
      </c>
      <c r="AE38" s="11">
        <v>45.5</v>
      </c>
      <c r="AF38" s="26">
        <v>46.22</v>
      </c>
      <c r="AG38" s="11">
        <v>46.15</v>
      </c>
      <c r="AH38" s="11">
        <v>45.65</v>
      </c>
      <c r="AI38" s="11">
        <v>46.44</v>
      </c>
      <c r="AJ38" s="26">
        <v>46.66</v>
      </c>
      <c r="AK38" s="11">
        <v>45.66</v>
      </c>
      <c r="AL38" s="11">
        <v>45.57</v>
      </c>
      <c r="AM38" s="11">
        <v>45.36</v>
      </c>
      <c r="AN38" s="33">
        <v>44.85</v>
      </c>
      <c r="AO38" s="33">
        <v>46.22</v>
      </c>
      <c r="AP38" s="33">
        <v>46.09</v>
      </c>
      <c r="AQ38" s="33">
        <v>45.58</v>
      </c>
      <c r="AR38" s="33">
        <v>46.51</v>
      </c>
      <c r="AS38" s="33">
        <v>46.68</v>
      </c>
      <c r="AT38" s="39"/>
      <c r="AU38" s="33">
        <v>45.81</v>
      </c>
      <c r="AV38" s="33">
        <v>45.64</v>
      </c>
      <c r="AW38" s="33">
        <v>45.42</v>
      </c>
      <c r="AX38" s="33">
        <v>44.9</v>
      </c>
      <c r="AY38" s="33">
        <v>46.27</v>
      </c>
      <c r="AZ38" s="33">
        <v>46.12</v>
      </c>
      <c r="BA38" s="33">
        <v>45.59</v>
      </c>
      <c r="BB38" s="33">
        <v>46.43</v>
      </c>
      <c r="BC38" s="33">
        <v>46.74</v>
      </c>
      <c r="BD38" s="41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Z38" s="33"/>
    </row>
    <row r="39" spans="1:78" x14ac:dyDescent="0.4">
      <c r="A39" s="46"/>
      <c r="B39" s="11" t="s">
        <v>44</v>
      </c>
      <c r="C39" s="11">
        <v>32.44</v>
      </c>
      <c r="D39" s="29">
        <v>32.35</v>
      </c>
      <c r="E39" s="11">
        <v>32.299999999999997</v>
      </c>
      <c r="F39" s="15">
        <v>32.549999999999997</v>
      </c>
      <c r="G39" s="15">
        <v>32.19</v>
      </c>
      <c r="H39" s="19">
        <v>32.97</v>
      </c>
      <c r="I39" s="19">
        <v>32.119999999999997</v>
      </c>
      <c r="J39" s="31">
        <v>32.28</v>
      </c>
      <c r="K39" s="15">
        <v>32.14</v>
      </c>
      <c r="L39" s="11">
        <v>32.090000000000003</v>
      </c>
      <c r="M39" s="31"/>
      <c r="N39" s="11">
        <v>32.08</v>
      </c>
      <c r="O39" s="11">
        <v>32.68</v>
      </c>
      <c r="P39" s="11">
        <v>32.380000000000003</v>
      </c>
      <c r="Q39" s="11">
        <v>32.270000000000003</v>
      </c>
      <c r="R39" s="11">
        <v>32.200000000000003</v>
      </c>
      <c r="S39" s="11">
        <v>32.369999999999997</v>
      </c>
      <c r="T39" s="31">
        <v>32.36</v>
      </c>
      <c r="U39" s="31">
        <v>32.549999999999997</v>
      </c>
      <c r="V39" s="11">
        <v>33.28</v>
      </c>
      <c r="W39" s="19">
        <v>32.590000000000003</v>
      </c>
      <c r="X39" s="11">
        <v>32.729999999999997</v>
      </c>
      <c r="Y39" s="11">
        <v>32.6</v>
      </c>
      <c r="Z39" s="31"/>
      <c r="AA39" s="11">
        <v>32.22</v>
      </c>
      <c r="AB39" s="11">
        <v>32.450000000000003</v>
      </c>
      <c r="AC39" s="11">
        <v>32.340000000000003</v>
      </c>
      <c r="AD39" s="11">
        <v>32.26</v>
      </c>
      <c r="AE39" s="11">
        <v>32.24</v>
      </c>
      <c r="AF39" s="26">
        <v>32.549999999999997</v>
      </c>
      <c r="AG39" s="11">
        <v>32.76</v>
      </c>
      <c r="AH39" s="11">
        <v>32.86</v>
      </c>
      <c r="AI39" s="11">
        <v>33.24</v>
      </c>
      <c r="AJ39" s="26">
        <v>33.5</v>
      </c>
      <c r="AK39" s="11">
        <v>33.24</v>
      </c>
      <c r="AL39" s="11">
        <v>33.29</v>
      </c>
      <c r="AM39" s="11">
        <v>33.33</v>
      </c>
      <c r="AN39" s="33">
        <v>33.24</v>
      </c>
      <c r="AO39" s="33">
        <v>33.67</v>
      </c>
      <c r="AP39" s="33">
        <v>33.619999999999997</v>
      </c>
      <c r="AQ39" s="33">
        <v>33.479999999999997</v>
      </c>
      <c r="AR39" s="33">
        <v>33.700000000000003</v>
      </c>
      <c r="AS39" s="33">
        <v>33.25</v>
      </c>
      <c r="AT39" s="39"/>
      <c r="AU39" s="33">
        <v>32.93</v>
      </c>
      <c r="AV39" s="33">
        <v>32.840000000000003</v>
      </c>
      <c r="AW39" s="33">
        <v>32.79</v>
      </c>
      <c r="AX39" s="33">
        <v>32.630000000000003</v>
      </c>
      <c r="AY39" s="33">
        <v>32.65</v>
      </c>
      <c r="AZ39" s="33">
        <v>32.64</v>
      </c>
      <c r="BA39" s="33">
        <v>32.479999999999997</v>
      </c>
      <c r="BB39" s="33">
        <v>32.69</v>
      </c>
      <c r="BC39" s="33">
        <v>32.86</v>
      </c>
      <c r="BD39" s="41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Z39" s="33"/>
    </row>
    <row r="40" spans="1:78" x14ac:dyDescent="0.4">
      <c r="BZ40" s="33"/>
    </row>
    <row r="41" spans="1:78" x14ac:dyDescent="0.4">
      <c r="BZ41" s="33"/>
    </row>
    <row r="42" spans="1:78" x14ac:dyDescent="0.4">
      <c r="BZ42" s="33"/>
    </row>
    <row r="43" spans="1:78" x14ac:dyDescent="0.4">
      <c r="BZ43" s="33"/>
    </row>
    <row r="44" spans="1:78" x14ac:dyDescent="0.4">
      <c r="BZ44" s="33"/>
    </row>
    <row r="45" spans="1:78" x14ac:dyDescent="0.4">
      <c r="BZ45" s="33"/>
    </row>
    <row r="46" spans="1:78" x14ac:dyDescent="0.4">
      <c r="BZ46" s="33"/>
    </row>
    <row r="47" spans="1:78" x14ac:dyDescent="0.4">
      <c r="BZ47" s="33"/>
    </row>
    <row r="48" spans="1:78" x14ac:dyDescent="0.4">
      <c r="BZ48" s="33"/>
    </row>
    <row r="49" spans="78:78" x14ac:dyDescent="0.4">
      <c r="BZ49" s="33"/>
    </row>
    <row r="50" spans="78:78" x14ac:dyDescent="0.4">
      <c r="BZ50" s="33"/>
    </row>
    <row r="51" spans="78:78" x14ac:dyDescent="0.4">
      <c r="BZ51" s="33"/>
    </row>
  </sheetData>
  <mergeCells count="4">
    <mergeCell ref="A3:A6"/>
    <mergeCell ref="A7:A19"/>
    <mergeCell ref="A20:A24"/>
    <mergeCell ref="A25:A39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qhr</cp:lastModifiedBy>
  <dcterms:created xsi:type="dcterms:W3CDTF">2015-06-05T18:19:34Z</dcterms:created>
  <dcterms:modified xsi:type="dcterms:W3CDTF">2019-12-19T01:21:34Z</dcterms:modified>
</cp:coreProperties>
</file>