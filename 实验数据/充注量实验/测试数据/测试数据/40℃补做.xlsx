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发给东风\"/>
    </mc:Choice>
  </mc:AlternateContent>
  <xr:revisionPtr revIDLastSave="195" documentId="13_ncr:1_{8A7E1B34-7C28-402F-895F-8277B7E06B38}" xr6:coauthVersionLast="45" xr6:coauthVersionMax="45" xr10:uidLastSave="{46ED1F79-6206-4C2A-BD80-6216B4C2F13F}"/>
  <bookViews>
    <workbookView xWindow="-98" yWindow="-98" windowWidth="19396" windowHeight="10395" xr2:uid="{00000000-000D-0000-FFFF-FFFF00000000}"/>
  </bookViews>
  <sheets>
    <sheet name="Sheet2" sheetId="2" r:id="rId1"/>
    <sheet name="压降分析" sheetId="7" r:id="rId2"/>
    <sheet name="Sheet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5" i="2" l="1"/>
  <c r="D35" i="2"/>
  <c r="E35" i="2"/>
  <c r="F35" i="2"/>
  <c r="G35" i="2"/>
  <c r="G36" i="2" s="1"/>
  <c r="H35" i="2"/>
  <c r="H36" i="2" s="1"/>
  <c r="J35" i="2"/>
  <c r="J36" i="2" s="1"/>
  <c r="K35" i="2"/>
  <c r="K36" i="2" s="1"/>
  <c r="L35" i="2"/>
  <c r="M35" i="2"/>
  <c r="N35" i="2"/>
  <c r="O35" i="2"/>
  <c r="P35" i="2"/>
  <c r="P36" i="2" s="1"/>
  <c r="Q35" i="2"/>
  <c r="Q36" i="2" s="1"/>
  <c r="R35" i="2"/>
  <c r="R36" i="2" s="1"/>
  <c r="S35" i="2"/>
  <c r="S36" i="2" s="1"/>
  <c r="T35" i="2"/>
  <c r="U35" i="2"/>
  <c r="V35" i="2"/>
  <c r="W35" i="2"/>
  <c r="X35" i="2"/>
  <c r="X36" i="2" s="1"/>
  <c r="Y35" i="2"/>
  <c r="Y36" i="2" s="1"/>
  <c r="Z35" i="2"/>
  <c r="Z36" i="2" s="1"/>
  <c r="AA35" i="2"/>
  <c r="AA36" i="2" s="1"/>
  <c r="AB35" i="2"/>
  <c r="AC35" i="2"/>
  <c r="AD35" i="2"/>
  <c r="AE35" i="2"/>
  <c r="AF35" i="2"/>
  <c r="AF36" i="2" s="1"/>
  <c r="AG35" i="2"/>
  <c r="AG36" i="2" s="1"/>
  <c r="AH35" i="2"/>
  <c r="AH36" i="2" s="1"/>
  <c r="AI35" i="2"/>
  <c r="AI36" i="2" s="1"/>
  <c r="AJ35" i="2"/>
  <c r="AK35" i="2"/>
  <c r="AL35" i="2"/>
  <c r="AM35" i="2"/>
  <c r="AN35" i="2"/>
  <c r="AN36" i="2" s="1"/>
  <c r="AO35" i="2"/>
  <c r="AO36" i="2" s="1"/>
  <c r="AP35" i="2"/>
  <c r="AP36" i="2" s="1"/>
  <c r="C36" i="2"/>
  <c r="D36" i="2"/>
  <c r="E36" i="2"/>
  <c r="F36" i="2"/>
  <c r="L36" i="2"/>
  <c r="M36" i="2"/>
  <c r="N36" i="2"/>
  <c r="O36" i="2"/>
  <c r="T36" i="2"/>
  <c r="U36" i="2"/>
  <c r="V36" i="2"/>
  <c r="W36" i="2"/>
  <c r="AB36" i="2"/>
  <c r="AC36" i="2"/>
  <c r="AD36" i="2"/>
  <c r="AE36" i="2"/>
  <c r="AJ36" i="2"/>
  <c r="AK36" i="2"/>
  <c r="AL36" i="2"/>
  <c r="AM36" i="2"/>
  <c r="AQ36" i="2"/>
  <c r="C6" i="7" l="1"/>
  <c r="C5" i="7"/>
  <c r="C4" i="7"/>
  <c r="C3" i="7"/>
  <c r="C2" i="7"/>
  <c r="C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G33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增大风量降低气冷出口温度</t>
        </r>
      </text>
    </comment>
  </commentList>
</comments>
</file>

<file path=xl/sharedStrings.xml><?xml version="1.0" encoding="utf-8"?>
<sst xmlns="http://schemas.openxmlformats.org/spreadsheetml/2006/main" count="135" uniqueCount="115">
  <si>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</si>
  <si>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</si>
  <si>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</si>
  <si>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室外换热出口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</si>
  <si>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</si>
  <si>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</si>
  <si>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</si>
  <si>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</si>
  <si>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</si>
  <si>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</si>
  <si>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</si>
  <si>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列9</t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</si>
  <si>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</si>
  <si>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</si>
  <si>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</si>
  <si>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</si>
  <si>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</si>
  <si>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</si>
  <si>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</si>
  <si>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</si>
  <si>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列12</t>
  </si>
  <si>
    <t>列15</t>
  </si>
  <si>
    <t>日期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</si>
  <si>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</si>
  <si>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列0</t>
    <phoneticPr fontId="5" type="noConversion"/>
  </si>
  <si>
    <t>列1</t>
    <phoneticPr fontId="5" type="noConversion"/>
  </si>
  <si>
    <t>列3</t>
  </si>
  <si>
    <t>列4</t>
  </si>
  <si>
    <t>列5</t>
  </si>
  <si>
    <t>列6</t>
  </si>
  <si>
    <t>列7</t>
  </si>
  <si>
    <t>列8</t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</si>
  <si>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</si>
  <si>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</si>
  <si>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</si>
  <si>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室内出风干球/℃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</si>
  <si>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</si>
  <si>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性能</t>
    <phoneticPr fontId="5" type="noConversion"/>
  </si>
  <si>
    <t>列16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</si>
  <si>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</si>
  <si>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</si>
  <si>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</si>
  <si>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电压/V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</si>
  <si>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</si>
  <si>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</si>
  <si>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</si>
  <si>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</si>
  <si>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</si>
  <si>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</si>
  <si>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</si>
  <si>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</si>
  <si>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室内侧COP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</si>
  <si>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</si>
  <si>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</si>
  <si>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</si>
  <si>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</si>
  <si>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</si>
  <si>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</si>
  <si>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</si>
  <si>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</si>
  <si>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</si>
  <si>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</si>
  <si>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</si>
  <si>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</si>
  <si>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</si>
  <si>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</si>
  <si>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</si>
  <si>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</si>
  <si>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</si>
  <si>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</si>
  <si>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</si>
  <si>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</si>
  <si>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</si>
  <si>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</si>
  <si>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</si>
  <si>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主换热器出口</t>
    <phoneticPr fontId="5" type="noConversion"/>
  </si>
  <si>
    <t>排气至气冷</t>
    <phoneticPr fontId="5" type="noConversion"/>
  </si>
  <si>
    <t>气冷</t>
    <phoneticPr fontId="5" type="noConversion"/>
  </si>
  <si>
    <t>不回热</t>
    <phoneticPr fontId="5" type="noConversion"/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</si>
  <si>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</si>
  <si>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</si>
  <si>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</si>
  <si>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</si>
  <si>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</si>
  <si>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</si>
  <si>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</si>
  <si>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</si>
  <si>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</si>
  <si>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</si>
  <si>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</si>
  <si>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</si>
  <si>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</si>
  <si>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</si>
  <si>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</si>
  <si>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</si>
  <si>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</si>
  <si>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</si>
  <si>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</si>
  <si>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</si>
  <si>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</si>
  <si>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</si>
  <si>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</si>
  <si>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</si>
  <si>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</si>
  <si>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回热</t>
    <phoneticPr fontId="5" type="noConversion"/>
  </si>
  <si>
    <t>列72</t>
  </si>
  <si>
    <t>列2</t>
  </si>
  <si>
    <t>组1</t>
    <phoneticPr fontId="5" type="noConversion"/>
  </si>
  <si>
    <t>组2</t>
    <phoneticPr fontId="5" type="noConversion"/>
  </si>
  <si>
    <t>组3</t>
    <phoneticPr fontId="5" type="noConversion"/>
  </si>
  <si>
    <t>组4</t>
    <phoneticPr fontId="5" type="noConversion"/>
  </si>
  <si>
    <t>组5</t>
  </si>
  <si>
    <t>列310</t>
  </si>
  <si>
    <t>列411</t>
  </si>
  <si>
    <t>列512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</si>
</sst>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6" fillId="0" borderId="0" xfId="0" applyFont="1">
      <alignment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1" fillId="4" borderId="2" xfId="5" applyAlignment="1">
      <alignment horizontal="center" vertical="center"/>
    </xf>
    <xf numFmtId="0" fontId="11" fillId="4" borderId="2" xfId="5" applyAlignment="1">
      <alignment vertical="center"/>
    </xf>
    <xf numFmtId="0" fontId="6" fillId="2" borderId="0" xfId="1" applyFont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4" fillId="8" borderId="1" xfId="3" applyFill="1" applyAlignment="1">
      <alignment horizontal="center"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2" fillId="11" borderId="4" xfId="1" applyFill="1" applyBorder="1" applyAlignment="1">
      <alignment horizontal="center" vertical="center"/>
    </xf>
    <xf numFmtId="0" fontId="2" fillId="11" borderId="0" xfId="1" applyFill="1" applyAlignment="1">
      <alignment horizontal="center" vertical="center"/>
    </xf>
    <xf numFmtId="0" fontId="0" fillId="11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2" borderId="1" xfId="2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13" borderId="1" xfId="2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" fillId="13" borderId="1" xfId="3" applyFill="1" applyAlignment="1">
      <alignment horizontal="center" vertical="center"/>
    </xf>
    <xf numFmtId="0" fontId="2" fillId="13" borderId="0" xfId="1" applyFill="1" applyAlignment="1">
      <alignment horizontal="center" vertical="center"/>
    </xf>
    <xf numFmtId="0" fontId="0" fillId="13" borderId="3" xfId="4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4" fillId="4" borderId="7" xfId="3" applyBorder="1" applyAlignment="1">
      <alignment horizontal="center" vertical="center"/>
    </xf>
    <xf numFmtId="0" fontId="4" fillId="4" borderId="11" xfId="3" applyBorder="1" applyAlignment="1">
      <alignment horizontal="center" vertical="center"/>
    </xf>
    <xf numFmtId="0" fontId="2" fillId="2" borderId="8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0" fillId="5" borderId="9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0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12" xfId="5" applyBorder="1" applyAlignment="1">
      <alignment horizontal="center" vertical="center"/>
    </xf>
    <xf numFmtId="0" fontId="11" fillId="4" borderId="13" xfId="5" applyBorder="1" applyAlignment="1">
      <alignment horizontal="center" vertical="center"/>
    </xf>
    <xf numFmtId="0" fontId="11" fillId="4" borderId="14" xfId="5" applyBorder="1" applyAlignment="1">
      <alignment horizontal="center" vertical="center"/>
    </xf>
  </cellXfs>
  <cellStyles count="6">
    <cellStyle name="常规" xfId="0" builtinId="0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85"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0</c:v>
                </c:pt>
              </c:numCache>
            </c:numRef>
          </c:xVal>
          <c:yVal>
            <c:numRef>
              <c:f>压降分析!$C$6:$F$6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(压降分析!$C$33,压降分析!$E$33,压降分析!$G$33)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AQ40" totalsRowShown="0" dataDxfId="84">
  <autoFilter ref="B1:AQ40" xr:uid="{00000000-0009-0000-0100-000003000000}"/>
  <tableColumns count="42">
    <tableColumn id="9" xr3:uid="{00000000-0010-0000-0000-000009000000}" name="列0" dataDxfId="83" totalsRowDxfId="82"/>
    <tableColumn id="4" xr3:uid="{00000000-0010-0000-0000-000004000000}" name="列1" dataDxfId="81" totalsRowDxfId="80"/>
    <tableColumn id="18" xr3:uid="{00000000-0010-0000-0000-000012000000}" name="列3" dataDxfId="79" totalsRowDxfId="78"/>
    <tableColumn id="1" xr3:uid="{00000000-0010-0000-0000-000001000000}" name="列4" dataDxfId="77" totalsRowDxfId="76"/>
    <tableColumn id="17" xr3:uid="{00000000-0010-0000-0000-000011000000}" name="列5" dataDxfId="75" totalsRowDxfId="74"/>
    <tableColumn id="21" xr3:uid="{00000000-0010-0000-0000-000015000000}" name="列6" dataDxfId="73" totalsRowDxfId="72"/>
    <tableColumn id="20" xr3:uid="{00000000-0010-0000-0000-000014000000}" name="列7" dataDxfId="71" totalsRowDxfId="70"/>
    <tableColumn id="16" xr3:uid="{19440A2C-D854-4571-847F-A090ECA96C14}" name="列72" dataDxfId="69" totalsRowDxfId="68" dataCellStyle="输入"/>
    <tableColumn id="19" xr3:uid="{00000000-0010-0000-0000-000013000000}" name="列8" dataDxfId="67" totalsRowDxfId="66"/>
    <tableColumn id="11" xr3:uid="{00000000-0010-0000-0000-00000B000000}" name="列9" dataDxfId="65" totalsRowDxfId="64"/>
    <tableColumn id="24" xr3:uid="{00000000-0010-0000-0000-000018000000}" name="列12" dataDxfId="63" totalsRowDxfId="62" dataCellStyle="输入"/>
    <tableColumn id="23" xr3:uid="{00000000-0010-0000-0000-000017000000}" name="列2" dataDxfId="61" totalsRowDxfId="60" dataCellStyle="输入"/>
    <tableColumn id="22" xr3:uid="{00000000-0010-0000-0000-000016000000}" name="列310" dataDxfId="59" totalsRowDxfId="58" dataCellStyle="输入"/>
    <tableColumn id="12" xr3:uid="{00000000-0010-0000-0000-00000C000000}" name="列411" dataDxfId="57" totalsRowDxfId="56" dataCellStyle="输入"/>
    <tableColumn id="13" xr3:uid="{00000000-0010-0000-0000-00000D000000}" name="列512" dataDxfId="55" totalsRowDxfId="54" dataCellStyle="输入"/>
    <tableColumn id="14" xr3:uid="{00000000-0010-0000-0000-00000E000000}" name="列15" dataDxfId="53" totalsRowDxfId="52"/>
    <tableColumn id="15" xr3:uid="{00000000-0010-0000-0000-00000F000000}" name="列16" dataDxfId="51" totalsRowDxfId="50"/>
    <tableColumn id="2" xr3:uid="{0F95C51C-B079-45CB-9A85-FA4F282056DD}" name="列17" dataDxfId="49" totalsRowDxfId="48"/>
    <tableColumn id="3" xr3:uid="{385E8310-AD78-41C2-B15B-568AFD5C87EF}" name="列18" dataDxfId="47" totalsRowDxfId="46"/>
    <tableColumn id="5" xr3:uid="{09F56284-445E-4F20-8FB9-1A3E51844225}" name="列19" dataDxfId="45" totalsRowDxfId="44"/>
    <tableColumn id="6" xr3:uid="{9370711D-FB84-4783-AC92-25A2D87AC583}" name="列20" dataDxfId="43" totalsRowDxfId="42"/>
    <tableColumn id="7" xr3:uid="{0E19F0DE-0516-4430-8071-6A5B6450B891}" name="列21" dataDxfId="41" totalsRowDxfId="40"/>
    <tableColumn id="8" xr3:uid="{F16A3F8E-AF7E-4BF2-B2B2-E5AFEF913B6B}" name="列22" dataDxfId="39" totalsRowDxfId="38"/>
    <tableColumn id="10" xr3:uid="{00DBAE33-34A3-4BDB-8714-3A24E5725CF7}" name="列23" dataDxfId="37" totalsRowDxfId="36"/>
    <tableColumn id="25" xr3:uid="{371E873D-7B20-4240-AABD-BEE16412D35A}" name="列24" dataDxfId="35" totalsRowDxfId="34"/>
    <tableColumn id="26" xr3:uid="{7A0E7E20-7CCA-45D6-B3C6-9989228F0D01}" name="列25" dataDxfId="33" totalsRowDxfId="32"/>
    <tableColumn id="27" xr3:uid="{63A58DBB-3213-4326-BA97-F41167796D3C}" name="列26" dataDxfId="31" totalsRowDxfId="30"/>
    <tableColumn id="28" xr3:uid="{7C69C32E-931F-46A1-9C89-169BDCD6B896}" name="列27" dataDxfId="29" totalsRowDxfId="28"/>
    <tableColumn id="29" xr3:uid="{6E1ADA32-F986-492E-A214-5877B63DF9CB}" name="列28" dataDxfId="27" totalsRowDxfId="26"/>
    <tableColumn id="30" xr3:uid="{C6C4EC2A-6495-435E-A3A0-BCD11D807F19}" name="列29" dataDxfId="25" totalsRowDxfId="24"/>
    <tableColumn id="31" xr3:uid="{664B9297-A24B-4DBA-8E17-09F7A80A2DA7}" name="列30" dataDxfId="23" totalsRowDxfId="22"/>
    <tableColumn id="32" xr3:uid="{225828D6-FEED-428A-A3D9-C9EC3C3B7ACD}" name="列31" dataDxfId="21" totalsRowDxfId="20"/>
    <tableColumn id="33" xr3:uid="{E1208EF8-582C-4326-B4A7-1A9DA1D065A2}" name="列32" dataDxfId="19" totalsRowDxfId="18"/>
    <tableColumn id="34" xr3:uid="{C650F960-A423-4A44-8BB2-321F5D708C19}" name="列33" dataDxfId="17" totalsRowDxfId="16"/>
    <tableColumn id="35" xr3:uid="{1B650347-337A-4161-957D-0838332D501C}" name="列34" dataDxfId="15" totalsRowDxfId="14"/>
    <tableColumn id="36" xr3:uid="{AF405B87-0F35-4FDC-9E95-76B1473592BD}" name="列35" dataDxfId="13" totalsRowDxfId="12"/>
    <tableColumn id="37" xr3:uid="{9B5B5CB6-7FEB-4A14-B96B-ECE68F877FD9}" name="列36" dataDxfId="11" totalsRowDxfId="10"/>
    <tableColumn id="38" xr3:uid="{EF8255F5-7919-4193-86FD-1FB7A3F0AF72}" name="列37" dataDxfId="9" totalsRowDxfId="8"/>
    <tableColumn id="39" xr3:uid="{1FF79CCA-4012-4BBC-B147-7B30FC173692}" name="列38" dataDxfId="7" totalsRowDxfId="6"/>
    <tableColumn id="40" xr3:uid="{9BC89784-72DE-4A22-B524-DD8A061C5582}" name="列39" dataDxfId="5" totalsRowDxfId="4"/>
    <tableColumn id="41" xr3:uid="{988C47B7-2F35-444B-8BED-68C4CC844EE9}" name="列40" dataDxfId="3" totalsRowDxfId="2"/>
    <tableColumn id="42" xr3:uid="{920B0764-E88B-4209-A8C7-C8E6A6741B76}" name="列41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V160"/>
  <sheetViews>
    <sheetView tabSelected="1" topLeftCell="A13" zoomScale="85" zoomScaleNormal="85" workbookViewId="0">
      <selection activeCell="C41" sqref="C41"/>
    </sheetView>
  </sheetViews>
  <sheetFormatPr defaultRowHeight="13.9" x14ac:dyDescent="0.4"/>
  <cols>
    <col min="2" max="2" width="29.19921875" customWidth="1"/>
    <col min="3" max="3" width="20.6640625" style="6" customWidth="1"/>
    <col min="4" max="4" width="11.19921875" style="16" customWidth="1"/>
    <col min="5" max="5" width="11.1328125" style="16" customWidth="1"/>
    <col min="6" max="6" width="15.796875" style="20" customWidth="1"/>
    <col min="7" max="7" width="11.19921875" customWidth="1"/>
    <col min="8" max="9" width="12.1328125" customWidth="1"/>
    <col min="10" max="10" width="13.1328125" customWidth="1"/>
    <col min="13" max="13" width="9.1328125" style="19" customWidth="1"/>
    <col min="14" max="15" width="9.1328125" customWidth="1"/>
    <col min="18" max="18" width="9.06640625" style="20"/>
    <col min="20" max="20" width="9.06640625" style="20"/>
    <col min="24" max="24" width="9.06640625" customWidth="1"/>
  </cols>
  <sheetData>
    <row r="1" spans="1:43" x14ac:dyDescent="0.4">
      <c r="B1" s="6" t="s">
        <v>24</v>
      </c>
      <c r="C1" s="6" t="s">
        <v>25</v>
      </c>
      <c r="D1" s="16" t="s">
        <v>26</v>
      </c>
      <c r="E1" s="20" t="s">
        <v>27</v>
      </c>
      <c r="F1" s="6" t="s">
        <v>28</v>
      </c>
      <c r="G1" s="6" t="s">
        <v>29</v>
      </c>
      <c r="H1" s="6" t="s">
        <v>30</v>
      </c>
      <c r="I1" s="6" t="s">
        <v>105</v>
      </c>
      <c r="J1" s="6" t="s">
        <v>31</v>
      </c>
      <c r="K1" s="6" t="s">
        <v>11</v>
      </c>
      <c r="L1" s="6" t="s">
        <v>20</v>
      </c>
      <c r="M1" s="6" t="s">
        <v>106</v>
      </c>
      <c r="N1" s="6" t="s">
        <v>112</v>
      </c>
      <c r="O1" s="6" t="s">
        <v>113</v>
      </c>
      <c r="P1" s="6" t="s">
        <v>114</v>
      </c>
      <c r="Q1" s="20" t="s">
        <v>21</v>
      </c>
      <c r="R1" s="6" t="s">
        <v>38</v>
      </c>
      <c r="S1" s="20" t="s">
        <v>79</v>
      </c>
      <c r="T1" s="6" t="s">
        <v>80</v>
      </c>
      <c r="U1" s="6" t="s">
        <v>81</v>
      </c>
      <c r="V1" s="6" t="s">
        <v>82</v>
      </c>
      <c r="W1" s="6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  <c r="AE1" t="s">
        <v>91</v>
      </c>
      <c r="AF1" t="s">
        <v>92</v>
      </c>
      <c r="AG1" t="s">
        <v>93</v>
      </c>
      <c r="AH1" t="s">
        <v>94</v>
      </c>
      <c r="AI1" t="s">
        <v>95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101</v>
      </c>
      <c r="AP1" t="s">
        <v>102</v>
      </c>
      <c r="AQ1" t="s">
        <v>103</v>
      </c>
    </row>
    <row r="2" spans="1:43" x14ac:dyDescent="0.4">
      <c r="B2" s="1" t="s">
        <v>22</v>
      </c>
      <c r="C2" s="1">
        <v>112601</v>
      </c>
      <c r="D2" s="24">
        <v>112602</v>
      </c>
      <c r="E2" s="33">
        <v>112603</v>
      </c>
      <c r="F2" s="33">
        <v>112604</v>
      </c>
      <c r="G2" s="33">
        <v>112605</v>
      </c>
      <c r="H2" s="33">
        <v>112606</v>
      </c>
      <c r="I2" s="33"/>
      <c r="J2" s="24">
        <v>20191108</v>
      </c>
      <c r="K2" s="24">
        <v>20191108</v>
      </c>
      <c r="L2" s="34" t="s">
        <v>104</v>
      </c>
      <c r="M2" s="34" t="s">
        <v>104</v>
      </c>
      <c r="N2" s="34" t="s">
        <v>104</v>
      </c>
      <c r="O2" s="34" t="s">
        <v>104</v>
      </c>
      <c r="P2" s="34" t="s">
        <v>104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5"/>
    </row>
    <row r="3" spans="1:43" x14ac:dyDescent="0.4">
      <c r="A3" t="s">
        <v>17</v>
      </c>
      <c r="B3" s="1" t="s">
        <v>18</v>
      </c>
      <c r="C3" s="17" t="s">
        <v>78</v>
      </c>
      <c r="D3" s="17" t="s">
        <v>78</v>
      </c>
      <c r="E3" s="17" t="s">
        <v>104</v>
      </c>
      <c r="F3" s="17" t="s">
        <v>104</v>
      </c>
      <c r="G3" s="17" t="s">
        <v>104</v>
      </c>
      <c r="H3" s="29" t="s">
        <v>78</v>
      </c>
      <c r="I3" s="29"/>
      <c r="J3" s="17" t="s">
        <v>78</v>
      </c>
      <c r="K3" s="17" t="s">
        <v>104</v>
      </c>
      <c r="L3" s="34" t="s">
        <v>107</v>
      </c>
      <c r="M3" s="10" t="s">
        <v>108</v>
      </c>
      <c r="N3" s="34" t="s">
        <v>109</v>
      </c>
      <c r="O3" s="34" t="s">
        <v>110</v>
      </c>
      <c r="P3" s="34" t="s">
        <v>111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25"/>
    </row>
    <row r="4" spans="1:43" ht="13.5" customHeight="1" x14ac:dyDescent="0.4">
      <c r="A4" s="37" t="s">
        <v>19</v>
      </c>
      <c r="B4" s="7" t="s">
        <v>13</v>
      </c>
      <c r="C4" s="18">
        <v>27</v>
      </c>
      <c r="D4" s="18">
        <v>27</v>
      </c>
      <c r="E4" s="18">
        <v>27</v>
      </c>
      <c r="F4" s="18">
        <v>27</v>
      </c>
      <c r="G4" s="18">
        <v>27</v>
      </c>
      <c r="H4" s="30">
        <v>27</v>
      </c>
      <c r="I4" s="30"/>
      <c r="J4" s="18">
        <v>27</v>
      </c>
      <c r="K4" s="18">
        <v>27</v>
      </c>
      <c r="L4" s="35">
        <v>27</v>
      </c>
      <c r="M4" s="35">
        <v>27</v>
      </c>
      <c r="N4" s="35">
        <v>27</v>
      </c>
      <c r="O4" s="35">
        <v>27</v>
      </c>
      <c r="P4" s="35">
        <v>27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25"/>
    </row>
    <row r="5" spans="1:43" ht="13.5" customHeight="1" x14ac:dyDescent="0.4">
      <c r="A5" s="38"/>
      <c r="B5" s="7" t="s">
        <v>14</v>
      </c>
      <c r="C5" s="18">
        <v>19.600000000000001</v>
      </c>
      <c r="D5" s="18">
        <v>19.5</v>
      </c>
      <c r="E5" s="18">
        <v>19.5</v>
      </c>
      <c r="F5" s="18">
        <v>19.5</v>
      </c>
      <c r="G5" s="18">
        <v>19.5</v>
      </c>
      <c r="H5" s="30">
        <v>19.5</v>
      </c>
      <c r="I5" s="30"/>
      <c r="J5" s="18">
        <v>19.5</v>
      </c>
      <c r="K5" s="18">
        <v>19.5</v>
      </c>
      <c r="L5" s="35">
        <v>19.5</v>
      </c>
      <c r="M5" s="35">
        <v>19.5</v>
      </c>
      <c r="N5" s="35">
        <v>19.5</v>
      </c>
      <c r="O5" s="35">
        <v>19.5</v>
      </c>
      <c r="P5" s="35">
        <v>19.5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25"/>
    </row>
    <row r="6" spans="1:43" ht="13.5" customHeight="1" x14ac:dyDescent="0.4">
      <c r="A6" s="38"/>
      <c r="B6" s="7" t="s">
        <v>15</v>
      </c>
      <c r="C6" s="18">
        <v>40</v>
      </c>
      <c r="D6" s="18">
        <v>40</v>
      </c>
      <c r="E6" s="18">
        <v>40</v>
      </c>
      <c r="F6" s="18">
        <v>40</v>
      </c>
      <c r="G6" s="18">
        <v>40</v>
      </c>
      <c r="H6" s="30">
        <v>40</v>
      </c>
      <c r="I6" s="30"/>
      <c r="J6" s="18">
        <v>40</v>
      </c>
      <c r="K6" s="18">
        <v>40</v>
      </c>
      <c r="L6" s="35">
        <v>40</v>
      </c>
      <c r="M6" s="35">
        <v>40</v>
      </c>
      <c r="N6" s="35">
        <v>40</v>
      </c>
      <c r="O6" s="35">
        <v>40</v>
      </c>
      <c r="P6" s="35">
        <v>40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25"/>
    </row>
    <row r="7" spans="1:43" ht="13.5" customHeight="1" x14ac:dyDescent="0.4">
      <c r="A7" s="39"/>
      <c r="B7" s="7" t="s">
        <v>16</v>
      </c>
      <c r="C7" s="18">
        <v>30.2</v>
      </c>
      <c r="D7" s="18">
        <v>30.2</v>
      </c>
      <c r="E7" s="18">
        <v>30.2</v>
      </c>
      <c r="F7" s="18">
        <v>30.2</v>
      </c>
      <c r="G7" s="18">
        <v>30.2</v>
      </c>
      <c r="H7" s="30">
        <v>31.1</v>
      </c>
      <c r="I7" s="30"/>
      <c r="J7" s="18">
        <v>30.2</v>
      </c>
      <c r="K7" s="18">
        <v>30.2</v>
      </c>
      <c r="L7" s="35">
        <v>30.2</v>
      </c>
      <c r="M7" s="35">
        <v>30.4</v>
      </c>
      <c r="N7" s="35">
        <v>30.4</v>
      </c>
      <c r="O7" s="35">
        <v>30.4</v>
      </c>
      <c r="P7" s="35">
        <v>30.4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25"/>
    </row>
    <row r="8" spans="1:43" x14ac:dyDescent="0.4">
      <c r="A8" s="40" t="s">
        <v>32</v>
      </c>
      <c r="B8" s="3" t="s">
        <v>0</v>
      </c>
      <c r="C8" s="3">
        <v>1.64</v>
      </c>
      <c r="D8" s="3">
        <v>1.54</v>
      </c>
      <c r="E8" s="3">
        <v>35.86</v>
      </c>
      <c r="F8" s="3">
        <v>35.979999999999997</v>
      </c>
      <c r="G8" s="3">
        <v>35.61</v>
      </c>
      <c r="H8" s="31">
        <v>1.52</v>
      </c>
      <c r="I8" s="31"/>
      <c r="J8" s="3">
        <v>2.58</v>
      </c>
      <c r="K8" s="3">
        <v>35.369999999999997</v>
      </c>
      <c r="L8" s="3">
        <v>35.21</v>
      </c>
      <c r="M8" s="3">
        <v>24.72</v>
      </c>
      <c r="N8" s="3">
        <v>22.58</v>
      </c>
      <c r="O8" s="3">
        <v>25.01</v>
      </c>
      <c r="P8" s="3">
        <v>6.65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25"/>
    </row>
    <row r="9" spans="1:43" x14ac:dyDescent="0.4">
      <c r="A9" s="41"/>
      <c r="B9" s="3" t="s">
        <v>1</v>
      </c>
      <c r="C9" s="3">
        <v>107.68</v>
      </c>
      <c r="D9" s="3">
        <v>102.65</v>
      </c>
      <c r="E9" s="3">
        <v>135.75</v>
      </c>
      <c r="F9" s="3">
        <v>132.56</v>
      </c>
      <c r="G9" s="3">
        <v>136.09</v>
      </c>
      <c r="H9" s="31">
        <v>101.17</v>
      </c>
      <c r="I9" s="31"/>
      <c r="J9" s="3">
        <v>98.23</v>
      </c>
      <c r="K9" s="3">
        <v>135.59</v>
      </c>
      <c r="L9" s="3">
        <v>134.88999999999999</v>
      </c>
      <c r="M9" s="3">
        <v>118.35</v>
      </c>
      <c r="N9" s="3">
        <v>111.3</v>
      </c>
      <c r="O9" s="3">
        <v>120.33</v>
      </c>
      <c r="P9" s="3">
        <v>94.93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25"/>
    </row>
    <row r="10" spans="1:43" x14ac:dyDescent="0.4">
      <c r="A10" s="41"/>
      <c r="B10" s="3" t="s">
        <v>2</v>
      </c>
      <c r="C10" s="3">
        <v>104.47</v>
      </c>
      <c r="D10" s="3">
        <v>99.69</v>
      </c>
      <c r="E10" s="3">
        <v>130.52000000000001</v>
      </c>
      <c r="F10" s="3">
        <v>127.44</v>
      </c>
      <c r="G10" s="3">
        <v>130.85</v>
      </c>
      <c r="H10" s="31">
        <v>98.29</v>
      </c>
      <c r="I10" s="31"/>
      <c r="J10" s="3">
        <v>95.55</v>
      </c>
      <c r="K10" s="3">
        <v>130.36000000000001</v>
      </c>
      <c r="L10" s="3">
        <v>129.76</v>
      </c>
      <c r="M10" s="3">
        <v>114.72</v>
      </c>
      <c r="N10" s="3">
        <v>107.66</v>
      </c>
      <c r="O10" s="3">
        <v>116.08</v>
      </c>
      <c r="P10" s="3">
        <v>92.38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25"/>
    </row>
    <row r="11" spans="1:43" x14ac:dyDescent="0.4">
      <c r="A11" s="41"/>
      <c r="B11" s="3" t="s">
        <v>3</v>
      </c>
      <c r="C11" s="3">
        <v>42.51</v>
      </c>
      <c r="D11" s="3">
        <v>42.88</v>
      </c>
      <c r="E11" s="3">
        <v>42.59</v>
      </c>
      <c r="F11" s="3">
        <v>42.52</v>
      </c>
      <c r="G11" s="3">
        <v>42.58</v>
      </c>
      <c r="H11" s="31">
        <v>42.62</v>
      </c>
      <c r="I11" s="31"/>
      <c r="J11" s="3">
        <v>43.33</v>
      </c>
      <c r="K11" s="3">
        <v>42.77</v>
      </c>
      <c r="L11" s="3">
        <v>42.69</v>
      </c>
      <c r="M11" s="3">
        <v>42.81</v>
      </c>
      <c r="N11" s="3">
        <v>42.73</v>
      </c>
      <c r="O11" s="3">
        <v>42.75</v>
      </c>
      <c r="P11" s="3">
        <v>43.26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25"/>
    </row>
    <row r="12" spans="1:43" x14ac:dyDescent="0.4">
      <c r="A12" s="41"/>
      <c r="B12" s="3" t="s">
        <v>7</v>
      </c>
      <c r="C12" s="3">
        <v>42.5</v>
      </c>
      <c r="D12" s="3">
        <v>42.83</v>
      </c>
      <c r="E12" s="3">
        <v>42.51</v>
      </c>
      <c r="F12" s="3">
        <v>42.41</v>
      </c>
      <c r="G12" s="3">
        <v>42.49</v>
      </c>
      <c r="H12" s="31">
        <v>42.59</v>
      </c>
      <c r="I12" s="31"/>
      <c r="J12" s="3">
        <v>43.35</v>
      </c>
      <c r="K12" s="3">
        <v>42.73</v>
      </c>
      <c r="L12" s="3">
        <v>42.63</v>
      </c>
      <c r="M12" s="3">
        <v>42.71</v>
      </c>
      <c r="N12" s="3">
        <v>42.58</v>
      </c>
      <c r="O12" s="3">
        <v>42.65</v>
      </c>
      <c r="P12" s="3">
        <v>43.1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25"/>
    </row>
    <row r="13" spans="1:43" x14ac:dyDescent="0.4">
      <c r="A13" s="41"/>
      <c r="B13" s="3" t="s">
        <v>6</v>
      </c>
      <c r="C13" s="22">
        <v>42.14</v>
      </c>
      <c r="D13" s="3">
        <v>42.36</v>
      </c>
      <c r="E13" s="3">
        <v>32.869999999999997</v>
      </c>
      <c r="F13" s="3">
        <v>34.08</v>
      </c>
      <c r="G13" s="3">
        <v>32.6</v>
      </c>
      <c r="H13" s="31">
        <v>42.07</v>
      </c>
      <c r="I13" s="31"/>
      <c r="J13" s="3">
        <v>42.92</v>
      </c>
      <c r="K13" s="3">
        <v>32.04</v>
      </c>
      <c r="L13" s="3">
        <v>31.91</v>
      </c>
      <c r="M13" s="3">
        <v>26.94</v>
      </c>
      <c r="N13" s="3">
        <v>27.84</v>
      </c>
      <c r="O13" s="3">
        <v>26.33</v>
      </c>
      <c r="P13" s="3">
        <v>22.27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25"/>
    </row>
    <row r="14" spans="1:43" s="23" customFormat="1" x14ac:dyDescent="0.4">
      <c r="A14" s="41"/>
      <c r="B14" s="21" t="s">
        <v>4</v>
      </c>
      <c r="C14" s="3">
        <v>41.59</v>
      </c>
      <c r="D14" s="3">
        <v>41.87</v>
      </c>
      <c r="E14" s="22">
        <v>32.67</v>
      </c>
      <c r="F14" s="22">
        <v>33.880000000000003</v>
      </c>
      <c r="G14" s="22">
        <v>32.5</v>
      </c>
      <c r="H14" s="31">
        <v>42.58</v>
      </c>
      <c r="I14" s="31"/>
      <c r="J14" s="22">
        <v>42.43</v>
      </c>
      <c r="K14" s="22">
        <v>31.94</v>
      </c>
      <c r="L14" s="3">
        <v>31.91</v>
      </c>
      <c r="M14" s="3">
        <v>27.01</v>
      </c>
      <c r="N14" s="3">
        <v>29.98</v>
      </c>
      <c r="O14" s="3">
        <v>29.26</v>
      </c>
      <c r="P14" s="3">
        <v>23.18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7"/>
    </row>
    <row r="15" spans="1:43" x14ac:dyDescent="0.4">
      <c r="A15" s="41"/>
      <c r="B15" s="4" t="s">
        <v>5</v>
      </c>
      <c r="C15" s="3">
        <v>8.42</v>
      </c>
      <c r="D15" s="3">
        <v>8.8800000000000008</v>
      </c>
      <c r="E15" s="3">
        <v>7.3</v>
      </c>
      <c r="F15" s="3">
        <v>7.83</v>
      </c>
      <c r="G15" s="3">
        <v>7.27</v>
      </c>
      <c r="H15" s="31">
        <v>8.65</v>
      </c>
      <c r="I15" s="31"/>
      <c r="J15" s="3">
        <v>9.84</v>
      </c>
      <c r="K15" s="3">
        <v>7.74</v>
      </c>
      <c r="L15" s="3">
        <v>7.63</v>
      </c>
      <c r="M15" s="3">
        <v>8.17</v>
      </c>
      <c r="N15" s="3">
        <v>9.08</v>
      </c>
      <c r="O15" s="3">
        <v>7.75</v>
      </c>
      <c r="P15" s="3">
        <v>8.9700000000000006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25"/>
    </row>
    <row r="16" spans="1:43" x14ac:dyDescent="0.4">
      <c r="A16" s="41"/>
      <c r="B16" s="4" t="s">
        <v>36</v>
      </c>
      <c r="C16" s="3">
        <v>8.11</v>
      </c>
      <c r="D16" s="3">
        <v>8.6</v>
      </c>
      <c r="E16" s="3">
        <v>7.2</v>
      </c>
      <c r="F16" s="3">
        <v>7.78</v>
      </c>
      <c r="G16" s="3">
        <v>7.24</v>
      </c>
      <c r="H16" s="31">
        <v>8.4499999999999993</v>
      </c>
      <c r="I16" s="31"/>
      <c r="J16" s="3">
        <v>9.2799999999999994</v>
      </c>
      <c r="K16" s="3">
        <v>7.49</v>
      </c>
      <c r="L16" s="3">
        <v>7.5</v>
      </c>
      <c r="M16" s="3">
        <v>8.1</v>
      </c>
      <c r="N16" s="3">
        <v>8.9700000000000006</v>
      </c>
      <c r="O16" s="3">
        <v>7.8</v>
      </c>
      <c r="P16" s="3">
        <v>8.9600000000000009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25"/>
    </row>
    <row r="17" spans="1:48" x14ac:dyDescent="0.4">
      <c r="A17" s="41"/>
      <c r="B17" s="4" t="s">
        <v>23</v>
      </c>
      <c r="C17" s="3">
        <v>4.42</v>
      </c>
      <c r="D17" s="3">
        <v>4.71</v>
      </c>
      <c r="E17" s="3">
        <v>5.04</v>
      </c>
      <c r="F17" s="3">
        <v>5.49</v>
      </c>
      <c r="G17" s="3">
        <v>5.19</v>
      </c>
      <c r="H17" s="31">
        <v>4.76</v>
      </c>
      <c r="I17" s="31"/>
      <c r="J17" s="3">
        <v>5.53</v>
      </c>
      <c r="K17" s="3">
        <v>5.63</v>
      </c>
      <c r="L17" s="3">
        <v>5.69</v>
      </c>
      <c r="M17" s="3">
        <v>6.48</v>
      </c>
      <c r="N17" s="3">
        <v>7.21</v>
      </c>
      <c r="O17" s="3">
        <v>6.19</v>
      </c>
      <c r="P17" s="3">
        <v>7.23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25"/>
    </row>
    <row r="18" spans="1:48" x14ac:dyDescent="0.4">
      <c r="A18" s="41"/>
      <c r="B18" s="3" t="s">
        <v>8</v>
      </c>
      <c r="C18" s="3">
        <v>3.66</v>
      </c>
      <c r="D18" s="3">
        <v>3.87</v>
      </c>
      <c r="E18" s="3">
        <v>4.59</v>
      </c>
      <c r="F18" s="3">
        <v>5.0199999999999996</v>
      </c>
      <c r="G18" s="3">
        <v>4.7</v>
      </c>
      <c r="H18" s="31">
        <v>3.87</v>
      </c>
      <c r="I18" s="31"/>
      <c r="J18" s="3">
        <v>5.12</v>
      </c>
      <c r="K18" s="22">
        <v>5.49</v>
      </c>
      <c r="L18" s="3">
        <v>5.43</v>
      </c>
      <c r="M18" s="3">
        <v>6.06</v>
      </c>
      <c r="N18" s="3">
        <v>6.72</v>
      </c>
      <c r="O18" s="3">
        <v>5.73</v>
      </c>
      <c r="P18" s="3">
        <v>6.63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25"/>
    </row>
    <row r="19" spans="1:48" x14ac:dyDescent="0.4">
      <c r="A19" s="41"/>
      <c r="B19" s="3" t="s">
        <v>9</v>
      </c>
      <c r="C19" s="3">
        <v>3.14</v>
      </c>
      <c r="D19" s="3">
        <v>3.27</v>
      </c>
      <c r="E19" s="3">
        <v>4.1100000000000003</v>
      </c>
      <c r="F19" s="3">
        <v>4.57</v>
      </c>
      <c r="G19" s="3">
        <v>4.3</v>
      </c>
      <c r="H19" s="31">
        <v>3.35</v>
      </c>
      <c r="I19" s="31"/>
      <c r="J19" s="3">
        <v>4.46</v>
      </c>
      <c r="K19" s="3">
        <v>4.99</v>
      </c>
      <c r="L19" s="3">
        <v>5</v>
      </c>
      <c r="M19" s="3">
        <v>5.66</v>
      </c>
      <c r="N19" s="3">
        <v>6.38</v>
      </c>
      <c r="O19" s="3">
        <v>5.33</v>
      </c>
      <c r="P19" s="3">
        <v>6.23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25"/>
    </row>
    <row r="20" spans="1:48" x14ac:dyDescent="0.4">
      <c r="A20" s="41"/>
      <c r="B20" s="3" t="s">
        <v>10</v>
      </c>
      <c r="C20" s="3">
        <v>41.52</v>
      </c>
      <c r="D20" s="3">
        <v>41.52</v>
      </c>
      <c r="E20" s="3">
        <v>2.84</v>
      </c>
      <c r="F20" s="3">
        <v>3.2</v>
      </c>
      <c r="G20" s="3">
        <v>2.94</v>
      </c>
      <c r="H20" s="31">
        <v>36.03</v>
      </c>
      <c r="I20" s="31"/>
      <c r="J20" s="3">
        <v>41.97</v>
      </c>
      <c r="K20" s="3">
        <v>3.65</v>
      </c>
      <c r="L20" s="3">
        <v>3.64</v>
      </c>
      <c r="M20" s="3">
        <v>4.22</v>
      </c>
      <c r="N20" s="3">
        <v>4.8600000000000003</v>
      </c>
      <c r="O20" s="3">
        <v>3.89</v>
      </c>
      <c r="P20" s="3">
        <v>9.36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25"/>
    </row>
    <row r="21" spans="1:48" x14ac:dyDescent="0.4">
      <c r="A21" s="42" t="s">
        <v>33</v>
      </c>
      <c r="B21" s="2" t="s">
        <v>12</v>
      </c>
      <c r="C21" s="8">
        <v>3.54</v>
      </c>
      <c r="D21" s="8">
        <v>3.56</v>
      </c>
      <c r="E21" s="8">
        <v>3.65</v>
      </c>
      <c r="F21" s="8">
        <v>3.69</v>
      </c>
      <c r="G21" s="8">
        <v>3.68</v>
      </c>
      <c r="H21" s="32">
        <v>3.58</v>
      </c>
      <c r="I21" s="32"/>
      <c r="J21" s="8">
        <v>3.65</v>
      </c>
      <c r="K21" s="8">
        <v>3.73</v>
      </c>
      <c r="L21" s="8">
        <v>3.75</v>
      </c>
      <c r="M21" s="8">
        <v>3.82</v>
      </c>
      <c r="N21" s="8">
        <v>3.89</v>
      </c>
      <c r="O21" s="8">
        <v>3.8</v>
      </c>
      <c r="P21" s="8">
        <v>3.88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25"/>
    </row>
    <row r="22" spans="1:48" x14ac:dyDescent="0.4">
      <c r="A22" s="43"/>
      <c r="B22" s="2" t="s">
        <v>39</v>
      </c>
      <c r="C22" s="8">
        <v>11.2</v>
      </c>
      <c r="D22" s="8">
        <v>10.98</v>
      </c>
      <c r="E22" s="8">
        <v>9.73</v>
      </c>
      <c r="F22" s="8">
        <v>9.57</v>
      </c>
      <c r="G22" s="8">
        <v>9.74</v>
      </c>
      <c r="H22" s="32">
        <v>11.15</v>
      </c>
      <c r="I22" s="32"/>
      <c r="J22" s="8">
        <v>11.13</v>
      </c>
      <c r="K22" s="8">
        <v>9.77</v>
      </c>
      <c r="L22" s="8">
        <v>9.75</v>
      </c>
      <c r="M22" s="8">
        <v>9.74</v>
      </c>
      <c r="N22" s="8">
        <v>9.61</v>
      </c>
      <c r="O22" s="8">
        <v>9.81</v>
      </c>
      <c r="P22" s="8">
        <v>10.130000000000001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25"/>
    </row>
    <row r="23" spans="1:48" x14ac:dyDescent="0.4">
      <c r="A23" s="43"/>
      <c r="B23" s="2" t="s">
        <v>40</v>
      </c>
      <c r="C23" s="8">
        <v>10.95</v>
      </c>
      <c r="D23" s="8">
        <v>10.648</v>
      </c>
      <c r="E23" s="8">
        <v>9.5009999999999994</v>
      </c>
      <c r="F23" s="8">
        <v>9.3249999999999993</v>
      </c>
      <c r="G23" s="8">
        <v>9.5120000000000005</v>
      </c>
      <c r="H23" s="32">
        <v>10.896000000000001</v>
      </c>
      <c r="I23" s="32"/>
      <c r="J23" s="8">
        <v>10.834</v>
      </c>
      <c r="K23" s="8">
        <v>9.5709999999999997</v>
      </c>
      <c r="L23" s="8">
        <v>9.5470000000000006</v>
      </c>
      <c r="M23" s="8">
        <v>9.4789999999999992</v>
      </c>
      <c r="N23" s="8">
        <v>9.2959999999999994</v>
      </c>
      <c r="O23" s="8">
        <v>9.56</v>
      </c>
      <c r="P23" s="8">
        <v>9.7629999999999999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25"/>
    </row>
    <row r="24" spans="1:48" x14ac:dyDescent="0.4">
      <c r="A24" s="43"/>
      <c r="B24" s="2" t="s">
        <v>41</v>
      </c>
      <c r="C24" s="8">
        <v>4.2590000000000003</v>
      </c>
      <c r="D24" s="8">
        <v>4.3220000000000001</v>
      </c>
      <c r="E24" s="8">
        <v>4.17</v>
      </c>
      <c r="F24" s="8">
        <v>4.2320000000000002</v>
      </c>
      <c r="G24" s="8">
        <v>4.1829999999999998</v>
      </c>
      <c r="H24" s="32">
        <v>4.3109999999999999</v>
      </c>
      <c r="I24" s="32"/>
      <c r="J24" s="8">
        <v>4.4059999999999997</v>
      </c>
      <c r="K24" s="8">
        <v>4.2270000000000003</v>
      </c>
      <c r="L24" s="36">
        <v>4.24</v>
      </c>
      <c r="M24" s="8">
        <v>4.3220000000000001</v>
      </c>
      <c r="N24" s="8">
        <v>4.4109999999999996</v>
      </c>
      <c r="O24" s="8">
        <v>4.2839999999999998</v>
      </c>
      <c r="P24" s="8">
        <v>4.4409999999999998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25"/>
    </row>
    <row r="25" spans="1:48" x14ac:dyDescent="0.4">
      <c r="A25" s="43"/>
      <c r="B25" s="2" t="s">
        <v>75</v>
      </c>
      <c r="C25" s="8">
        <v>3.8519999999999999</v>
      </c>
      <c r="D25" s="8">
        <v>3.89</v>
      </c>
      <c r="E25" s="8">
        <v>3.92</v>
      </c>
      <c r="F25" s="8">
        <v>3.964</v>
      </c>
      <c r="G25" s="8">
        <v>3.92</v>
      </c>
      <c r="H25" s="32">
        <v>3.8959999999999999</v>
      </c>
      <c r="I25" s="32"/>
      <c r="J25" s="8">
        <v>3.9769999999999999</v>
      </c>
      <c r="K25" s="8">
        <v>3.9830000000000001</v>
      </c>
      <c r="L25" s="8">
        <v>4.0039999999999996</v>
      </c>
      <c r="M25" s="8">
        <v>4.1020000000000003</v>
      </c>
      <c r="N25" s="8">
        <v>4.1779999999999999</v>
      </c>
      <c r="O25" s="8">
        <v>4.0609999999999999</v>
      </c>
      <c r="P25" s="8">
        <v>4.181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25"/>
    </row>
    <row r="26" spans="1:48" s="8" customFormat="1" x14ac:dyDescent="0.4">
      <c r="A26" s="44" t="s">
        <v>37</v>
      </c>
      <c r="B26" s="10" t="s">
        <v>42</v>
      </c>
      <c r="C26" s="10">
        <v>345</v>
      </c>
      <c r="D26" s="10">
        <v>345</v>
      </c>
      <c r="E26" s="10">
        <v>345</v>
      </c>
      <c r="F26" s="10">
        <v>345</v>
      </c>
      <c r="G26" s="10">
        <v>345</v>
      </c>
      <c r="H26" s="28">
        <v>345</v>
      </c>
      <c r="I26" s="28"/>
      <c r="J26" s="10">
        <v>345</v>
      </c>
      <c r="K26" s="10">
        <v>345</v>
      </c>
      <c r="L26" s="10">
        <v>345</v>
      </c>
      <c r="M26" s="10">
        <v>345</v>
      </c>
      <c r="N26" s="10">
        <v>345</v>
      </c>
      <c r="O26" s="10">
        <v>345</v>
      </c>
      <c r="P26" s="10">
        <v>345</v>
      </c>
      <c r="Q26" s="10">
        <v>345</v>
      </c>
      <c r="R26" s="10">
        <v>345</v>
      </c>
      <c r="S26" s="10">
        <v>345</v>
      </c>
      <c r="T26" s="10">
        <v>345</v>
      </c>
      <c r="U26" s="10">
        <v>345</v>
      </c>
      <c r="V26" s="10">
        <v>345</v>
      </c>
      <c r="W26" s="10">
        <v>345</v>
      </c>
      <c r="X26" s="10">
        <v>345</v>
      </c>
      <c r="Y26" s="10">
        <v>345</v>
      </c>
      <c r="Z26" s="10">
        <v>345</v>
      </c>
      <c r="AA26" s="10">
        <v>345</v>
      </c>
      <c r="AB26" s="10">
        <v>345</v>
      </c>
      <c r="AC26" s="10">
        <v>345</v>
      </c>
      <c r="AD26" s="10">
        <v>345</v>
      </c>
      <c r="AE26" s="10">
        <v>345</v>
      </c>
      <c r="AF26" s="10">
        <v>345</v>
      </c>
      <c r="AG26" s="10">
        <v>345</v>
      </c>
      <c r="AH26" s="10">
        <v>345</v>
      </c>
      <c r="AI26" s="10">
        <v>345</v>
      </c>
      <c r="AJ26" s="10">
        <v>345</v>
      </c>
      <c r="AK26" s="10">
        <v>345</v>
      </c>
      <c r="AL26" s="10">
        <v>345</v>
      </c>
      <c r="AM26" s="10">
        <v>345</v>
      </c>
      <c r="AN26" s="10">
        <v>345</v>
      </c>
      <c r="AO26" s="10">
        <v>345</v>
      </c>
      <c r="AP26" s="10">
        <v>345</v>
      </c>
    </row>
    <row r="27" spans="1:48" x14ac:dyDescent="0.4">
      <c r="A27" s="44"/>
      <c r="B27" s="10" t="s">
        <v>43</v>
      </c>
      <c r="C27" s="10">
        <v>9.4</v>
      </c>
      <c r="D27" s="10">
        <v>9.1999999999999993</v>
      </c>
      <c r="E27" s="10">
        <v>8</v>
      </c>
      <c r="F27" s="10">
        <v>7.8</v>
      </c>
      <c r="G27" s="10">
        <v>8</v>
      </c>
      <c r="H27" s="28">
        <v>9.4</v>
      </c>
      <c r="I27" s="28"/>
      <c r="J27" s="10">
        <v>9.4</v>
      </c>
      <c r="K27" s="10">
        <v>8</v>
      </c>
      <c r="L27" s="10">
        <v>8</v>
      </c>
      <c r="M27" s="10">
        <v>8</v>
      </c>
      <c r="N27" s="10">
        <v>7.8</v>
      </c>
      <c r="O27" s="10">
        <v>8.1</v>
      </c>
      <c r="P27" s="10">
        <v>8.6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25"/>
    </row>
    <row r="28" spans="1:48" s="6" customFormat="1" x14ac:dyDescent="0.4">
      <c r="A28" s="44"/>
      <c r="B28" s="10" t="s">
        <v>34</v>
      </c>
      <c r="C28" s="10">
        <v>500</v>
      </c>
      <c r="D28" s="10">
        <v>500</v>
      </c>
      <c r="E28" s="10">
        <v>500</v>
      </c>
      <c r="F28" s="10">
        <v>500</v>
      </c>
      <c r="G28" s="10">
        <v>600</v>
      </c>
      <c r="H28" s="28">
        <v>600</v>
      </c>
      <c r="I28" s="28"/>
      <c r="J28" s="10">
        <v>700</v>
      </c>
      <c r="K28" s="10">
        <v>700</v>
      </c>
      <c r="L28" s="10">
        <v>800</v>
      </c>
      <c r="M28" s="10">
        <v>900</v>
      </c>
      <c r="N28" s="10">
        <v>900</v>
      </c>
      <c r="O28" s="10">
        <v>900</v>
      </c>
      <c r="P28" s="10">
        <v>1000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s="5" customFormat="1" x14ac:dyDescent="0.4">
      <c r="A29" s="44"/>
      <c r="B29" s="10" t="s">
        <v>44</v>
      </c>
      <c r="C29" s="26">
        <v>5000</v>
      </c>
      <c r="D29" s="26">
        <v>5000</v>
      </c>
      <c r="E29" s="26">
        <v>5000</v>
      </c>
      <c r="F29" s="26">
        <v>5000</v>
      </c>
      <c r="G29" s="26">
        <v>5000</v>
      </c>
      <c r="H29" s="26">
        <v>5000</v>
      </c>
      <c r="I29" s="26"/>
      <c r="J29" s="26">
        <v>5000</v>
      </c>
      <c r="K29" s="26">
        <v>5000</v>
      </c>
      <c r="L29" s="10">
        <v>5000</v>
      </c>
      <c r="M29" s="10">
        <v>5000</v>
      </c>
      <c r="N29" s="10">
        <v>5000</v>
      </c>
      <c r="O29" s="10">
        <v>5000</v>
      </c>
      <c r="P29" s="10">
        <v>5000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x14ac:dyDescent="0.4">
      <c r="A30" s="44"/>
      <c r="B30" s="10" t="s">
        <v>45</v>
      </c>
      <c r="C30" s="10">
        <v>326</v>
      </c>
      <c r="D30" s="10">
        <v>380</v>
      </c>
      <c r="E30" s="10">
        <v>280</v>
      </c>
      <c r="F30" s="10">
        <v>305</v>
      </c>
      <c r="G30" s="10">
        <v>280</v>
      </c>
      <c r="H30" s="28">
        <v>365</v>
      </c>
      <c r="I30" s="28"/>
      <c r="J30" s="10">
        <v>400</v>
      </c>
      <c r="K30" s="10">
        <v>278</v>
      </c>
      <c r="L30" s="10">
        <v>380</v>
      </c>
      <c r="M30" s="10">
        <v>277</v>
      </c>
      <c r="N30" s="10">
        <v>283</v>
      </c>
      <c r="O30" s="10">
        <v>275</v>
      </c>
      <c r="P30" s="10">
        <v>280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25"/>
    </row>
    <row r="31" spans="1:48" ht="16.149999999999999" x14ac:dyDescent="0.4">
      <c r="A31" s="44"/>
      <c r="B31" s="10" t="s">
        <v>46</v>
      </c>
      <c r="C31" s="10">
        <v>135.4</v>
      </c>
      <c r="D31" s="10">
        <v>140.1</v>
      </c>
      <c r="E31" s="10">
        <v>115.4</v>
      </c>
      <c r="F31" s="10">
        <v>117.8</v>
      </c>
      <c r="G31" s="10">
        <v>115.4</v>
      </c>
      <c r="H31" s="28">
        <v>142.19999999999999</v>
      </c>
      <c r="I31" s="28"/>
      <c r="J31" s="10">
        <v>147.4</v>
      </c>
      <c r="K31" s="10">
        <v>115.4</v>
      </c>
      <c r="L31" s="10">
        <v>115.4</v>
      </c>
      <c r="M31" s="10">
        <v>129</v>
      </c>
      <c r="N31" s="10">
        <v>136.30000000000001</v>
      </c>
      <c r="O31" s="10">
        <v>126.5</v>
      </c>
      <c r="P31" s="10">
        <v>156.19999999999999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25"/>
    </row>
    <row r="32" spans="1:48" ht="16.149999999999999" x14ac:dyDescent="0.4">
      <c r="A32" s="44"/>
      <c r="B32" s="10" t="s">
        <v>47</v>
      </c>
      <c r="C32" s="10">
        <v>480.399</v>
      </c>
      <c r="D32" s="10">
        <v>478.89499999999998</v>
      </c>
      <c r="E32" s="10">
        <v>479.20600000000002</v>
      </c>
      <c r="F32" s="10">
        <v>477.19400000000002</v>
      </c>
      <c r="G32" s="10">
        <v>479.09100000000001</v>
      </c>
      <c r="H32" s="28">
        <v>479.24900000000002</v>
      </c>
      <c r="I32" s="28"/>
      <c r="J32" s="10">
        <v>478.00799999999998</v>
      </c>
      <c r="K32" s="10">
        <v>478.86500000000001</v>
      </c>
      <c r="L32" s="10">
        <v>479.935</v>
      </c>
      <c r="M32" s="10">
        <v>481.065</v>
      </c>
      <c r="N32" s="10">
        <v>481.49799999999999</v>
      </c>
      <c r="O32" s="10">
        <v>479.48599999999999</v>
      </c>
      <c r="P32" s="10">
        <v>478.76400000000001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25"/>
    </row>
    <row r="33" spans="1:43" x14ac:dyDescent="0.4">
      <c r="A33" s="44"/>
      <c r="B33" s="10" t="s">
        <v>48</v>
      </c>
      <c r="C33" s="10">
        <v>4509.96</v>
      </c>
      <c r="D33" s="10">
        <v>4521.25</v>
      </c>
      <c r="E33" s="10">
        <v>4512.07</v>
      </c>
      <c r="F33" s="10">
        <v>4517.58</v>
      </c>
      <c r="G33" s="10">
        <v>4510.79</v>
      </c>
      <c r="H33" s="28">
        <v>4498.71</v>
      </c>
      <c r="I33" s="28"/>
      <c r="J33" s="10">
        <v>4499.2700000000004</v>
      </c>
      <c r="K33" s="10">
        <v>4489.2299999999996</v>
      </c>
      <c r="L33" s="10">
        <v>4503.72</v>
      </c>
      <c r="M33" s="10">
        <v>4503.05</v>
      </c>
      <c r="N33" s="10">
        <v>4503.09</v>
      </c>
      <c r="O33" s="10">
        <v>4502.95</v>
      </c>
      <c r="P33" s="10">
        <v>4513.3999999999996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25"/>
    </row>
    <row r="34" spans="1:43" x14ac:dyDescent="0.4">
      <c r="A34" s="44"/>
      <c r="B34" s="10" t="s">
        <v>49</v>
      </c>
      <c r="C34" s="10">
        <v>3964.63</v>
      </c>
      <c r="D34" s="10">
        <v>3892.12</v>
      </c>
      <c r="E34" s="10">
        <v>4067.08</v>
      </c>
      <c r="F34" s="10">
        <v>3939.35</v>
      </c>
      <c r="G34" s="10">
        <v>4018.02</v>
      </c>
      <c r="H34" s="28">
        <v>3894.98</v>
      </c>
      <c r="I34" s="28"/>
      <c r="J34" s="10">
        <v>3753.3</v>
      </c>
      <c r="K34" s="10">
        <v>4031.34</v>
      </c>
      <c r="L34" s="10">
        <v>3984.94</v>
      </c>
      <c r="M34" s="10">
        <v>3790.92</v>
      </c>
      <c r="N34" s="10">
        <v>3582.97</v>
      </c>
      <c r="O34" s="10">
        <v>3833</v>
      </c>
      <c r="P34" s="10">
        <v>3606.7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25"/>
    </row>
    <row r="35" spans="1:43" x14ac:dyDescent="0.4">
      <c r="A35" s="44"/>
      <c r="B35" s="10" t="s">
        <v>50</v>
      </c>
      <c r="C35" s="10">
        <f>C26*C27</f>
        <v>3243</v>
      </c>
      <c r="D35" s="10">
        <f>D26*D27</f>
        <v>3173.9999999999995</v>
      </c>
      <c r="E35" s="10">
        <f>E26*E27</f>
        <v>2760</v>
      </c>
      <c r="F35" s="10">
        <f>F26*F27</f>
        <v>2691</v>
      </c>
      <c r="G35" s="10">
        <f>G26*G27</f>
        <v>2760</v>
      </c>
      <c r="H35" s="28">
        <f>H26*H27</f>
        <v>3243</v>
      </c>
      <c r="I35" s="28"/>
      <c r="J35" s="10">
        <f>J26*J27</f>
        <v>3243</v>
      </c>
      <c r="K35" s="10">
        <f>K26*K27</f>
        <v>2760</v>
      </c>
      <c r="L35" s="10">
        <f>L26*L27</f>
        <v>2760</v>
      </c>
      <c r="M35" s="10">
        <f>M26*M27</f>
        <v>2760</v>
      </c>
      <c r="N35" s="10">
        <f>N26*N27</f>
        <v>2691</v>
      </c>
      <c r="O35" s="10">
        <f>O26*O27</f>
        <v>2794.5</v>
      </c>
      <c r="P35" s="10">
        <f>P26*P27</f>
        <v>2967</v>
      </c>
      <c r="Q35" s="10">
        <f>Q26*Q27</f>
        <v>0</v>
      </c>
      <c r="R35" s="10">
        <f>R26*R27</f>
        <v>0</v>
      </c>
      <c r="S35" s="10">
        <f>S26*S27</f>
        <v>0</v>
      </c>
      <c r="T35" s="10">
        <f>T26*T27</f>
        <v>0</v>
      </c>
      <c r="U35" s="10">
        <f>U26*U27</f>
        <v>0</v>
      </c>
      <c r="V35" s="10">
        <f>V26*V27</f>
        <v>0</v>
      </c>
      <c r="W35" s="10">
        <f>W26*W27</f>
        <v>0</v>
      </c>
      <c r="X35" s="10">
        <f>X26*X27</f>
        <v>0</v>
      </c>
      <c r="Y35" s="10">
        <f>Y26*Y27</f>
        <v>0</v>
      </c>
      <c r="Z35" s="10">
        <f>Z26*Z27</f>
        <v>0</v>
      </c>
      <c r="AA35" s="10">
        <f>AA26*AA27</f>
        <v>0</v>
      </c>
      <c r="AB35" s="10">
        <f>AB26*AB27</f>
        <v>0</v>
      </c>
      <c r="AC35" s="10">
        <f>AC26*AC27</f>
        <v>0</v>
      </c>
      <c r="AD35" s="10">
        <f>AD26*AD27</f>
        <v>0</v>
      </c>
      <c r="AE35" s="10">
        <f>AE26*AE27</f>
        <v>0</v>
      </c>
      <c r="AF35" s="10">
        <f>AF26*AF27</f>
        <v>0</v>
      </c>
      <c r="AG35" s="10">
        <f>AG26*AG27</f>
        <v>0</v>
      </c>
      <c r="AH35" s="10">
        <f>AH26*AH27</f>
        <v>0</v>
      </c>
      <c r="AI35" s="10">
        <f>AI26*AI27</f>
        <v>0</v>
      </c>
      <c r="AJ35" s="10">
        <f>AJ26*AJ27</f>
        <v>0</v>
      </c>
      <c r="AK35" s="10">
        <f>AK26*AK27</f>
        <v>0</v>
      </c>
      <c r="AL35" s="10">
        <f>AL26*AL27</f>
        <v>0</v>
      </c>
      <c r="AM35" s="10">
        <f>AM26*AM27</f>
        <v>0</v>
      </c>
      <c r="AN35" s="10">
        <f>AN26*AN27</f>
        <v>0</v>
      </c>
      <c r="AO35" s="10">
        <f>AO26*AO27</f>
        <v>0</v>
      </c>
      <c r="AP35" s="10">
        <f>AP26*AP27</f>
        <v>0</v>
      </c>
      <c r="AQ35" s="25"/>
    </row>
    <row r="36" spans="1:43" s="16" customFormat="1" x14ac:dyDescent="0.4">
      <c r="A36" s="44"/>
      <c r="B36" s="10" t="s">
        <v>51</v>
      </c>
      <c r="C36" s="10">
        <f>C34/C35</f>
        <v>1.2225192722787543</v>
      </c>
      <c r="D36" s="10">
        <f>D34/D35</f>
        <v>1.2262507876496536</v>
      </c>
      <c r="E36" s="10">
        <f>E34/E35</f>
        <v>1.4735797101449275</v>
      </c>
      <c r="F36" s="10">
        <f>F34/F35</f>
        <v>1.4638981791155703</v>
      </c>
      <c r="G36" s="10">
        <f>G34/G35</f>
        <v>1.4558043478260869</v>
      </c>
      <c r="H36" s="28">
        <f>H34/H35</f>
        <v>1.2010422448350293</v>
      </c>
      <c r="I36" s="28"/>
      <c r="J36" s="10">
        <f>J34/J35</f>
        <v>1.157354301572618</v>
      </c>
      <c r="K36" s="10">
        <f>K34/K35</f>
        <v>1.4606304347826087</v>
      </c>
      <c r="L36" s="10">
        <f>L34/L35</f>
        <v>1.4438188405797101</v>
      </c>
      <c r="M36" s="10">
        <f>M34/M35</f>
        <v>1.3735217391304348</v>
      </c>
      <c r="N36" s="10">
        <f>N34/N35</f>
        <v>1.3314641397250093</v>
      </c>
      <c r="O36" s="10">
        <f>O34/O35</f>
        <v>1.3716228305600286</v>
      </c>
      <c r="P36" s="10">
        <f>P34/P35</f>
        <v>1.2156049882035727</v>
      </c>
      <c r="Q36" s="10" t="e">
        <f>Q34/Q35</f>
        <v>#DIV/0!</v>
      </c>
      <c r="R36" s="10" t="e">
        <f>R34/R35</f>
        <v>#DIV/0!</v>
      </c>
      <c r="S36" s="10" t="e">
        <f>S34/S35</f>
        <v>#DIV/0!</v>
      </c>
      <c r="T36" s="10" t="e">
        <f>T34/T35</f>
        <v>#DIV/0!</v>
      </c>
      <c r="U36" s="10" t="e">
        <f>U34/U35</f>
        <v>#DIV/0!</v>
      </c>
      <c r="V36" s="10" t="e">
        <f>V34/V35</f>
        <v>#DIV/0!</v>
      </c>
      <c r="W36" s="10" t="e">
        <f>W34/W35</f>
        <v>#DIV/0!</v>
      </c>
      <c r="X36" s="10" t="e">
        <f>X34/X35</f>
        <v>#DIV/0!</v>
      </c>
      <c r="Y36" s="10" t="e">
        <f>Y34/Y35</f>
        <v>#DIV/0!</v>
      </c>
      <c r="Z36" s="10" t="e">
        <f>Z34/Z35</f>
        <v>#DIV/0!</v>
      </c>
      <c r="AA36" s="10" t="e">
        <f>AA34/AA35</f>
        <v>#DIV/0!</v>
      </c>
      <c r="AB36" s="10" t="e">
        <f>AB34/AB35</f>
        <v>#DIV/0!</v>
      </c>
      <c r="AC36" s="10" t="e">
        <f>AC34/AC35</f>
        <v>#DIV/0!</v>
      </c>
      <c r="AD36" s="10" t="e">
        <f>AD34/AD35</f>
        <v>#DIV/0!</v>
      </c>
      <c r="AE36" s="10" t="e">
        <f>AE34/AE35</f>
        <v>#DIV/0!</v>
      </c>
      <c r="AF36" s="10" t="e">
        <f>AF34/AF35</f>
        <v>#DIV/0!</v>
      </c>
      <c r="AG36" s="10" t="e">
        <f>AG34/AG35</f>
        <v>#DIV/0!</v>
      </c>
      <c r="AH36" s="10" t="e">
        <f>AH34/AH35</f>
        <v>#DIV/0!</v>
      </c>
      <c r="AI36" s="10" t="e">
        <f>AI34/AI35</f>
        <v>#DIV/0!</v>
      </c>
      <c r="AJ36" s="10" t="e">
        <f>AJ34/AJ35</f>
        <v>#DIV/0!</v>
      </c>
      <c r="AK36" s="10" t="e">
        <f>AK34/AK35</f>
        <v>#DIV/0!</v>
      </c>
      <c r="AL36" s="10" t="e">
        <f>AL34/AL35</f>
        <v>#DIV/0!</v>
      </c>
      <c r="AM36" s="10" t="e">
        <f>AM34/AM35</f>
        <v>#DIV/0!</v>
      </c>
      <c r="AN36" s="10" t="e">
        <f>AN34/AN35</f>
        <v>#DIV/0!</v>
      </c>
      <c r="AO36" s="10" t="e">
        <f>AO34/AO35</f>
        <v>#DIV/0!</v>
      </c>
      <c r="AP36" s="10" t="e">
        <f>AP34/AP35</f>
        <v>#DIV/0!</v>
      </c>
      <c r="AQ36" s="10" t="e">
        <f>AQ34/AQ35</f>
        <v>#DIV/0!</v>
      </c>
    </row>
    <row r="37" spans="1:43" x14ac:dyDescent="0.4">
      <c r="A37" s="44"/>
      <c r="B37" s="10" t="s">
        <v>35</v>
      </c>
      <c r="C37" s="10">
        <v>11</v>
      </c>
      <c r="D37" s="10">
        <v>11.18</v>
      </c>
      <c r="E37" s="10">
        <v>10.71</v>
      </c>
      <c r="F37" s="10">
        <v>11.03</v>
      </c>
      <c r="G37" s="10">
        <v>11.06</v>
      </c>
      <c r="H37" s="28">
        <v>11.31</v>
      </c>
      <c r="I37" s="28"/>
      <c r="J37" s="10">
        <v>11.6</v>
      </c>
      <c r="K37" s="10">
        <v>10.85</v>
      </c>
      <c r="L37" s="10">
        <v>11.03</v>
      </c>
      <c r="M37" s="10">
        <v>11.66</v>
      </c>
      <c r="N37" s="10">
        <v>12.21</v>
      </c>
      <c r="O37" s="10">
        <v>11.59</v>
      </c>
      <c r="P37" s="10">
        <v>11.68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25"/>
    </row>
    <row r="38" spans="1:43" x14ac:dyDescent="0.4">
      <c r="A38" s="44"/>
      <c r="B38" s="10" t="s">
        <v>52</v>
      </c>
      <c r="C38" s="10">
        <v>10.63</v>
      </c>
      <c r="D38" s="10">
        <v>10.78</v>
      </c>
      <c r="E38" s="10">
        <v>10.32</v>
      </c>
      <c r="F38" s="10">
        <v>10.62</v>
      </c>
      <c r="G38" s="10">
        <v>10.6</v>
      </c>
      <c r="H38" s="28">
        <v>10.79</v>
      </c>
      <c r="I38" s="28"/>
      <c r="J38" s="10">
        <v>11.12</v>
      </c>
      <c r="K38" s="10">
        <v>10.42</v>
      </c>
      <c r="L38" s="10">
        <v>10.59</v>
      </c>
      <c r="M38" s="10">
        <v>11.11</v>
      </c>
      <c r="N38" s="10">
        <v>11.63</v>
      </c>
      <c r="O38" s="10">
        <v>10.98</v>
      </c>
      <c r="P38" s="10">
        <v>11.5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25"/>
    </row>
    <row r="39" spans="1:43" x14ac:dyDescent="0.4">
      <c r="A39" s="44"/>
      <c r="B39" s="10" t="s">
        <v>53</v>
      </c>
      <c r="C39" s="10">
        <v>46.35</v>
      </c>
      <c r="D39" s="10">
        <v>46.31</v>
      </c>
      <c r="E39" s="10">
        <v>46.03</v>
      </c>
      <c r="F39" s="10">
        <v>45.92</v>
      </c>
      <c r="G39" s="10">
        <v>46.2</v>
      </c>
      <c r="H39" s="28">
        <v>46.26</v>
      </c>
      <c r="I39" s="28"/>
      <c r="J39" s="10">
        <v>46.47</v>
      </c>
      <c r="K39" s="10">
        <v>46.01</v>
      </c>
      <c r="L39" s="10">
        <v>46.04</v>
      </c>
      <c r="M39" s="10">
        <v>45.95</v>
      </c>
      <c r="N39" s="10">
        <v>45.82</v>
      </c>
      <c r="O39" s="10">
        <v>46</v>
      </c>
      <c r="P39" s="10">
        <v>45.8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25"/>
    </row>
    <row r="40" spans="1:43" x14ac:dyDescent="0.4">
      <c r="A40" s="44"/>
      <c r="B40" s="10" t="s">
        <v>54</v>
      </c>
      <c r="C40" s="10">
        <v>32.51</v>
      </c>
      <c r="D40" s="10">
        <v>32.369999999999997</v>
      </c>
      <c r="E40" s="10">
        <v>32.28</v>
      </c>
      <c r="F40" s="10">
        <v>32.19</v>
      </c>
      <c r="G40" s="10">
        <v>32.659999999999997</v>
      </c>
      <c r="H40" s="28">
        <v>32.19</v>
      </c>
      <c r="I40" s="28"/>
      <c r="J40" s="10">
        <v>33</v>
      </c>
      <c r="K40" s="10">
        <v>32.64</v>
      </c>
      <c r="L40" s="10">
        <v>32.68</v>
      </c>
      <c r="M40" s="10">
        <v>32.56</v>
      </c>
      <c r="N40" s="10">
        <v>32.57</v>
      </c>
      <c r="O40" s="10">
        <v>32.64</v>
      </c>
      <c r="P40" s="10">
        <v>32.25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25"/>
    </row>
    <row r="41" spans="1:43" x14ac:dyDescent="0.4">
      <c r="A41" s="44"/>
      <c r="C41"/>
    </row>
    <row r="42" spans="1:43" x14ac:dyDescent="0.4">
      <c r="C42"/>
    </row>
    <row r="43" spans="1:43" x14ac:dyDescent="0.4">
      <c r="C43"/>
    </row>
    <row r="44" spans="1:43" x14ac:dyDescent="0.4">
      <c r="C44"/>
    </row>
    <row r="45" spans="1:43" x14ac:dyDescent="0.4">
      <c r="C45"/>
    </row>
    <row r="46" spans="1:43" x14ac:dyDescent="0.4">
      <c r="C46"/>
    </row>
    <row r="47" spans="1:43" x14ac:dyDescent="0.4">
      <c r="C47"/>
    </row>
    <row r="48" spans="1:43" x14ac:dyDescent="0.4">
      <c r="C48"/>
    </row>
    <row r="49" spans="3:3" x14ac:dyDescent="0.4">
      <c r="C49"/>
    </row>
    <row r="50" spans="3:3" x14ac:dyDescent="0.4">
      <c r="C50"/>
    </row>
    <row r="51" spans="3:3" x14ac:dyDescent="0.4">
      <c r="C51"/>
    </row>
    <row r="52" spans="3:3" x14ac:dyDescent="0.4">
      <c r="C52"/>
    </row>
    <row r="53" spans="3:3" x14ac:dyDescent="0.4">
      <c r="C53"/>
    </row>
    <row r="54" spans="3:3" x14ac:dyDescent="0.4">
      <c r="C54"/>
    </row>
    <row r="55" spans="3:3" x14ac:dyDescent="0.4">
      <c r="C55"/>
    </row>
    <row r="56" spans="3:3" x14ac:dyDescent="0.4">
      <c r="C56"/>
    </row>
    <row r="57" spans="3:3" x14ac:dyDescent="0.4">
      <c r="C57"/>
    </row>
    <row r="58" spans="3:3" x14ac:dyDescent="0.4">
      <c r="C58"/>
    </row>
    <row r="59" spans="3:3" x14ac:dyDescent="0.4">
      <c r="C59"/>
    </row>
    <row r="60" spans="3:3" x14ac:dyDescent="0.4">
      <c r="C60"/>
    </row>
    <row r="61" spans="3:3" x14ac:dyDescent="0.4">
      <c r="C61"/>
    </row>
    <row r="62" spans="3:3" x14ac:dyDescent="0.4">
      <c r="C62"/>
    </row>
    <row r="63" spans="3:3" x14ac:dyDescent="0.4">
      <c r="C63"/>
    </row>
    <row r="64" spans="3:3" x14ac:dyDescent="0.4">
      <c r="C64"/>
    </row>
    <row r="65" spans="3:3" x14ac:dyDescent="0.4">
      <c r="C65"/>
    </row>
    <row r="66" spans="3:3" x14ac:dyDescent="0.4">
      <c r="C66"/>
    </row>
    <row r="67" spans="3:3" x14ac:dyDescent="0.4">
      <c r="C67"/>
    </row>
    <row r="68" spans="3:3" x14ac:dyDescent="0.4">
      <c r="C68"/>
    </row>
    <row r="69" spans="3:3" x14ac:dyDescent="0.4">
      <c r="C69"/>
    </row>
    <row r="70" spans="3:3" x14ac:dyDescent="0.4">
      <c r="C70"/>
    </row>
    <row r="71" spans="3:3" x14ac:dyDescent="0.4">
      <c r="C71"/>
    </row>
    <row r="72" spans="3:3" x14ac:dyDescent="0.4">
      <c r="C72"/>
    </row>
    <row r="73" spans="3:3" x14ac:dyDescent="0.4">
      <c r="C73"/>
    </row>
    <row r="74" spans="3:3" x14ac:dyDescent="0.4">
      <c r="C74"/>
    </row>
    <row r="75" spans="3:3" x14ac:dyDescent="0.4">
      <c r="C75"/>
    </row>
    <row r="76" spans="3:3" x14ac:dyDescent="0.4">
      <c r="C76"/>
    </row>
    <row r="77" spans="3:3" x14ac:dyDescent="0.4">
      <c r="C77"/>
    </row>
    <row r="78" spans="3:3" x14ac:dyDescent="0.4">
      <c r="C78"/>
    </row>
    <row r="79" spans="3:3" x14ac:dyDescent="0.4">
      <c r="C79"/>
    </row>
    <row r="80" spans="3:3" x14ac:dyDescent="0.4">
      <c r="C80"/>
    </row>
    <row r="81" spans="3:3" x14ac:dyDescent="0.4">
      <c r="C81"/>
    </row>
    <row r="82" spans="3:3" x14ac:dyDescent="0.4">
      <c r="C82"/>
    </row>
    <row r="83" spans="3:3" x14ac:dyDescent="0.4">
      <c r="C83"/>
    </row>
    <row r="84" spans="3:3" x14ac:dyDescent="0.4">
      <c r="C84"/>
    </row>
    <row r="85" spans="3:3" x14ac:dyDescent="0.4">
      <c r="C85"/>
    </row>
    <row r="86" spans="3:3" x14ac:dyDescent="0.4">
      <c r="C86"/>
    </row>
    <row r="87" spans="3:3" x14ac:dyDescent="0.4">
      <c r="C87"/>
    </row>
    <row r="88" spans="3:3" x14ac:dyDescent="0.4">
      <c r="C88"/>
    </row>
    <row r="89" spans="3:3" x14ac:dyDescent="0.4">
      <c r="C89"/>
    </row>
    <row r="90" spans="3:3" x14ac:dyDescent="0.4">
      <c r="C90"/>
    </row>
    <row r="91" spans="3:3" x14ac:dyDescent="0.4">
      <c r="C91"/>
    </row>
    <row r="92" spans="3:3" x14ac:dyDescent="0.4">
      <c r="C92"/>
    </row>
    <row r="93" spans="3:3" x14ac:dyDescent="0.4">
      <c r="C93"/>
    </row>
    <row r="94" spans="3:3" x14ac:dyDescent="0.4">
      <c r="C94"/>
    </row>
    <row r="95" spans="3:3" x14ac:dyDescent="0.4">
      <c r="C95"/>
    </row>
    <row r="96" spans="3:3" x14ac:dyDescent="0.4">
      <c r="C96"/>
    </row>
    <row r="97" spans="3:3" x14ac:dyDescent="0.4">
      <c r="C97"/>
    </row>
    <row r="98" spans="3:3" x14ac:dyDescent="0.4">
      <c r="C98"/>
    </row>
    <row r="99" spans="3:3" x14ac:dyDescent="0.4">
      <c r="C99"/>
    </row>
    <row r="100" spans="3:3" x14ac:dyDescent="0.4">
      <c r="C100"/>
    </row>
    <row r="101" spans="3:3" x14ac:dyDescent="0.4">
      <c r="C101"/>
    </row>
    <row r="102" spans="3:3" x14ac:dyDescent="0.4">
      <c r="C102"/>
    </row>
    <row r="103" spans="3:3" x14ac:dyDescent="0.4">
      <c r="C103"/>
    </row>
    <row r="104" spans="3:3" x14ac:dyDescent="0.4">
      <c r="C104"/>
    </row>
    <row r="105" spans="3:3" x14ac:dyDescent="0.4">
      <c r="C105"/>
    </row>
    <row r="106" spans="3:3" x14ac:dyDescent="0.4">
      <c r="C106"/>
    </row>
    <row r="107" spans="3:3" x14ac:dyDescent="0.4">
      <c r="C107"/>
    </row>
    <row r="108" spans="3:3" x14ac:dyDescent="0.4">
      <c r="C108"/>
    </row>
    <row r="109" spans="3:3" x14ac:dyDescent="0.4">
      <c r="C109"/>
    </row>
    <row r="110" spans="3:3" x14ac:dyDescent="0.4">
      <c r="C110"/>
    </row>
    <row r="111" spans="3:3" x14ac:dyDescent="0.4">
      <c r="C111"/>
    </row>
    <row r="112" spans="3:3" x14ac:dyDescent="0.4">
      <c r="C112"/>
    </row>
    <row r="113" spans="3:3" x14ac:dyDescent="0.4">
      <c r="C113"/>
    </row>
    <row r="114" spans="3:3" x14ac:dyDescent="0.4">
      <c r="C114"/>
    </row>
    <row r="115" spans="3:3" x14ac:dyDescent="0.4">
      <c r="C115"/>
    </row>
    <row r="116" spans="3:3" x14ac:dyDescent="0.4">
      <c r="C116"/>
    </row>
    <row r="117" spans="3:3" x14ac:dyDescent="0.4">
      <c r="C117"/>
    </row>
    <row r="118" spans="3:3" x14ac:dyDescent="0.4">
      <c r="C118"/>
    </row>
    <row r="119" spans="3:3" x14ac:dyDescent="0.4">
      <c r="C119"/>
    </row>
    <row r="120" spans="3:3" x14ac:dyDescent="0.4">
      <c r="C120"/>
    </row>
    <row r="121" spans="3:3" x14ac:dyDescent="0.4">
      <c r="C121"/>
    </row>
    <row r="122" spans="3:3" x14ac:dyDescent="0.4">
      <c r="C122"/>
    </row>
    <row r="123" spans="3:3" x14ac:dyDescent="0.4">
      <c r="C123"/>
    </row>
    <row r="124" spans="3:3" x14ac:dyDescent="0.4">
      <c r="C124"/>
    </row>
    <row r="125" spans="3:3" x14ac:dyDescent="0.4">
      <c r="C125"/>
    </row>
    <row r="126" spans="3:3" x14ac:dyDescent="0.4">
      <c r="C126"/>
    </row>
    <row r="127" spans="3:3" x14ac:dyDescent="0.4">
      <c r="C127"/>
    </row>
    <row r="128" spans="3:3" x14ac:dyDescent="0.4">
      <c r="C128"/>
    </row>
    <row r="129" spans="3:3" x14ac:dyDescent="0.4">
      <c r="C129"/>
    </row>
    <row r="130" spans="3:3" x14ac:dyDescent="0.4">
      <c r="C130"/>
    </row>
    <row r="131" spans="3:3" x14ac:dyDescent="0.4">
      <c r="C131"/>
    </row>
    <row r="132" spans="3:3" x14ac:dyDescent="0.4">
      <c r="C132"/>
    </row>
    <row r="133" spans="3:3" x14ac:dyDescent="0.4">
      <c r="C133"/>
    </row>
    <row r="134" spans="3:3" x14ac:dyDescent="0.4">
      <c r="C134"/>
    </row>
    <row r="135" spans="3:3" x14ac:dyDescent="0.4">
      <c r="C135"/>
    </row>
    <row r="136" spans="3:3" x14ac:dyDescent="0.4">
      <c r="C136"/>
    </row>
    <row r="137" spans="3:3" x14ac:dyDescent="0.4">
      <c r="C137"/>
    </row>
    <row r="138" spans="3:3" x14ac:dyDescent="0.4">
      <c r="C138"/>
    </row>
    <row r="139" spans="3:3" x14ac:dyDescent="0.4">
      <c r="C139"/>
    </row>
    <row r="140" spans="3:3" x14ac:dyDescent="0.4">
      <c r="C140"/>
    </row>
    <row r="141" spans="3:3" x14ac:dyDescent="0.4">
      <c r="C141"/>
    </row>
    <row r="142" spans="3:3" x14ac:dyDescent="0.4">
      <c r="C142"/>
    </row>
    <row r="143" spans="3:3" x14ac:dyDescent="0.4">
      <c r="C143"/>
    </row>
    <row r="144" spans="3:3" x14ac:dyDescent="0.4">
      <c r="C144"/>
    </row>
    <row r="145" spans="3:3" x14ac:dyDescent="0.4">
      <c r="C145"/>
    </row>
    <row r="146" spans="3:3" x14ac:dyDescent="0.4">
      <c r="C146"/>
    </row>
    <row r="147" spans="3:3" x14ac:dyDescent="0.4">
      <c r="C147"/>
    </row>
    <row r="148" spans="3:3" x14ac:dyDescent="0.4">
      <c r="C148"/>
    </row>
    <row r="149" spans="3:3" x14ac:dyDescent="0.4">
      <c r="C149"/>
    </row>
    <row r="150" spans="3:3" x14ac:dyDescent="0.4">
      <c r="C150"/>
    </row>
    <row r="151" spans="3:3" x14ac:dyDescent="0.4">
      <c r="C151"/>
    </row>
    <row r="152" spans="3:3" x14ac:dyDescent="0.4">
      <c r="C152"/>
    </row>
    <row r="153" spans="3:3" x14ac:dyDescent="0.4">
      <c r="C153"/>
    </row>
    <row r="154" spans="3:3" x14ac:dyDescent="0.4">
      <c r="C154"/>
    </row>
    <row r="155" spans="3:3" x14ac:dyDescent="0.4">
      <c r="C155"/>
    </row>
    <row r="156" spans="3:3" x14ac:dyDescent="0.4">
      <c r="C156"/>
    </row>
    <row r="157" spans="3:3" x14ac:dyDescent="0.4">
      <c r="C157"/>
    </row>
    <row r="158" spans="3:3" x14ac:dyDescent="0.4">
      <c r="C158"/>
    </row>
    <row r="159" spans="3:3" x14ac:dyDescent="0.4">
      <c r="C159"/>
    </row>
    <row r="160" spans="3:3" x14ac:dyDescent="0.4">
      <c r="C160"/>
    </row>
  </sheetData>
  <mergeCells count="4">
    <mergeCell ref="A4:A7"/>
    <mergeCell ref="A8:A20"/>
    <mergeCell ref="A21:A25"/>
    <mergeCell ref="A26:A41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7" sqref="C7"/>
    </sheetView>
  </sheetViews>
  <sheetFormatPr defaultRowHeight="13.9" x14ac:dyDescent="0.4"/>
  <cols>
    <col min="2" max="2" width="11.1328125" customWidth="1"/>
  </cols>
  <sheetData>
    <row r="1" spans="1:3" x14ac:dyDescent="0.4">
      <c r="B1" t="s">
        <v>55</v>
      </c>
      <c r="C1" t="e">
        <f>Sheet2!#REF!</f>
        <v>#REF!</v>
      </c>
    </row>
    <row r="2" spans="1:3" x14ac:dyDescent="0.4">
      <c r="A2" s="45" t="s">
        <v>56</v>
      </c>
      <c r="B2" t="s">
        <v>57</v>
      </c>
      <c r="C2" t="e">
        <f>Sheet2!#REF!-Sheet2!#REF!</f>
        <v>#REF!</v>
      </c>
    </row>
    <row r="3" spans="1:3" x14ac:dyDescent="0.4">
      <c r="A3" s="45"/>
      <c r="B3" t="s">
        <v>58</v>
      </c>
      <c r="C3" t="e">
        <f>Sheet2!#REF!-Sheet2!#REF!</f>
        <v>#REF!</v>
      </c>
    </row>
    <row r="4" spans="1:3" x14ac:dyDescent="0.4">
      <c r="A4" s="45"/>
      <c r="B4" t="s">
        <v>59</v>
      </c>
      <c r="C4" t="e">
        <f>Sheet2!#REF!-Sheet2!#REF!</f>
        <v>#REF!</v>
      </c>
    </row>
    <row r="5" spans="1:3" x14ac:dyDescent="0.4">
      <c r="A5" s="45"/>
      <c r="B5" t="s">
        <v>76</v>
      </c>
      <c r="C5" t="e">
        <f>Sheet2!#REF!-Sheet2!#REF!</f>
        <v>#REF!</v>
      </c>
    </row>
    <row r="6" spans="1:3" x14ac:dyDescent="0.4">
      <c r="A6" s="45"/>
      <c r="B6" t="s">
        <v>77</v>
      </c>
      <c r="C6" t="e">
        <f>Sheet2!#REF!-Sheet2!#REF!</f>
        <v>#REF!</v>
      </c>
    </row>
    <row r="7" spans="1:3" x14ac:dyDescent="0.4">
      <c r="A7" s="12"/>
    </row>
    <row r="28" spans="1:7" x14ac:dyDescent="0.4">
      <c r="A28" s="46" t="s">
        <v>63</v>
      </c>
      <c r="B28" s="46" t="s">
        <v>60</v>
      </c>
      <c r="C28" s="46"/>
      <c r="D28" s="46" t="s">
        <v>61</v>
      </c>
      <c r="E28" s="46"/>
      <c r="F28" s="46" t="s">
        <v>62</v>
      </c>
      <c r="G28" s="46"/>
    </row>
    <row r="29" spans="1:7" x14ac:dyDescent="0.4">
      <c r="A29" s="46"/>
      <c r="B29" s="13" t="s">
        <v>65</v>
      </c>
      <c r="C29" s="13" t="s">
        <v>56</v>
      </c>
      <c r="D29" s="13" t="s">
        <v>64</v>
      </c>
      <c r="E29" s="13" t="s">
        <v>56</v>
      </c>
      <c r="F29" s="13" t="s">
        <v>65</v>
      </c>
      <c r="G29" s="13" t="s">
        <v>56</v>
      </c>
    </row>
    <row r="30" spans="1:7" x14ac:dyDescent="0.4">
      <c r="A30" s="46"/>
      <c r="B30" s="13"/>
      <c r="C30" s="13"/>
      <c r="D30" s="13">
        <v>100.3</v>
      </c>
      <c r="E30" s="13">
        <v>0.29199999999999982</v>
      </c>
      <c r="F30" s="13"/>
      <c r="G30" s="13"/>
    </row>
    <row r="31" spans="1:7" x14ac:dyDescent="0.4">
      <c r="A31" s="46"/>
      <c r="B31" s="13">
        <v>99</v>
      </c>
      <c r="C31" s="13">
        <v>0.53900000000000015</v>
      </c>
      <c r="D31" s="13">
        <v>104.7</v>
      </c>
      <c r="E31" s="13">
        <v>0.32200000000000006</v>
      </c>
      <c r="F31" s="13"/>
      <c r="G31" s="13"/>
    </row>
    <row r="32" spans="1:7" x14ac:dyDescent="0.4">
      <c r="A32" s="46"/>
      <c r="B32" s="13">
        <v>105.2</v>
      </c>
      <c r="C32" s="13">
        <v>0.5950000000000002</v>
      </c>
      <c r="D32" s="13">
        <v>106.3</v>
      </c>
      <c r="E32" s="13">
        <v>0.33599999999999985</v>
      </c>
      <c r="F32" s="13">
        <v>106.19</v>
      </c>
      <c r="G32" s="13">
        <v>0.26400000000000001</v>
      </c>
    </row>
    <row r="33" spans="1:7" x14ac:dyDescent="0.4">
      <c r="A33" s="46"/>
      <c r="B33" s="13">
        <v>128.1</v>
      </c>
      <c r="C33" s="13">
        <v>0.82499999999999973</v>
      </c>
      <c r="D33" s="13">
        <v>131.19999999999999</v>
      </c>
      <c r="E33" s="13">
        <v>0.5089999999999999</v>
      </c>
      <c r="F33" s="13">
        <v>118.92</v>
      </c>
      <c r="G33" s="13">
        <v>0.32400000000000001</v>
      </c>
    </row>
  </sheetData>
  <mergeCells count="5">
    <mergeCell ref="A2:A6"/>
    <mergeCell ref="B28:C28"/>
    <mergeCell ref="D28:E28"/>
    <mergeCell ref="F28:G28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3.9" x14ac:dyDescent="0.4"/>
  <sheetData>
    <row r="1" spans="2:14" x14ac:dyDescent="0.4">
      <c r="B1" s="48" t="s">
        <v>66</v>
      </c>
      <c r="C1" s="49"/>
      <c r="D1" s="49"/>
      <c r="E1" s="50"/>
      <c r="F1" s="47" t="s">
        <v>70</v>
      </c>
      <c r="G1" s="47"/>
      <c r="H1" s="47"/>
      <c r="I1" s="47"/>
      <c r="J1" s="48" t="s">
        <v>71</v>
      </c>
      <c r="K1" s="49"/>
      <c r="L1" s="50"/>
      <c r="M1" s="14"/>
      <c r="N1" s="11"/>
    </row>
    <row r="2" spans="2:14" x14ac:dyDescent="0.4">
      <c r="B2" s="13" t="s">
        <v>67</v>
      </c>
      <c r="C2" s="13" t="s">
        <v>72</v>
      </c>
      <c r="D2" s="13" t="s">
        <v>68</v>
      </c>
      <c r="E2" s="13" t="s">
        <v>69</v>
      </c>
      <c r="F2" s="9" t="s">
        <v>67</v>
      </c>
      <c r="G2" s="9" t="s">
        <v>73</v>
      </c>
      <c r="H2" s="9" t="s">
        <v>68</v>
      </c>
      <c r="I2" s="9" t="s">
        <v>69</v>
      </c>
      <c r="J2" s="13" t="s">
        <v>67</v>
      </c>
      <c r="K2" s="13" t="s">
        <v>74</v>
      </c>
      <c r="L2" s="13" t="s">
        <v>68</v>
      </c>
      <c r="M2" s="11"/>
    </row>
    <row r="3" spans="2:14" x14ac:dyDescent="0.4">
      <c r="B3" s="13">
        <v>302.07900000000001</v>
      </c>
      <c r="C3" s="13">
        <v>113</v>
      </c>
      <c r="D3" s="13">
        <v>2632.99</v>
      </c>
      <c r="E3" s="13">
        <v>0.61547218326320707</v>
      </c>
      <c r="F3" s="9">
        <v>297.30399999999997</v>
      </c>
      <c r="G3" s="9">
        <v>100.3</v>
      </c>
      <c r="H3" s="9">
        <v>3564.06</v>
      </c>
      <c r="I3" s="9">
        <v>1.2753837895866882</v>
      </c>
      <c r="J3" s="13">
        <v>200</v>
      </c>
      <c r="K3" s="13">
        <v>57.11</v>
      </c>
      <c r="L3" s="13">
        <v>2405</v>
      </c>
      <c r="M3" s="11"/>
    </row>
    <row r="4" spans="2:14" x14ac:dyDescent="0.4">
      <c r="B4" s="13">
        <v>420.173</v>
      </c>
      <c r="C4" s="13">
        <v>129.30000000000001</v>
      </c>
      <c r="D4" s="13">
        <v>4043.3</v>
      </c>
      <c r="E4" s="13">
        <v>1.0752046270442759</v>
      </c>
      <c r="F4" s="9">
        <v>421.09699999999998</v>
      </c>
      <c r="G4" s="9">
        <v>104.7</v>
      </c>
      <c r="H4" s="9">
        <v>4124.63</v>
      </c>
      <c r="I4" s="9">
        <v>1.4065234441602728</v>
      </c>
      <c r="J4" s="13">
        <v>340</v>
      </c>
      <c r="K4" s="13">
        <v>89.37</v>
      </c>
      <c r="L4" s="13">
        <v>3870</v>
      </c>
      <c r="M4" s="11"/>
    </row>
    <row r="5" spans="2:14" x14ac:dyDescent="0.4">
      <c r="B5" s="13">
        <v>420.57100000000003</v>
      </c>
      <c r="C5" s="13">
        <v>113.6</v>
      </c>
      <c r="D5" s="13">
        <v>3815.0230000000001</v>
      </c>
      <c r="E5" s="13">
        <v>1.3009456095481671</v>
      </c>
      <c r="F5" s="9">
        <v>503.90300000000002</v>
      </c>
      <c r="G5" s="9">
        <v>106.3</v>
      </c>
      <c r="H5" s="9">
        <v>4380.3999999999996</v>
      </c>
      <c r="I5" s="9">
        <v>1.4763734411863834</v>
      </c>
      <c r="J5" s="13">
        <v>420</v>
      </c>
      <c r="K5" s="13">
        <v>106.19</v>
      </c>
      <c r="L5" s="13">
        <v>4585</v>
      </c>
      <c r="M5" s="11"/>
    </row>
    <row r="6" spans="2:14" x14ac:dyDescent="0.4">
      <c r="B6" s="13"/>
      <c r="C6" s="13"/>
      <c r="D6" s="13"/>
      <c r="E6" s="13"/>
      <c r="F6" s="9">
        <v>505.52</v>
      </c>
      <c r="G6" s="9">
        <v>131.19999999999999</v>
      </c>
      <c r="H6" s="9">
        <v>5018.8</v>
      </c>
      <c r="I6" s="9">
        <v>1.3105627366496932</v>
      </c>
      <c r="J6" s="13">
        <v>500</v>
      </c>
      <c r="K6" s="13">
        <v>118.92</v>
      </c>
      <c r="L6" s="13">
        <v>5159</v>
      </c>
      <c r="M6" s="11"/>
    </row>
    <row r="7" spans="2:14" x14ac:dyDescent="0.4">
      <c r="B7" s="11"/>
      <c r="C7" s="11"/>
      <c r="D7" s="11"/>
      <c r="E7" s="11"/>
      <c r="F7" s="11"/>
      <c r="G7" s="11"/>
      <c r="I7" s="11"/>
      <c r="J7" s="11"/>
      <c r="L7" s="11"/>
      <c r="M7" s="11"/>
      <c r="N7" s="11"/>
    </row>
    <row r="8" spans="2:14" x14ac:dyDescent="0.4">
      <c r="B8" s="11"/>
      <c r="C8" s="11"/>
      <c r="D8" s="11"/>
      <c r="E8" s="11"/>
      <c r="F8" s="11"/>
      <c r="G8" s="11"/>
      <c r="I8" s="11"/>
      <c r="J8" s="11"/>
      <c r="L8" s="11"/>
      <c r="M8" s="11"/>
      <c r="N8" s="11"/>
    </row>
    <row r="9" spans="2:14" x14ac:dyDescent="0.4">
      <c r="B9" s="11"/>
      <c r="C9" s="11"/>
      <c r="D9" s="11"/>
      <c r="E9" s="11"/>
      <c r="F9" s="11"/>
      <c r="G9" s="11"/>
      <c r="I9" s="11"/>
      <c r="J9" s="11"/>
      <c r="L9" s="11"/>
      <c r="M9" s="11"/>
      <c r="N9" s="11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qhr</cp:lastModifiedBy>
  <dcterms:created xsi:type="dcterms:W3CDTF">2019-03-22T02:59:42Z</dcterms:created>
  <dcterms:modified xsi:type="dcterms:W3CDTF">2019-12-19T01:24:52Z</dcterms:modified>
</cp:coreProperties>
</file>