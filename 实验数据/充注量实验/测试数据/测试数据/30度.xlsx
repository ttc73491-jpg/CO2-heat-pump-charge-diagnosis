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hr\OneDrive\哈哈的文件\科研相关\项目相关\东风项目\实验\第二阶段实验20191021\充注量实验\发给东风\"/>
    </mc:Choice>
  </mc:AlternateContent>
  <xr:revisionPtr revIDLastSave="8" documentId="11_D7BB46F1EB257997D97C5777BF45CD57BEF191F9" xr6:coauthVersionLast="45" xr6:coauthVersionMax="45" xr10:uidLastSave="{DD3FA6EB-2FA7-4983-90AB-BFE52CF96DB8}"/>
  <bookViews>
    <workbookView xWindow="705" yWindow="705" windowWidth="14400" windowHeight="7373" xr2:uid="{00000000-000D-0000-FFFF-FFFF00000000}"/>
  </bookViews>
  <sheets>
    <sheet name="Sheet2" sheetId="2" r:id="rId1"/>
    <sheet name="压降分析" sheetId="7" r:id="rId2"/>
    <sheet name="Sheet3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5" i="2" l="1"/>
  <c r="K37" i="2" s="1"/>
  <c r="J35" i="2"/>
  <c r="J37" i="2" s="1"/>
  <c r="I35" i="2"/>
  <c r="I37" i="2" s="1"/>
  <c r="H35" i="2" l="1"/>
  <c r="H37" i="2" s="1"/>
  <c r="G35" i="2"/>
  <c r="G37" i="2" s="1"/>
  <c r="C6" i="7" l="1"/>
  <c r="C5" i="7"/>
  <c r="C4" i="7"/>
  <c r="C3" i="7"/>
  <c r="C2" i="7"/>
  <c r="C1" i="7"/>
  <c r="F35" i="2" l="1"/>
  <c r="F37" i="2" l="1"/>
  <c r="D35" i="2" l="1"/>
  <c r="E35" i="2"/>
  <c r="C35" i="2"/>
  <c r="D37" i="2" l="1"/>
  <c r="E37" i="2"/>
  <c r="C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jmfang</author>
  </authors>
  <commentList>
    <comment ref="M32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jmfang:</t>
        </r>
        <r>
          <rPr>
            <sz val="9"/>
            <color indexed="81"/>
            <rFont val="宋体"/>
            <family val="3"/>
            <charset val="134"/>
          </rPr>
          <t xml:space="preserve">
增大室内风量试图获得较大制冷量</t>
        </r>
      </text>
    </comment>
    <comment ref="I33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jmfang:</t>
        </r>
        <r>
          <rPr>
            <sz val="9"/>
            <color indexed="81"/>
            <rFont val="宋体"/>
            <family val="3"/>
            <charset val="134"/>
          </rPr>
          <t xml:space="preserve">
增大风量降低气冷出口温度</t>
        </r>
      </text>
    </comment>
  </commentList>
</comments>
</file>

<file path=xl/sharedStrings.xml><?xml version="1.0" encoding="utf-8"?>
<sst xmlns="http://schemas.openxmlformats.org/spreadsheetml/2006/main" count="119" uniqueCount="102">
  <si>
    <t>吸气温度</t>
    <phoneticPr fontId="5" type="noConversion"/>
  </si>
  <si>
    <t>排气温度</t>
    <phoneticPr fontId="5" type="noConversion"/>
  </si>
  <si>
    <t>室外换热进口</t>
    <phoneticPr fontId="5" type="noConversion"/>
  </si>
  <si>
    <t>阀前温度</t>
    <phoneticPr fontId="5" type="noConversion"/>
  </si>
  <si>
    <t>阀后温度</t>
    <phoneticPr fontId="5" type="noConversion"/>
  </si>
  <si>
    <t>回热器高压出口</t>
    <phoneticPr fontId="5" type="noConversion"/>
  </si>
  <si>
    <t>回热器高压进口</t>
    <phoneticPr fontId="5" type="noConversion"/>
  </si>
  <si>
    <t>储液器进口</t>
    <phoneticPr fontId="5" type="noConversion"/>
  </si>
  <si>
    <t>储液器出口</t>
    <phoneticPr fontId="5" type="noConversion"/>
  </si>
  <si>
    <t>回热器低压进口</t>
    <phoneticPr fontId="5" type="noConversion"/>
  </si>
  <si>
    <t>回热器低压出口</t>
    <phoneticPr fontId="5" type="noConversion"/>
  </si>
  <si>
    <t>吸气压力</t>
    <phoneticPr fontId="5" type="noConversion"/>
  </si>
  <si>
    <t>室内干球</t>
    <phoneticPr fontId="5" type="noConversion"/>
  </si>
  <si>
    <t>室内湿球</t>
    <phoneticPr fontId="5" type="noConversion"/>
  </si>
  <si>
    <t>室外干球</t>
    <phoneticPr fontId="5" type="noConversion"/>
  </si>
  <si>
    <t>室外湿球</t>
    <phoneticPr fontId="5" type="noConversion"/>
  </si>
  <si>
    <t>类别</t>
    <phoneticPr fontId="5" type="noConversion"/>
  </si>
  <si>
    <t>项目</t>
    <phoneticPr fontId="5" type="noConversion"/>
  </si>
  <si>
    <t>环境参数</t>
    <phoneticPr fontId="5" type="noConversion"/>
  </si>
  <si>
    <t>列11</t>
  </si>
  <si>
    <t>列12</t>
  </si>
  <si>
    <t>列13</t>
  </si>
  <si>
    <t>列14</t>
  </si>
  <si>
    <t>列15</t>
  </si>
  <si>
    <t>日期</t>
    <phoneticPr fontId="5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</si>
  <si>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出</t>
    </r>
    <r>
      <rPr>
        <sz val="11"/>
        <color rgb="FF9C6500"/>
        <rFont val="等线"/>
        <family val="2"/>
        <charset val="134"/>
        <scheme val="minor"/>
      </rPr>
      <t>口</t>
    </r>
    <phoneticPr fontId="5" type="noConversion"/>
  </si>
  <si>
    <t>组1</t>
    <phoneticPr fontId="5" type="noConversion"/>
  </si>
  <si>
    <t>组3</t>
    <phoneticPr fontId="5" type="noConversion"/>
  </si>
  <si>
    <t>组2</t>
    <phoneticPr fontId="5" type="noConversion"/>
  </si>
  <si>
    <t>组4</t>
    <phoneticPr fontId="5" type="noConversion"/>
  </si>
  <si>
    <t>列10</t>
  </si>
  <si>
    <t>组10</t>
  </si>
  <si>
    <t>列0</t>
    <phoneticPr fontId="5" type="noConversion"/>
  </si>
  <si>
    <t>列1</t>
    <phoneticPr fontId="5" type="noConversion"/>
  </si>
  <si>
    <t>组11</t>
  </si>
  <si>
    <t>组12</t>
  </si>
  <si>
    <t>组13</t>
  </si>
  <si>
    <t>组14</t>
  </si>
  <si>
    <t>组15</t>
  </si>
  <si>
    <t>温度/℃</t>
    <phoneticPr fontId="5" type="noConversion"/>
  </si>
  <si>
    <t>压力/Mpa</t>
    <phoneticPr fontId="5" type="noConversion"/>
  </si>
  <si>
    <t>充注量/g</t>
    <phoneticPr fontId="5" type="noConversion"/>
  </si>
  <si>
    <t>室内出风干球/℃</t>
    <phoneticPr fontId="5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</si>
  <si>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进</t>
    </r>
    <r>
      <rPr>
        <sz val="11"/>
        <color rgb="FF9C6500"/>
        <rFont val="等线"/>
        <family val="2"/>
        <charset val="134"/>
        <scheme val="minor"/>
      </rPr>
      <t>口</t>
    </r>
    <phoneticPr fontId="5" type="noConversion"/>
  </si>
  <si>
    <t>性能</t>
    <phoneticPr fontId="5" type="noConversion"/>
  </si>
  <si>
    <t>列16</t>
  </si>
  <si>
    <t>组16</t>
  </si>
  <si>
    <t>排气压力</t>
    <phoneticPr fontId="5" type="noConversion"/>
  </si>
  <si>
    <t>阀前压力</t>
    <phoneticPr fontId="5" type="noConversion"/>
  </si>
  <si>
    <t>主换热器进口</t>
    <phoneticPr fontId="5" type="noConversion"/>
  </si>
  <si>
    <t>电压/V</t>
    <phoneticPr fontId="5" type="noConversion"/>
  </si>
  <si>
    <t>电流/A</t>
    <phoneticPr fontId="5" type="noConversion"/>
  </si>
  <si>
    <t>压缩机转速/rpm</t>
    <phoneticPr fontId="5" type="noConversion"/>
  </si>
  <si>
    <t>膨胀阀开度</t>
    <phoneticPr fontId="5" type="noConversion"/>
  </si>
  <si>
    <r>
      <t>制冷剂流量/kg·h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5" type="noConversion"/>
  </si>
  <si>
    <r>
      <t>室内侧风量/m</t>
    </r>
    <r>
      <rPr>
        <vertAlign val="superscript"/>
        <sz val="11"/>
        <color rgb="FF3F3F76"/>
        <rFont val="等线"/>
        <family val="3"/>
        <charset val="134"/>
        <scheme val="minor"/>
      </rPr>
      <t>3</t>
    </r>
    <r>
      <rPr>
        <sz val="11"/>
        <color rgb="FF3F3F76"/>
        <rFont val="等线"/>
        <family val="2"/>
        <charset val="134"/>
        <scheme val="minor"/>
      </rPr>
      <t>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5" type="noConversion"/>
  </si>
  <si>
    <t>室外侧风量/m3·h-1</t>
    <phoneticPr fontId="5" type="noConversion"/>
  </si>
  <si>
    <t>室内侧换热量//蒸发器/W</t>
    <phoneticPr fontId="5" type="noConversion"/>
  </si>
  <si>
    <t>压缩机功率/W</t>
    <phoneticPr fontId="5" type="noConversion"/>
  </si>
  <si>
    <t>压缩机功率WT500</t>
    <phoneticPr fontId="5" type="noConversion"/>
  </si>
  <si>
    <t>室内侧COP</t>
    <phoneticPr fontId="5" type="noConversion"/>
  </si>
  <si>
    <t>室内出风湿球/℃</t>
    <phoneticPr fontId="5" type="noConversion"/>
  </si>
  <si>
    <t>室外出风干球/℃</t>
    <phoneticPr fontId="5" type="noConversion"/>
  </si>
  <si>
    <t>室外出风湿球/℃</t>
    <phoneticPr fontId="5" type="noConversion"/>
  </si>
  <si>
    <t>流量</t>
    <phoneticPr fontId="5" type="noConversion"/>
  </si>
  <si>
    <t>压降</t>
    <phoneticPr fontId="5" type="noConversion"/>
  </si>
  <si>
    <t>蒸发器</t>
    <phoneticPr fontId="5" type="noConversion"/>
  </si>
  <si>
    <t>蒸发器至储液器</t>
    <phoneticPr fontId="5" type="noConversion"/>
  </si>
  <si>
    <t>储液器至吸气</t>
    <phoneticPr fontId="5" type="noConversion"/>
  </si>
  <si>
    <t>原系统</t>
    <phoneticPr fontId="5" type="noConversion"/>
  </si>
  <si>
    <t>新系统</t>
    <phoneticPr fontId="5" type="noConversion"/>
  </si>
  <si>
    <t>三花</t>
    <phoneticPr fontId="5" type="noConversion"/>
  </si>
  <si>
    <t>蒸发器压降</t>
    <phoneticPr fontId="5" type="noConversion"/>
  </si>
  <si>
    <t>流量</t>
    <phoneticPr fontId="5" type="noConversion"/>
  </si>
  <si>
    <t>流量</t>
    <phoneticPr fontId="5" type="noConversion"/>
  </si>
  <si>
    <t>原系统</t>
    <phoneticPr fontId="5" type="noConversion"/>
  </si>
  <si>
    <t>风量</t>
    <phoneticPr fontId="5" type="noConversion"/>
  </si>
  <si>
    <t>制冷量</t>
    <phoneticPr fontId="5" type="noConversion"/>
  </si>
  <si>
    <t>COP</t>
    <phoneticPr fontId="5" type="noConversion"/>
  </si>
  <si>
    <t>新系统</t>
    <phoneticPr fontId="5" type="noConversion"/>
  </si>
  <si>
    <t>三花</t>
    <phoneticPr fontId="5" type="noConversion"/>
  </si>
  <si>
    <t>流量</t>
    <phoneticPr fontId="5" type="noConversion"/>
  </si>
  <si>
    <t>流量</t>
    <phoneticPr fontId="5" type="noConversion"/>
  </si>
  <si>
    <t>流量</t>
    <phoneticPr fontId="5" type="noConversion"/>
  </si>
  <si>
    <t>主换热器出口</t>
    <phoneticPr fontId="5" type="noConversion"/>
  </si>
  <si>
    <t>排气至气冷</t>
    <phoneticPr fontId="5" type="noConversion"/>
  </si>
  <si>
    <t>气冷</t>
    <phoneticPr fontId="5" type="noConversion"/>
  </si>
  <si>
    <t>无回热</t>
    <phoneticPr fontId="5" type="noConversion"/>
  </si>
  <si>
    <t>全回热</t>
    <phoneticPr fontId="5" type="noConversion"/>
  </si>
  <si>
    <t>列2</t>
    <phoneticPr fontId="5" type="noConversion"/>
  </si>
  <si>
    <t>列3</t>
    <phoneticPr fontId="5" type="noConversion"/>
  </si>
  <si>
    <t>列4</t>
    <phoneticPr fontId="5" type="noConversion"/>
  </si>
  <si>
    <t>列5</t>
    <phoneticPr fontId="5" type="noConversion"/>
  </si>
  <si>
    <t>列6</t>
    <phoneticPr fontId="5" type="noConversion"/>
  </si>
  <si>
    <t>列7</t>
    <phoneticPr fontId="5" type="noConversion"/>
  </si>
  <si>
    <t>列8</t>
    <phoneticPr fontId="5" type="noConversion"/>
  </si>
  <si>
    <t>列9</t>
    <phoneticPr fontId="5" type="noConversion"/>
  </si>
  <si>
    <t>组5</t>
    <phoneticPr fontId="5" type="noConversion"/>
  </si>
  <si>
    <t>组6</t>
    <phoneticPr fontId="5" type="noConversion"/>
  </si>
  <si>
    <t>组7</t>
    <phoneticPr fontId="5" type="noConversion"/>
  </si>
  <si>
    <t>组8</t>
    <phoneticPr fontId="5" type="noConversion"/>
  </si>
  <si>
    <t>组9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</si>
</sst>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vertAlign val="superscript"/>
      <sz val="11"/>
      <color rgb="FF3F3F76"/>
      <name val="等线"/>
      <family val="3"/>
      <charset val="134"/>
      <scheme val="minor"/>
    </font>
    <font>
      <b/>
      <sz val="11"/>
      <color rgb="FF3F3F3F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1" fillId="5" borderId="3" applyNumberFormat="0" applyFont="0" applyAlignment="0" applyProtection="0">
      <alignment vertical="center"/>
    </xf>
    <xf numFmtId="0" fontId="11" fillId="4" borderId="2" applyNumberFormat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5" borderId="3" xfId="4" applyNumberFormat="1" applyFont="1" applyAlignment="1">
      <alignment horizontal="center" vertical="center"/>
    </xf>
    <xf numFmtId="0" fontId="2" fillId="2" borderId="0" xfId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6" fillId="0" borderId="0" xfId="0" applyFont="1">
      <alignment vertical="center"/>
    </xf>
    <xf numFmtId="0" fontId="0" fillId="6" borderId="0" xfId="0" applyFill="1">
      <alignment vertical="center"/>
    </xf>
    <xf numFmtId="0" fontId="4" fillId="4" borderId="1" xfId="3" applyAlignment="1">
      <alignment horizontal="center" vertical="center"/>
    </xf>
    <xf numFmtId="0" fontId="0" fillId="5" borderId="3" xfId="4" applyNumberFormat="1" applyFont="1" applyAlignment="1">
      <alignment horizontal="center" vertical="center"/>
    </xf>
    <xf numFmtId="0" fontId="4" fillId="4" borderId="1" xfId="3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2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6" borderId="1" xfId="2" applyFill="1" applyAlignment="1">
      <alignment horizontal="center" vertical="center"/>
    </xf>
    <xf numFmtId="0" fontId="0" fillId="0" borderId="0" xfId="0" applyAlignment="1">
      <alignment vertical="center"/>
    </xf>
    <xf numFmtId="0" fontId="11" fillId="4" borderId="2" xfId="5" applyAlignment="1">
      <alignment horizontal="center" vertical="center"/>
    </xf>
    <xf numFmtId="0" fontId="11" fillId="4" borderId="2" xfId="5" applyAlignment="1">
      <alignment vertical="center"/>
    </xf>
    <xf numFmtId="0" fontId="3" fillId="7" borderId="1" xfId="2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1" xfId="3" applyAlignment="1">
      <alignment horizontal="center" vertical="center"/>
    </xf>
    <xf numFmtId="0" fontId="4" fillId="4" borderId="5" xfId="3" applyBorder="1" applyAlignment="1">
      <alignment horizontal="center" vertical="center"/>
    </xf>
    <xf numFmtId="0" fontId="4" fillId="4" borderId="8" xfId="3" applyBorder="1" applyAlignment="1">
      <alignment horizontal="center" vertical="center"/>
    </xf>
    <xf numFmtId="0" fontId="4" fillId="4" borderId="12" xfId="3" applyBorder="1" applyAlignment="1">
      <alignment horizontal="center" vertical="center"/>
    </xf>
    <xf numFmtId="0" fontId="2" fillId="2" borderId="9" xfId="1" applyBorder="1" applyAlignment="1">
      <alignment horizontal="center" vertical="center"/>
    </xf>
    <xf numFmtId="0" fontId="2" fillId="2" borderId="6" xfId="1" applyBorder="1" applyAlignment="1">
      <alignment horizontal="center" vertical="center"/>
    </xf>
    <xf numFmtId="0" fontId="2" fillId="2" borderId="7" xfId="1" applyBorder="1" applyAlignment="1">
      <alignment horizontal="center" vertical="center"/>
    </xf>
    <xf numFmtId="0" fontId="0" fillId="5" borderId="10" xfId="4" applyFont="1" applyBorder="1" applyAlignment="1">
      <alignment horizontal="center" vertical="center"/>
    </xf>
    <xf numFmtId="0" fontId="0" fillId="5" borderId="0" xfId="4" applyFont="1" applyBorder="1" applyAlignment="1">
      <alignment horizontal="center" vertical="center"/>
    </xf>
    <xf numFmtId="0" fontId="3" fillId="3" borderId="11" xfId="2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4" borderId="2" xfId="5" applyAlignment="1">
      <alignment horizontal="center" vertical="center"/>
    </xf>
    <xf numFmtId="0" fontId="4" fillId="4" borderId="1" xfId="3" applyAlignment="1">
      <alignment horizontal="center" vertical="center"/>
    </xf>
    <xf numFmtId="0" fontId="11" fillId="4" borderId="13" xfId="5" applyBorder="1" applyAlignment="1">
      <alignment horizontal="center" vertical="center"/>
    </xf>
    <xf numFmtId="0" fontId="11" fillId="4" borderId="14" xfId="5" applyBorder="1" applyAlignment="1">
      <alignment horizontal="center" vertical="center"/>
    </xf>
    <xf numFmtId="0" fontId="11" fillId="4" borderId="15" xfId="5" applyBorder="1" applyAlignment="1">
      <alignment horizontal="center" vertical="center"/>
    </xf>
  </cellXfs>
  <cellStyles count="6">
    <cellStyle name="常规" xfId="0" builtinId="0"/>
    <cellStyle name="计算" xfId="3" builtinId="22"/>
    <cellStyle name="适中" xfId="1" builtinId="28"/>
    <cellStyle name="输出" xfId="5" builtinId="21"/>
    <cellStyle name="输入" xfId="2" builtinId="20"/>
    <cellStyle name="注释" xfId="4" builtinId="10"/>
  </cellStyles>
  <dxfs count="35"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altLang="en-US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</a:rPr>
              <a:t>系统各部件压降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3168285214348208"/>
          <c:y val="0.18039370078740158"/>
          <c:w val="0.78845603674540676"/>
          <c:h val="0.6167745698454359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压降分析!$B$2</c:f>
              <c:strCache>
                <c:ptCount val="1"/>
                <c:pt idx="0">
                  <c:v>蒸发器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126.8</c:v>
                </c:pt>
              </c:numCache>
            </c:numRef>
          </c:xVal>
          <c:yVal>
            <c:numRef>
              <c:f>压降分析!$C$2:$F$2</c:f>
              <c:numCache>
                <c:formatCode>General</c:formatCode>
                <c:ptCount val="4"/>
                <c:pt idx="0">
                  <c:v>0.375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1B-4727-BC19-4C8542DBF3EA}"/>
            </c:ext>
          </c:extLst>
        </c:ser>
        <c:ser>
          <c:idx val="1"/>
          <c:order val="1"/>
          <c:tx>
            <c:strRef>
              <c:f>压降分析!$B$3</c:f>
              <c:strCache>
                <c:ptCount val="1"/>
                <c:pt idx="0">
                  <c:v>蒸发器至储液器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126.8</c:v>
                </c:pt>
              </c:numCache>
            </c:numRef>
          </c:xVal>
          <c:yVal>
            <c:numRef>
              <c:f>压降分析!$C$3:$F$3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1B-4727-BC19-4C8542DBF3EA}"/>
            </c:ext>
          </c:extLst>
        </c:ser>
        <c:ser>
          <c:idx val="2"/>
          <c:order val="2"/>
          <c:tx>
            <c:strRef>
              <c:f>压降分析!#REF!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126.8</c:v>
                </c:pt>
              </c:numCache>
            </c:numRef>
          </c:xVal>
          <c:yVal>
            <c:numRef>
              <c:f>压降分析!$C$4:$F$4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1B-4727-BC19-4C8542DBF3EA}"/>
            </c:ext>
          </c:extLst>
        </c:ser>
        <c:ser>
          <c:idx val="3"/>
          <c:order val="3"/>
          <c:tx>
            <c:strRef>
              <c:f>压降分析!$B$4</c:f>
              <c:strCache>
                <c:ptCount val="1"/>
                <c:pt idx="0">
                  <c:v>储液器至吸气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126.8</c:v>
                </c:pt>
              </c:numCache>
            </c:numRef>
          </c:xVal>
          <c:yVal>
            <c:numRef>
              <c:f>压降分析!$C$5:$F$5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11B-4727-BC19-4C8542DBF3EA}"/>
            </c:ext>
          </c:extLst>
        </c:ser>
        <c:ser>
          <c:idx val="4"/>
          <c:order val="4"/>
          <c:tx>
            <c:strRef>
              <c:f>压降分析!$B$5</c:f>
              <c:strCache>
                <c:ptCount val="1"/>
                <c:pt idx="0">
                  <c:v>排气至气冷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126.8</c:v>
                </c:pt>
              </c:numCache>
            </c:numRef>
          </c:xVal>
          <c:yVal>
            <c:numRef>
              <c:f>压降分析!$C$6:$F$6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11B-4727-BC19-4C8542DBF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395967"/>
        <c:axId val="1064379327"/>
      </c:scatterChart>
      <c:valAx>
        <c:axId val="1064395967"/>
        <c:scaling>
          <c:orientation val="minMax"/>
          <c:min val="9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流量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/kg·h</a:t>
                </a:r>
                <a:r>
                  <a:rPr lang="en-US" altLang="zh-CN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-1</a:t>
                </a:r>
                <a:endParaRPr lang="zh-CN" altLang="en-US" baseline="30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64379327"/>
        <c:crosses val="autoZero"/>
        <c:crossBetween val="midCat"/>
      </c:valAx>
      <c:valAx>
        <c:axId val="106437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压降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/MPa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64395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555555555555556"/>
          <c:y val="0.13330890930300379"/>
          <c:w val="0.25833333333333336"/>
          <c:h val="0.279516622922134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100.3kg·h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4D-4FFA-ADF3-E780067F85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4D-4FFA-ADF3-E780067F85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4D-4FFA-ADF3-E780067F85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4D-4FFA-ADF3-E780067F85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压降分析!$C$2:$C$5</c:f>
              <c:numCache>
                <c:formatCode>General</c:formatCode>
                <c:ptCount val="4"/>
                <c:pt idx="0">
                  <c:v>0.375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D-47A0-B815-F2CA982A8CA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106.3kg·h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20-43F2-A6C7-71657F8DCD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20-43F2-A6C7-71657F8DCD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20-43F2-A6C7-71657F8DCD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F20-43F2-A6C7-71657F8DCD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压降分析!$E$2:$E$5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DF20-43F2-A6C7-71657F8DCD4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104.7kg·h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8C-4CB3-85EA-DCDAEF889D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8C-4CB3-85EA-DCDAEF889D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8C-4CB3-85EA-DCDAEF889D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8C-4CB3-85EA-DCDAEF889D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压降分析!$D$2:$D$5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388C-4CB3-85EA-DCDAEF889D2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131.2kg·h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F4-4EA7-B0F4-0325B766FB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F4-4EA7-B0F4-0325B766FB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F4-4EA7-B0F4-0325B766FB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F4-4EA7-B0F4-0325B766FB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压降分析!$F$2:$F$5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7EF4-4EA7-B0F4-0325B766FB6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(压降分析!$B$28,压降分析!$D$28,压降分析!$F$28)</c:f>
              <c:strCache>
                <c:ptCount val="3"/>
                <c:pt idx="0">
                  <c:v>原系统</c:v>
                </c:pt>
                <c:pt idx="1">
                  <c:v>新系统</c:v>
                </c:pt>
                <c:pt idx="2">
                  <c:v>三花</c:v>
                </c:pt>
              </c:strCache>
            </c:strRef>
          </c:cat>
          <c:val>
            <c:numRef>
              <c:f>(压降分析!$C$32,压降分析!$E$32,压降分析!$G$32)</c:f>
              <c:numCache>
                <c:formatCode>General</c:formatCode>
                <c:ptCount val="3"/>
                <c:pt idx="0">
                  <c:v>0.5950000000000002</c:v>
                </c:pt>
                <c:pt idx="1">
                  <c:v>0.33599999999999985</c:v>
                </c:pt>
                <c:pt idx="2">
                  <c:v>0.26400000000000001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6-4D5E-B831-A86E15C2A19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(压降分析!$B$28,压降分析!$D$28,压降分析!$F$28)</c:f>
              <c:strCache>
                <c:ptCount val="3"/>
                <c:pt idx="0">
                  <c:v>原系统</c:v>
                </c:pt>
                <c:pt idx="1">
                  <c:v>新系统</c:v>
                </c:pt>
                <c:pt idx="2">
                  <c:v>三花</c:v>
                </c:pt>
              </c:strCache>
            </c:strRef>
          </c:cat>
          <c:val>
            <c:numRef>
              <c:f>(压降分析!$C$33,压降分析!$E$33,压降分析!$G$33)</c:f>
              <c:numCache>
                <c:formatCode>General</c:formatCode>
                <c:ptCount val="3"/>
                <c:pt idx="0">
                  <c:v>0.82499999999999973</c:v>
                </c:pt>
                <c:pt idx="1">
                  <c:v>0.5089999999999999</c:v>
                </c:pt>
                <c:pt idx="2">
                  <c:v>0.32400000000000001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26-4D5E-B831-A86E15C2A1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91821103"/>
        <c:axId val="1291838575"/>
        <c:axId val="0"/>
      </c:bar3DChart>
      <c:catAx>
        <c:axId val="129182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endParaRPr lang="zh-CN"/>
          </a:p>
        </c:txPr>
        <c:crossAx val="1291838575"/>
        <c:crosses val="autoZero"/>
        <c:auto val="1"/>
        <c:lblAlgn val="ctr"/>
        <c:lblOffset val="100"/>
        <c:noMultiLvlLbl val="0"/>
      </c:catAx>
      <c:valAx>
        <c:axId val="129183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压降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/MPa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9182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314325</xdr:colOff>
      <xdr:row>6</xdr:row>
      <xdr:rowOff>171450</xdr:rowOff>
    </xdr:from>
    <xdr:to>
      <xdr:col>15</xdr:col>
      <xdr:colOff>85725</xdr:colOff>
      <xdr:row>22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3</xdr:row>
      <xdr:rowOff>28575</xdr:rowOff>
    </xdr:from>
    <xdr:to>
      <xdr:col>21</xdr:col>
      <xdr:colOff>414337</xdr:colOff>
      <xdr:row>18</xdr:row>
      <xdr:rowOff>57150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495300</xdr:colOff>
      <xdr:row>4</xdr:row>
      <xdr:rowOff>133350</xdr:rowOff>
    </xdr:from>
    <xdr:to>
      <xdr:col>20</xdr:col>
      <xdr:colOff>223837</xdr:colOff>
      <xdr:row>19</xdr:row>
      <xdr:rowOff>161925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161925</xdr:colOff>
      <xdr:row>10</xdr:row>
      <xdr:rowOff>85725</xdr:rowOff>
    </xdr:from>
    <xdr:to>
      <xdr:col>20</xdr:col>
      <xdr:colOff>576262</xdr:colOff>
      <xdr:row>25</xdr:row>
      <xdr:rowOff>114300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561975</xdr:colOff>
      <xdr:row>13</xdr:row>
      <xdr:rowOff>66675</xdr:rowOff>
    </xdr:from>
    <xdr:to>
      <xdr:col>21</xdr:col>
      <xdr:colOff>290512</xdr:colOff>
      <xdr:row>28</xdr:row>
      <xdr:rowOff>95250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433387</xdr:colOff>
      <xdr:row>18</xdr:row>
      <xdr:rowOff>0</xdr:rowOff>
    </xdr:from>
    <xdr:to>
      <xdr:col>14</xdr:col>
      <xdr:colOff>204787</xdr:colOff>
      <xdr:row>33</xdr:row>
      <xdr:rowOff>28575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表3" displayName="表3" ref="B1:R41" totalsRowShown="0" dataDxfId="34">
  <autoFilter ref="B1:R41" xr:uid="{00000000-0009-0000-0100-000003000000}"/>
  <tableColumns count="17">
    <tableColumn id="9" xr3:uid="{00000000-0010-0000-0000-000009000000}" name="列0" dataDxfId="33" totalsRowDxfId="32"/>
    <tableColumn id="4" xr3:uid="{00000000-0010-0000-0000-000004000000}" name="列1" dataDxfId="31" totalsRowDxfId="30"/>
    <tableColumn id="16" xr3:uid="{00000000-0010-0000-0000-000010000000}" name="列2" dataDxfId="29" totalsRowDxfId="28" dataCellStyle="输入"/>
    <tableColumn id="18" xr3:uid="{00000000-0010-0000-0000-000012000000}" name="列3" dataDxfId="27" totalsRowDxfId="26" dataCellStyle="输入"/>
    <tableColumn id="1" xr3:uid="{00000000-0010-0000-0000-000001000000}" name="列4" dataDxfId="25" totalsRowDxfId="24" dataCellStyle="输入"/>
    <tableColumn id="17" xr3:uid="{00000000-0010-0000-0000-000011000000}" name="列5" dataDxfId="23" totalsRowDxfId="22" dataCellStyle="输入"/>
    <tableColumn id="21" xr3:uid="{00000000-0010-0000-0000-000015000000}" name="列6" dataDxfId="21" totalsRowDxfId="20" dataCellStyle="输入"/>
    <tableColumn id="20" xr3:uid="{00000000-0010-0000-0000-000014000000}" name="列7" dataDxfId="19" totalsRowDxfId="18" dataCellStyle="输入"/>
    <tableColumn id="19" xr3:uid="{00000000-0010-0000-0000-000013000000}" name="列8" dataDxfId="17" totalsRowDxfId="16" dataCellStyle="输入"/>
    <tableColumn id="11" xr3:uid="{00000000-0010-0000-0000-00000B000000}" name="列9" dataDxfId="15" totalsRowDxfId="14" dataCellStyle="输入"/>
    <tableColumn id="24" xr3:uid="{00000000-0010-0000-0000-000018000000}" name="列10" dataDxfId="13" totalsRowDxfId="12"/>
    <tableColumn id="23" xr3:uid="{00000000-0010-0000-0000-000017000000}" name="列11" dataDxfId="11" totalsRowDxfId="10"/>
    <tableColumn id="22" xr3:uid="{00000000-0010-0000-0000-000016000000}" name="列12" dataDxfId="9" totalsRowDxfId="8"/>
    <tableColumn id="12" xr3:uid="{00000000-0010-0000-0000-00000C000000}" name="列13" dataDxfId="7" totalsRowDxfId="6"/>
    <tableColumn id="13" xr3:uid="{00000000-0010-0000-0000-00000D000000}" name="列14" dataDxfId="5" totalsRowDxfId="4"/>
    <tableColumn id="14" xr3:uid="{00000000-0010-0000-0000-00000E000000}" name="列15" dataDxfId="3" totalsRowDxfId="2"/>
    <tableColumn id="15" xr3:uid="{00000000-0010-0000-0000-00000F000000}" name="列16" dataDxfId="1" totalsRow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61"/>
  <sheetViews>
    <sheetView tabSelected="1" workbookViewId="0">
      <selection activeCell="C47" sqref="C47"/>
    </sheetView>
  </sheetViews>
  <sheetFormatPr defaultRowHeight="13.9" x14ac:dyDescent="0.4"/>
  <cols>
    <col min="2" max="2" width="29.19921875" customWidth="1"/>
    <col min="3" max="11" width="20.6640625" style="6" customWidth="1"/>
    <col min="12" max="14" width="9.1328125" customWidth="1"/>
  </cols>
  <sheetData>
    <row r="1" spans="1:18" x14ac:dyDescent="0.4">
      <c r="B1" s="6" t="s">
        <v>32</v>
      </c>
      <c r="C1" s="6" t="s">
        <v>33</v>
      </c>
      <c r="D1" s="6" t="s">
        <v>89</v>
      </c>
      <c r="E1" s="6" t="s">
        <v>90</v>
      </c>
      <c r="F1" s="6" t="s">
        <v>91</v>
      </c>
      <c r="G1" s="6" t="s">
        <v>92</v>
      </c>
      <c r="H1" s="6" t="s">
        <v>93</v>
      </c>
      <c r="I1" s="6" t="s">
        <v>94</v>
      </c>
      <c r="J1" s="6" t="s">
        <v>95</v>
      </c>
      <c r="K1" s="6" t="s">
        <v>96</v>
      </c>
      <c r="L1" s="6" t="s">
        <v>30</v>
      </c>
      <c r="M1" s="6" t="s">
        <v>19</v>
      </c>
      <c r="N1" s="6" t="s">
        <v>20</v>
      </c>
      <c r="O1" s="6" t="s">
        <v>21</v>
      </c>
      <c r="P1" s="6" t="s">
        <v>22</v>
      </c>
      <c r="Q1" s="6" t="s">
        <v>23</v>
      </c>
      <c r="R1" s="6" t="s">
        <v>45</v>
      </c>
    </row>
    <row r="2" spans="1:18" x14ac:dyDescent="0.4">
      <c r="B2" s="1" t="s">
        <v>24</v>
      </c>
      <c r="C2" s="1" t="s">
        <v>87</v>
      </c>
      <c r="D2" s="18" t="s">
        <v>88</v>
      </c>
      <c r="E2" s="18" t="s">
        <v>88</v>
      </c>
      <c r="F2" s="18" t="s">
        <v>88</v>
      </c>
      <c r="G2" s="18" t="s">
        <v>88</v>
      </c>
      <c r="H2" s="18" t="s">
        <v>88</v>
      </c>
      <c r="I2" s="18" t="s">
        <v>88</v>
      </c>
      <c r="J2" s="18" t="s">
        <v>88</v>
      </c>
      <c r="K2" s="18" t="s">
        <v>88</v>
      </c>
      <c r="L2" s="17" t="s">
        <v>88</v>
      </c>
      <c r="M2" s="1"/>
      <c r="N2" s="1"/>
      <c r="O2" s="1"/>
      <c r="P2" s="1"/>
      <c r="Q2" s="1"/>
      <c r="R2" s="1"/>
    </row>
    <row r="3" spans="1:18" x14ac:dyDescent="0.4">
      <c r="A3" t="s">
        <v>16</v>
      </c>
      <c r="B3" s="1" t="s">
        <v>17</v>
      </c>
      <c r="C3" s="1" t="s">
        <v>26</v>
      </c>
      <c r="D3" s="18" t="s">
        <v>28</v>
      </c>
      <c r="E3" s="18" t="s">
        <v>27</v>
      </c>
      <c r="F3" s="18" t="s">
        <v>29</v>
      </c>
      <c r="G3" s="18" t="s">
        <v>97</v>
      </c>
      <c r="H3" s="18" t="s">
        <v>98</v>
      </c>
      <c r="I3" s="18" t="s">
        <v>99</v>
      </c>
      <c r="J3" s="18" t="s">
        <v>100</v>
      </c>
      <c r="K3" s="18" t="s">
        <v>101</v>
      </c>
      <c r="L3" s="10" t="s">
        <v>31</v>
      </c>
      <c r="M3" s="10" t="s">
        <v>34</v>
      </c>
      <c r="N3" s="10" t="s">
        <v>35</v>
      </c>
      <c r="O3" s="10" t="s">
        <v>36</v>
      </c>
      <c r="P3" s="10" t="s">
        <v>37</v>
      </c>
      <c r="Q3" s="10" t="s">
        <v>38</v>
      </c>
      <c r="R3" s="10" t="s">
        <v>46</v>
      </c>
    </row>
    <row r="4" spans="1:18" ht="13.5" customHeight="1" x14ac:dyDescent="0.4">
      <c r="A4" s="20" t="s">
        <v>18</v>
      </c>
      <c r="B4" s="7" t="s">
        <v>12</v>
      </c>
      <c r="C4" s="7">
        <v>27</v>
      </c>
      <c r="D4" s="19">
        <v>27.1</v>
      </c>
      <c r="E4" s="19">
        <v>27</v>
      </c>
      <c r="F4" s="19">
        <v>27</v>
      </c>
      <c r="G4" s="19">
        <v>26.9</v>
      </c>
      <c r="H4" s="19">
        <v>27</v>
      </c>
      <c r="I4" s="19">
        <v>27</v>
      </c>
      <c r="J4" s="19">
        <v>27</v>
      </c>
      <c r="K4" s="19">
        <v>27</v>
      </c>
      <c r="L4" s="7"/>
      <c r="M4" s="7"/>
      <c r="N4" s="7"/>
      <c r="O4" s="7"/>
      <c r="P4" s="7"/>
      <c r="Q4" s="7"/>
      <c r="R4" s="7"/>
    </row>
    <row r="5" spans="1:18" ht="13.5" customHeight="1" x14ac:dyDescent="0.4">
      <c r="A5" s="21"/>
      <c r="B5" s="7" t="s">
        <v>13</v>
      </c>
      <c r="C5" s="7">
        <v>19.5</v>
      </c>
      <c r="D5" s="19">
        <v>19.5</v>
      </c>
      <c r="E5" s="19">
        <v>19.5</v>
      </c>
      <c r="F5" s="19">
        <v>19.5</v>
      </c>
      <c r="G5" s="19">
        <v>19.5</v>
      </c>
      <c r="H5" s="19">
        <v>19.5</v>
      </c>
      <c r="I5" s="19">
        <v>19.5</v>
      </c>
      <c r="J5" s="19">
        <v>19.600000000000001</v>
      </c>
      <c r="K5" s="19">
        <v>19.5</v>
      </c>
      <c r="L5" s="7"/>
      <c r="M5" s="7"/>
      <c r="N5" s="7"/>
      <c r="O5" s="7"/>
      <c r="P5" s="7"/>
      <c r="Q5" s="7"/>
      <c r="R5" s="7"/>
    </row>
    <row r="6" spans="1:18" ht="13.5" customHeight="1" x14ac:dyDescent="0.4">
      <c r="A6" s="21"/>
      <c r="B6" s="7" t="s">
        <v>14</v>
      </c>
      <c r="C6" s="7">
        <v>30.3</v>
      </c>
      <c r="D6" s="19">
        <v>29.8</v>
      </c>
      <c r="E6" s="19">
        <v>29.8</v>
      </c>
      <c r="F6" s="19">
        <v>29.8</v>
      </c>
      <c r="G6" s="19">
        <v>30</v>
      </c>
      <c r="H6" s="19">
        <v>30.2</v>
      </c>
      <c r="I6" s="19">
        <v>30.2</v>
      </c>
      <c r="J6" s="19">
        <v>29.9</v>
      </c>
      <c r="K6" s="19">
        <v>29.8</v>
      </c>
      <c r="L6" s="7"/>
      <c r="M6" s="7"/>
      <c r="N6" s="7"/>
      <c r="O6" s="7"/>
      <c r="P6" s="7"/>
      <c r="Q6" s="7"/>
      <c r="R6" s="7"/>
    </row>
    <row r="7" spans="1:18" ht="13.5" customHeight="1" x14ac:dyDescent="0.4">
      <c r="A7" s="22"/>
      <c r="B7" s="7" t="s">
        <v>15</v>
      </c>
      <c r="C7" s="7">
        <v>22.4</v>
      </c>
      <c r="D7" s="19">
        <v>21.7</v>
      </c>
      <c r="E7" s="19">
        <v>21.7</v>
      </c>
      <c r="F7" s="19">
        <v>21.5</v>
      </c>
      <c r="G7" s="19">
        <v>22.6</v>
      </c>
      <c r="H7" s="19">
        <v>22.2</v>
      </c>
      <c r="I7" s="19">
        <v>22.2</v>
      </c>
      <c r="J7" s="19">
        <v>21.8</v>
      </c>
      <c r="K7" s="19">
        <v>21.8</v>
      </c>
      <c r="L7" s="7"/>
      <c r="M7" s="7"/>
      <c r="N7" s="7"/>
      <c r="O7" s="7"/>
      <c r="P7" s="7"/>
      <c r="Q7" s="7"/>
      <c r="R7" s="7"/>
    </row>
    <row r="8" spans="1:18" x14ac:dyDescent="0.4">
      <c r="A8" s="23" t="s">
        <v>39</v>
      </c>
      <c r="B8" s="3" t="s">
        <v>0</v>
      </c>
      <c r="C8" s="3">
        <v>-2.5</v>
      </c>
      <c r="D8" s="3">
        <v>25.92</v>
      </c>
      <c r="E8" s="3">
        <v>25.16</v>
      </c>
      <c r="F8" s="3">
        <v>26.6</v>
      </c>
      <c r="G8" s="3">
        <v>15.63</v>
      </c>
      <c r="H8" s="3">
        <v>17.96</v>
      </c>
      <c r="I8" s="3">
        <v>18.84</v>
      </c>
      <c r="J8" s="3">
        <v>-0.65</v>
      </c>
      <c r="K8" s="3">
        <v>0.65</v>
      </c>
      <c r="L8" s="3"/>
      <c r="M8" s="3"/>
      <c r="N8" s="3"/>
      <c r="O8" s="3"/>
      <c r="P8" s="3"/>
      <c r="Q8" s="3"/>
      <c r="R8" s="3"/>
    </row>
    <row r="9" spans="1:18" x14ac:dyDescent="0.4">
      <c r="A9" s="24"/>
      <c r="B9" s="3" t="s">
        <v>1</v>
      </c>
      <c r="C9" s="3">
        <v>111.99</v>
      </c>
      <c r="D9" s="3">
        <v>122.45</v>
      </c>
      <c r="E9" s="3">
        <v>124.45</v>
      </c>
      <c r="F9" s="3">
        <v>118.05</v>
      </c>
      <c r="G9" s="3">
        <v>101.38</v>
      </c>
      <c r="H9" s="3">
        <v>108.4</v>
      </c>
      <c r="I9" s="3">
        <v>114.62</v>
      </c>
      <c r="J9" s="3">
        <v>86.36</v>
      </c>
      <c r="K9" s="3">
        <v>95.09</v>
      </c>
      <c r="L9" s="3"/>
      <c r="M9" s="3"/>
      <c r="N9" s="3"/>
      <c r="O9" s="3"/>
      <c r="P9" s="3"/>
      <c r="Q9" s="3"/>
      <c r="R9" s="3"/>
    </row>
    <row r="10" spans="1:18" x14ac:dyDescent="0.4">
      <c r="A10" s="24"/>
      <c r="B10" s="3" t="s">
        <v>2</v>
      </c>
      <c r="C10" s="3">
        <v>109.13</v>
      </c>
      <c r="D10" s="3">
        <v>119.73</v>
      </c>
      <c r="E10" s="3">
        <v>119.74</v>
      </c>
      <c r="F10" s="3">
        <v>113.64</v>
      </c>
      <c r="G10" s="3">
        <v>98.43</v>
      </c>
      <c r="H10" s="3">
        <v>105.12</v>
      </c>
      <c r="I10" s="3">
        <v>110.61</v>
      </c>
      <c r="J10" s="3">
        <v>84.26</v>
      </c>
      <c r="K10" s="3">
        <v>92.58</v>
      </c>
      <c r="L10" s="3"/>
      <c r="M10" s="3"/>
      <c r="N10" s="3"/>
      <c r="O10" s="3"/>
      <c r="P10" s="3"/>
      <c r="Q10" s="3"/>
      <c r="R10" s="3"/>
    </row>
    <row r="11" spans="1:18" x14ac:dyDescent="0.4">
      <c r="A11" s="24"/>
      <c r="B11" s="3" t="s">
        <v>6</v>
      </c>
      <c r="C11" s="3">
        <v>32.880000000000003</v>
      </c>
      <c r="D11" s="3">
        <v>34.85</v>
      </c>
      <c r="E11" s="3">
        <v>34.299999999999997</v>
      </c>
      <c r="F11" s="3">
        <v>35.14</v>
      </c>
      <c r="G11" s="3">
        <v>35.58</v>
      </c>
      <c r="H11" s="3">
        <v>35.31</v>
      </c>
      <c r="I11" s="3">
        <v>34.79</v>
      </c>
      <c r="J11" s="3">
        <v>34.79</v>
      </c>
      <c r="K11" s="3">
        <v>33.840000000000003</v>
      </c>
      <c r="L11" s="3"/>
      <c r="M11" s="3"/>
      <c r="N11" s="3"/>
      <c r="O11" s="3"/>
      <c r="P11" s="3"/>
      <c r="Q11" s="3"/>
      <c r="R11" s="3"/>
    </row>
    <row r="12" spans="1:18" x14ac:dyDescent="0.4">
      <c r="A12" s="24"/>
      <c r="B12" s="3" t="s">
        <v>5</v>
      </c>
      <c r="C12" s="3">
        <v>32.6</v>
      </c>
      <c r="D12" s="3">
        <v>22.56</v>
      </c>
      <c r="E12" s="3">
        <v>221.07</v>
      </c>
      <c r="F12" s="3">
        <v>24.59</v>
      </c>
      <c r="G12" s="3">
        <v>19.920000000000002</v>
      </c>
      <c r="H12" s="3">
        <v>18.5</v>
      </c>
      <c r="I12" s="3">
        <v>16.89</v>
      </c>
      <c r="J12" s="3">
        <v>12.32</v>
      </c>
      <c r="K12" s="3">
        <v>10.66</v>
      </c>
      <c r="L12" s="3"/>
      <c r="M12" s="3"/>
      <c r="N12" s="3"/>
      <c r="O12" s="3"/>
      <c r="P12" s="3"/>
      <c r="Q12" s="3"/>
      <c r="R12" s="3"/>
    </row>
    <row r="13" spans="1:18" x14ac:dyDescent="0.4">
      <c r="A13" s="24"/>
      <c r="B13" s="4" t="s">
        <v>3</v>
      </c>
      <c r="C13" s="3">
        <v>32.08</v>
      </c>
      <c r="D13" s="3">
        <v>22.2</v>
      </c>
      <c r="E13" s="3">
        <v>20.97</v>
      </c>
      <c r="F13" s="3">
        <v>24.53</v>
      </c>
      <c r="G13" s="3">
        <v>19.78</v>
      </c>
      <c r="H13" s="3">
        <v>18.420000000000002</v>
      </c>
      <c r="I13" s="3">
        <v>16.72</v>
      </c>
      <c r="J13" s="3">
        <v>12.53</v>
      </c>
      <c r="K13" s="3">
        <v>10.94</v>
      </c>
      <c r="L13" s="3"/>
      <c r="M13" s="3"/>
      <c r="N13" s="3"/>
      <c r="O13" s="3"/>
      <c r="P13" s="3"/>
      <c r="Q13" s="3"/>
      <c r="R13" s="3"/>
    </row>
    <row r="14" spans="1:18" x14ac:dyDescent="0.4">
      <c r="A14" s="24"/>
      <c r="B14" s="4" t="s">
        <v>4</v>
      </c>
      <c r="C14" s="3">
        <v>5.12</v>
      </c>
      <c r="D14" s="3">
        <v>3.35</v>
      </c>
      <c r="E14" s="3">
        <v>2.89</v>
      </c>
      <c r="F14" s="3">
        <v>4.25</v>
      </c>
      <c r="G14" s="3">
        <v>5.05</v>
      </c>
      <c r="H14" s="3">
        <v>3.98</v>
      </c>
      <c r="I14" s="3">
        <v>3.15</v>
      </c>
      <c r="J14" s="3">
        <v>4.37</v>
      </c>
      <c r="K14" s="3">
        <v>3.24</v>
      </c>
      <c r="L14" s="3"/>
      <c r="M14" s="3"/>
      <c r="N14" s="3"/>
      <c r="O14" s="3"/>
      <c r="P14" s="3"/>
      <c r="Q14" s="3"/>
      <c r="R14" s="3"/>
    </row>
    <row r="15" spans="1:18" x14ac:dyDescent="0.4">
      <c r="A15" s="24"/>
      <c r="B15" s="4" t="s">
        <v>43</v>
      </c>
      <c r="C15" s="3">
        <v>4.8899999999999997</v>
      </c>
      <c r="D15" s="3">
        <v>3.22</v>
      </c>
      <c r="E15" s="3">
        <v>2.79</v>
      </c>
      <c r="F15" s="3">
        <v>4.1399999999999997</v>
      </c>
      <c r="G15" s="3">
        <v>5.0199999999999996</v>
      </c>
      <c r="H15" s="3">
        <v>4.01</v>
      </c>
      <c r="I15" s="3">
        <v>3.23</v>
      </c>
      <c r="J15" s="3">
        <v>4.51</v>
      </c>
      <c r="K15" s="3">
        <v>3.37</v>
      </c>
      <c r="L15" s="3"/>
      <c r="M15" s="3"/>
      <c r="N15" s="3"/>
      <c r="O15" s="3"/>
      <c r="P15" s="3"/>
      <c r="Q15" s="3"/>
      <c r="R15" s="3"/>
    </row>
    <row r="16" spans="1:18" x14ac:dyDescent="0.4">
      <c r="A16" s="24"/>
      <c r="B16" s="4" t="s">
        <v>25</v>
      </c>
      <c r="C16" s="3">
        <v>1.33</v>
      </c>
      <c r="D16" s="3">
        <v>0.83</v>
      </c>
      <c r="E16" s="3">
        <v>0.48</v>
      </c>
      <c r="F16" s="3">
        <v>1.63</v>
      </c>
      <c r="G16" s="3">
        <v>2.81</v>
      </c>
      <c r="H16" s="3">
        <v>1.85</v>
      </c>
      <c r="I16" s="3">
        <v>1.2</v>
      </c>
      <c r="J16" s="3">
        <v>2.54</v>
      </c>
      <c r="K16" s="3">
        <v>1.62</v>
      </c>
      <c r="L16" s="3"/>
      <c r="M16" s="3"/>
      <c r="N16" s="3"/>
      <c r="O16" s="3"/>
      <c r="P16" s="3"/>
      <c r="Q16" s="3"/>
      <c r="R16" s="3"/>
    </row>
    <row r="17" spans="1:18" x14ac:dyDescent="0.4">
      <c r="A17" s="24"/>
      <c r="B17" s="3" t="s">
        <v>7</v>
      </c>
      <c r="C17" s="3">
        <v>0.49</v>
      </c>
      <c r="D17" s="3">
        <v>0.27</v>
      </c>
      <c r="E17" s="3">
        <v>-0.1</v>
      </c>
      <c r="F17" s="3">
        <v>0.98</v>
      </c>
      <c r="G17" s="3">
        <v>2.02</v>
      </c>
      <c r="H17" s="3">
        <v>1.0900000000000001</v>
      </c>
      <c r="I17" s="3">
        <v>0.45</v>
      </c>
      <c r="J17" s="3">
        <v>1.65</v>
      </c>
      <c r="K17" s="3">
        <v>0.76</v>
      </c>
      <c r="L17" s="3"/>
      <c r="M17" s="3"/>
      <c r="N17" s="3"/>
      <c r="O17" s="3"/>
      <c r="P17" s="3"/>
      <c r="Q17" s="3"/>
      <c r="R17" s="3"/>
    </row>
    <row r="18" spans="1:18" x14ac:dyDescent="0.4">
      <c r="A18" s="24"/>
      <c r="B18" s="3" t="s">
        <v>8</v>
      </c>
      <c r="C18" s="3">
        <v>0</v>
      </c>
      <c r="D18" s="3">
        <v>-0.2</v>
      </c>
      <c r="E18" s="3">
        <v>-0.54</v>
      </c>
      <c r="F18" s="3">
        <v>0.61</v>
      </c>
      <c r="G18" s="3">
        <v>1.59</v>
      </c>
      <c r="H18" s="3">
        <v>0.74</v>
      </c>
      <c r="I18" s="3">
        <v>0.12</v>
      </c>
      <c r="J18" s="3">
        <v>1.24</v>
      </c>
      <c r="K18" s="3">
        <v>0.42</v>
      </c>
      <c r="L18" s="3"/>
      <c r="M18" s="3"/>
      <c r="N18" s="3"/>
      <c r="O18" s="3"/>
      <c r="P18" s="3"/>
      <c r="Q18" s="3"/>
      <c r="R18" s="3"/>
    </row>
    <row r="19" spans="1:18" x14ac:dyDescent="0.4">
      <c r="A19" s="24"/>
      <c r="B19" s="3" t="s">
        <v>9</v>
      </c>
      <c r="C19" s="3">
        <v>25.76</v>
      </c>
      <c r="D19" s="3">
        <v>-1.88</v>
      </c>
      <c r="E19" s="3">
        <v>-2.2000000000000002</v>
      </c>
      <c r="F19" s="3">
        <v>-1.0900000000000001</v>
      </c>
      <c r="G19" s="3">
        <v>-0.34</v>
      </c>
      <c r="H19" s="3">
        <v>-1.1399999999999999</v>
      </c>
      <c r="I19" s="3">
        <v>-1.67</v>
      </c>
      <c r="J19" s="3">
        <v>-0.86</v>
      </c>
      <c r="K19" s="3">
        <v>-1.59</v>
      </c>
      <c r="L19" s="3"/>
      <c r="M19" s="3"/>
      <c r="N19" s="3"/>
      <c r="O19" s="3"/>
      <c r="P19" s="3"/>
      <c r="Q19" s="3"/>
      <c r="R19" s="3"/>
    </row>
    <row r="20" spans="1:18" x14ac:dyDescent="0.4">
      <c r="A20" s="25"/>
      <c r="B20" s="3" t="s">
        <v>10</v>
      </c>
      <c r="C20" s="3">
        <v>30.55</v>
      </c>
      <c r="D20" s="3">
        <v>27.7</v>
      </c>
      <c r="E20" s="3">
        <v>27.08</v>
      </c>
      <c r="F20" s="3">
        <v>28.22</v>
      </c>
      <c r="G20" s="3">
        <v>18.739999999999998</v>
      </c>
      <c r="H20" s="3">
        <v>20.47</v>
      </c>
      <c r="I20" s="3">
        <v>21.31</v>
      </c>
      <c r="J20" s="3">
        <v>2.57</v>
      </c>
      <c r="K20" s="3">
        <v>4.33</v>
      </c>
      <c r="L20" s="3"/>
      <c r="M20" s="3"/>
      <c r="N20" s="3"/>
      <c r="O20" s="3"/>
      <c r="P20" s="3"/>
      <c r="Q20" s="3"/>
      <c r="R20" s="3"/>
    </row>
    <row r="21" spans="1:18" x14ac:dyDescent="0.4">
      <c r="A21" s="26" t="s">
        <v>40</v>
      </c>
      <c r="B21" s="2" t="s">
        <v>11</v>
      </c>
      <c r="C21" s="8">
        <v>3.25</v>
      </c>
      <c r="D21" s="8">
        <v>3.21</v>
      </c>
      <c r="E21" s="8">
        <v>3.18</v>
      </c>
      <c r="F21" s="8">
        <v>3.27</v>
      </c>
      <c r="G21" s="8">
        <v>3.37</v>
      </c>
      <c r="H21" s="8">
        <v>3.29</v>
      </c>
      <c r="I21" s="8">
        <v>3.25</v>
      </c>
      <c r="J21" s="8">
        <v>3.31</v>
      </c>
      <c r="K21" s="8">
        <v>3.26</v>
      </c>
      <c r="L21" s="8"/>
      <c r="M21" s="8"/>
      <c r="N21" s="8"/>
      <c r="O21" s="8"/>
      <c r="P21" s="8"/>
      <c r="Q21" s="8"/>
      <c r="R21" s="8"/>
    </row>
    <row r="22" spans="1:18" x14ac:dyDescent="0.4">
      <c r="A22" s="27"/>
      <c r="B22" s="2" t="s">
        <v>47</v>
      </c>
      <c r="C22" s="8">
        <v>11.48</v>
      </c>
      <c r="D22" s="8">
        <v>8.83</v>
      </c>
      <c r="E22" s="8">
        <v>8.9499999999999993</v>
      </c>
      <c r="F22" s="8">
        <v>8.6</v>
      </c>
      <c r="G22" s="8">
        <v>8.68</v>
      </c>
      <c r="H22" s="8">
        <v>8.82</v>
      </c>
      <c r="I22" s="8">
        <v>9.02</v>
      </c>
      <c r="J22" s="8">
        <v>9.2100000000000009</v>
      </c>
      <c r="K22" s="8">
        <v>9.58</v>
      </c>
      <c r="L22" s="8"/>
      <c r="M22" s="8"/>
      <c r="N22" s="8"/>
      <c r="O22" s="8"/>
      <c r="P22" s="8"/>
      <c r="Q22" s="8"/>
      <c r="R22" s="8"/>
    </row>
    <row r="23" spans="1:18" x14ac:dyDescent="0.4">
      <c r="A23" s="27"/>
      <c r="B23" s="2" t="s">
        <v>48</v>
      </c>
      <c r="C23" s="8">
        <v>11.276</v>
      </c>
      <c r="D23" s="8">
        <v>8.58</v>
      </c>
      <c r="E23" s="8">
        <v>8.7100000000000009</v>
      </c>
      <c r="F23" s="8">
        <v>8.27</v>
      </c>
      <c r="G23" s="8">
        <v>8.3290000000000006</v>
      </c>
      <c r="H23" s="8">
        <v>8.5150000000000006</v>
      </c>
      <c r="I23" s="8">
        <v>8.8640000000000008</v>
      </c>
      <c r="J23" s="8">
        <v>8.8469999999999995</v>
      </c>
      <c r="K23" s="8">
        <v>9.2899999999999991</v>
      </c>
      <c r="L23" s="8"/>
      <c r="M23" s="8"/>
      <c r="N23" s="8"/>
      <c r="O23" s="8"/>
      <c r="P23" s="8"/>
      <c r="Q23" s="8"/>
      <c r="R23" s="8"/>
    </row>
    <row r="24" spans="1:18" x14ac:dyDescent="0.4">
      <c r="A24" s="27"/>
      <c r="B24" s="2" t="s">
        <v>49</v>
      </c>
      <c r="C24" s="8">
        <v>3.9340000000000002</v>
      </c>
      <c r="D24" s="8">
        <v>3.8029999999999999</v>
      </c>
      <c r="E24" s="8">
        <v>3.7650000000000001</v>
      </c>
      <c r="F24" s="8">
        <v>3.8769999999999998</v>
      </c>
      <c r="G24" s="8">
        <v>3.98</v>
      </c>
      <c r="H24" s="8">
        <v>3.879</v>
      </c>
      <c r="I24" s="8">
        <v>3.7930000000000001</v>
      </c>
      <c r="J24" s="8">
        <v>3.9529999999999998</v>
      </c>
      <c r="K24" s="8">
        <v>3.847</v>
      </c>
      <c r="L24" s="8"/>
      <c r="M24" s="8"/>
      <c r="N24" s="8"/>
      <c r="O24" s="8"/>
      <c r="P24" s="8"/>
      <c r="Q24" s="8"/>
      <c r="R24" s="8"/>
    </row>
    <row r="25" spans="1:18" x14ac:dyDescent="0.4">
      <c r="A25" s="27"/>
      <c r="B25" s="2" t="s">
        <v>84</v>
      </c>
      <c r="C25" s="8">
        <v>3.5590000000000002</v>
      </c>
      <c r="D25" s="8">
        <v>3.5270000000000001</v>
      </c>
      <c r="E25" s="8">
        <v>3.4940000000000002</v>
      </c>
      <c r="F25" s="8">
        <v>3.6030000000000002</v>
      </c>
      <c r="G25" s="8">
        <v>3.7109999999999999</v>
      </c>
      <c r="H25" s="8">
        <v>3.613</v>
      </c>
      <c r="I25" s="8">
        <v>3.5670000000000002</v>
      </c>
      <c r="J25" s="8">
        <v>3.6869999999999998</v>
      </c>
      <c r="K25" s="8">
        <v>3.605</v>
      </c>
      <c r="L25" s="8"/>
      <c r="M25" s="8"/>
      <c r="N25" s="8"/>
      <c r="O25" s="8"/>
      <c r="P25" s="8"/>
      <c r="Q25" s="8"/>
      <c r="R25" s="8"/>
    </row>
    <row r="26" spans="1:18" s="8" customFormat="1" x14ac:dyDescent="0.4">
      <c r="A26" s="28" t="s">
        <v>44</v>
      </c>
      <c r="B26" s="11" t="s">
        <v>50</v>
      </c>
      <c r="C26" s="11">
        <v>345</v>
      </c>
      <c r="D26" s="11">
        <v>345</v>
      </c>
      <c r="E26" s="11">
        <v>345</v>
      </c>
      <c r="F26" s="11">
        <v>345</v>
      </c>
      <c r="G26" s="11">
        <v>345</v>
      </c>
      <c r="H26" s="11">
        <v>345</v>
      </c>
      <c r="I26" s="11">
        <v>345</v>
      </c>
      <c r="J26" s="11">
        <v>345</v>
      </c>
      <c r="K26" s="11">
        <v>345</v>
      </c>
      <c r="L26" s="11"/>
      <c r="M26" s="11"/>
      <c r="N26" s="11"/>
      <c r="O26" s="11"/>
      <c r="P26" s="11"/>
      <c r="Q26" s="11"/>
      <c r="R26" s="11"/>
    </row>
    <row r="27" spans="1:18" x14ac:dyDescent="0.4">
      <c r="A27" s="28"/>
      <c r="B27" s="11" t="s">
        <v>51</v>
      </c>
      <c r="C27" s="11">
        <v>9.6</v>
      </c>
      <c r="D27" s="11">
        <v>7.3</v>
      </c>
      <c r="E27" s="11">
        <v>7.4</v>
      </c>
      <c r="F27" s="11">
        <v>7.1</v>
      </c>
      <c r="G27" s="11">
        <v>7.2</v>
      </c>
      <c r="H27" s="11">
        <v>7.3</v>
      </c>
      <c r="I27" s="11">
        <v>7.5</v>
      </c>
      <c r="J27" s="11">
        <v>7.7</v>
      </c>
      <c r="K27" s="11">
        <v>8</v>
      </c>
      <c r="L27" s="11"/>
      <c r="M27" s="11"/>
      <c r="N27" s="11"/>
      <c r="O27" s="11"/>
      <c r="P27" s="11"/>
      <c r="Q27" s="11"/>
      <c r="R27" s="11"/>
    </row>
    <row r="28" spans="1:18" x14ac:dyDescent="0.4">
      <c r="A28" s="28"/>
      <c r="B28" s="13" t="s">
        <v>41</v>
      </c>
      <c r="C28" s="11">
        <v>800</v>
      </c>
      <c r="D28" s="11">
        <v>900</v>
      </c>
      <c r="E28" s="11">
        <v>900</v>
      </c>
      <c r="F28" s="11">
        <v>900</v>
      </c>
      <c r="G28" s="11">
        <v>1000</v>
      </c>
      <c r="H28" s="11">
        <v>1000</v>
      </c>
      <c r="I28" s="11">
        <v>1000</v>
      </c>
      <c r="J28" s="11">
        <v>1100</v>
      </c>
      <c r="K28" s="11">
        <v>1100</v>
      </c>
      <c r="L28" s="11"/>
      <c r="M28" s="11"/>
      <c r="N28" s="11"/>
      <c r="O28" s="11"/>
      <c r="P28" s="11"/>
      <c r="Q28" s="11"/>
      <c r="R28" s="11"/>
    </row>
    <row r="29" spans="1:18" s="5" customFormat="1" x14ac:dyDescent="0.4">
      <c r="A29" s="28"/>
      <c r="B29" s="11" t="s">
        <v>52</v>
      </c>
      <c r="C29" s="11">
        <v>5000</v>
      </c>
      <c r="D29" s="11">
        <v>5000</v>
      </c>
      <c r="E29" s="11">
        <v>5000</v>
      </c>
      <c r="F29" s="11">
        <v>5000</v>
      </c>
      <c r="G29" s="11">
        <v>5000</v>
      </c>
      <c r="H29" s="11">
        <v>5000</v>
      </c>
      <c r="I29" s="11">
        <v>5000</v>
      </c>
      <c r="J29" s="11">
        <v>5000</v>
      </c>
      <c r="K29" s="11">
        <v>5000</v>
      </c>
      <c r="L29" s="11"/>
      <c r="M29" s="11"/>
      <c r="N29" s="11"/>
      <c r="O29" s="11"/>
      <c r="P29" s="11"/>
      <c r="Q29" s="11"/>
      <c r="R29" s="11"/>
    </row>
    <row r="30" spans="1:18" x14ac:dyDescent="0.4">
      <c r="A30" s="28"/>
      <c r="B30" s="11" t="s">
        <v>53</v>
      </c>
      <c r="C30" s="11">
        <v>271</v>
      </c>
      <c r="D30" s="11">
        <v>271</v>
      </c>
      <c r="E30" s="11">
        <v>268</v>
      </c>
      <c r="F30" s="11">
        <v>278</v>
      </c>
      <c r="G30" s="11">
        <v>278</v>
      </c>
      <c r="H30" s="11">
        <v>273</v>
      </c>
      <c r="I30" s="11">
        <v>269</v>
      </c>
      <c r="J30" s="11">
        <v>276</v>
      </c>
      <c r="K30" s="11">
        <v>270</v>
      </c>
      <c r="L30" s="11"/>
      <c r="M30" s="11"/>
      <c r="N30" s="11"/>
      <c r="O30" s="11"/>
      <c r="P30" s="11"/>
      <c r="Q30" s="11"/>
      <c r="R30" s="11"/>
    </row>
    <row r="31" spans="1:18" ht="16.149999999999999" x14ac:dyDescent="0.4">
      <c r="A31" s="28"/>
      <c r="B31" s="11" t="s">
        <v>54</v>
      </c>
      <c r="C31" s="11">
        <v>126.8</v>
      </c>
      <c r="D31" s="11">
        <v>113.5</v>
      </c>
      <c r="E31" s="11">
        <v>112</v>
      </c>
      <c r="F31" s="11">
        <v>118.3</v>
      </c>
      <c r="G31" s="11">
        <v>133.6</v>
      </c>
      <c r="H31" s="11">
        <v>126.5</v>
      </c>
      <c r="I31" s="11">
        <v>120.1</v>
      </c>
      <c r="J31" s="11">
        <v>148.19999999999999</v>
      </c>
      <c r="K31" s="11">
        <v>137.19999999999999</v>
      </c>
      <c r="L31" s="11"/>
      <c r="M31" s="11"/>
      <c r="N31" s="11"/>
      <c r="O31" s="11"/>
      <c r="P31" s="11"/>
      <c r="Q31" s="11"/>
      <c r="R31" s="11"/>
    </row>
    <row r="32" spans="1:18" ht="16.149999999999999" x14ac:dyDescent="0.4">
      <c r="A32" s="28"/>
      <c r="B32" s="11" t="s">
        <v>55</v>
      </c>
      <c r="C32" s="11">
        <v>478.553</v>
      </c>
      <c r="D32" s="11">
        <v>478.36900000000003</v>
      </c>
      <c r="E32" s="11">
        <v>478.31299999999999</v>
      </c>
      <c r="F32" s="11">
        <v>479.02</v>
      </c>
      <c r="G32" s="11">
        <v>480.71199999999999</v>
      </c>
      <c r="H32" s="11">
        <v>480.53500000000003</v>
      </c>
      <c r="I32" s="11">
        <v>478.93099999999998</v>
      </c>
      <c r="J32" s="11">
        <v>480.529</v>
      </c>
      <c r="K32" s="11">
        <v>478.97300000000001</v>
      </c>
      <c r="L32" s="11"/>
      <c r="M32" s="11"/>
      <c r="N32" s="11"/>
      <c r="O32" s="11"/>
      <c r="P32" s="11"/>
      <c r="Q32" s="11"/>
      <c r="R32" s="11"/>
    </row>
    <row r="33" spans="1:18" x14ac:dyDescent="0.4">
      <c r="A33" s="28"/>
      <c r="B33" s="11" t="s">
        <v>56</v>
      </c>
      <c r="C33" s="11">
        <v>4480.09</v>
      </c>
      <c r="D33" s="11">
        <v>4482.1400000000003</v>
      </c>
      <c r="E33" s="11">
        <v>4481.88</v>
      </c>
      <c r="F33" s="11">
        <v>4472.29</v>
      </c>
      <c r="G33" s="11">
        <v>4493.16</v>
      </c>
      <c r="H33" s="11">
        <v>4488.32</v>
      </c>
      <c r="I33" s="11">
        <v>4494.8900000000003</v>
      </c>
      <c r="J33" s="11">
        <v>4487.79</v>
      </c>
      <c r="K33" s="11">
        <v>4492.45</v>
      </c>
      <c r="L33" s="11"/>
      <c r="M33" s="11"/>
      <c r="N33" s="11"/>
      <c r="O33" s="11"/>
      <c r="P33" s="11"/>
      <c r="Q33" s="11"/>
      <c r="R33" s="11"/>
    </row>
    <row r="34" spans="1:18" x14ac:dyDescent="0.4">
      <c r="A34" s="28"/>
      <c r="B34" s="11" t="s">
        <v>57</v>
      </c>
      <c r="C34" s="11">
        <v>4748.78</v>
      </c>
      <c r="D34" s="11">
        <v>4861</v>
      </c>
      <c r="E34" s="11">
        <v>4880</v>
      </c>
      <c r="F34" s="11">
        <v>4693.3900000000003</v>
      </c>
      <c r="G34" s="11">
        <v>4571.2299999999996</v>
      </c>
      <c r="H34" s="11">
        <v>4660.4799999999996</v>
      </c>
      <c r="I34" s="11">
        <v>4746.9399999999996</v>
      </c>
      <c r="J34" s="11">
        <v>4764.2700000000004</v>
      </c>
      <c r="K34" s="11">
        <v>4782.08</v>
      </c>
      <c r="L34" s="11"/>
      <c r="M34" s="11"/>
      <c r="N34" s="11"/>
      <c r="O34" s="11"/>
      <c r="P34" s="11"/>
      <c r="Q34" s="11"/>
      <c r="R34" s="11"/>
    </row>
    <row r="35" spans="1:18" x14ac:dyDescent="0.4">
      <c r="A35" s="28"/>
      <c r="B35" s="11" t="s">
        <v>58</v>
      </c>
      <c r="C35" s="11">
        <f t="shared" ref="C35:K35" si="0">C26*C27</f>
        <v>3312</v>
      </c>
      <c r="D35" s="11">
        <f t="shared" si="0"/>
        <v>2518.5</v>
      </c>
      <c r="E35" s="11">
        <f t="shared" si="0"/>
        <v>2553</v>
      </c>
      <c r="F35" s="11">
        <f t="shared" si="0"/>
        <v>2449.5</v>
      </c>
      <c r="G35" s="11">
        <f t="shared" si="0"/>
        <v>2484</v>
      </c>
      <c r="H35" s="11">
        <f t="shared" si="0"/>
        <v>2518.5</v>
      </c>
      <c r="I35" s="11">
        <f t="shared" si="0"/>
        <v>2587.5</v>
      </c>
      <c r="J35" s="11">
        <f t="shared" si="0"/>
        <v>2656.5</v>
      </c>
      <c r="K35" s="11">
        <f t="shared" si="0"/>
        <v>2760</v>
      </c>
      <c r="L35" s="11"/>
      <c r="M35" s="11"/>
      <c r="N35" s="11"/>
      <c r="O35" s="11"/>
      <c r="P35" s="11"/>
      <c r="Q35" s="11"/>
      <c r="R35" s="11"/>
    </row>
    <row r="36" spans="1:18" x14ac:dyDescent="0.4">
      <c r="A36" s="28"/>
      <c r="B36" s="13" t="s">
        <v>59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</row>
    <row r="37" spans="1:18" x14ac:dyDescent="0.4">
      <c r="A37" s="28"/>
      <c r="B37" s="11" t="s">
        <v>60</v>
      </c>
      <c r="C37" s="11">
        <f t="shared" ref="C37:K37" si="1">C34/C35</f>
        <v>1.43381038647343</v>
      </c>
      <c r="D37" s="11">
        <f t="shared" si="1"/>
        <v>1.9301171332142149</v>
      </c>
      <c r="E37" s="11">
        <f t="shared" si="1"/>
        <v>1.9114766940853898</v>
      </c>
      <c r="F37" s="11">
        <f t="shared" si="1"/>
        <v>1.9160604204939784</v>
      </c>
      <c r="G37" s="11">
        <f t="shared" si="1"/>
        <v>1.840269726247987</v>
      </c>
      <c r="H37" s="11">
        <f t="shared" si="1"/>
        <v>1.8504983124875916</v>
      </c>
      <c r="I37" s="11">
        <f t="shared" si="1"/>
        <v>1.834566183574879</v>
      </c>
      <c r="J37" s="11">
        <f t="shared" si="1"/>
        <v>1.7934387351778658</v>
      </c>
      <c r="K37" s="11">
        <f t="shared" si="1"/>
        <v>1.7326376811594202</v>
      </c>
      <c r="L37" s="11"/>
      <c r="M37" s="11"/>
      <c r="N37" s="11"/>
      <c r="O37" s="11"/>
      <c r="P37" s="11"/>
      <c r="Q37" s="11"/>
      <c r="R37" s="11"/>
    </row>
    <row r="38" spans="1:18" x14ac:dyDescent="0.4">
      <c r="A38" s="28"/>
      <c r="B38" s="11" t="s">
        <v>42</v>
      </c>
      <c r="C38" s="11">
        <v>8.6</v>
      </c>
      <c r="D38" s="11">
        <v>8.42</v>
      </c>
      <c r="E38" s="11">
        <v>8.3000000000000007</v>
      </c>
      <c r="F38" s="11">
        <v>8.93</v>
      </c>
      <c r="G38" s="11">
        <v>9.2799999999999994</v>
      </c>
      <c r="H38" s="11">
        <v>8.84</v>
      </c>
      <c r="I38" s="11">
        <v>8.4499999999999993</v>
      </c>
      <c r="J38" s="11">
        <v>8.9</v>
      </c>
      <c r="K38" s="11">
        <v>8.5299999999999994</v>
      </c>
      <c r="L38" s="11"/>
      <c r="M38" s="11"/>
      <c r="N38" s="11"/>
      <c r="O38" s="11"/>
      <c r="P38" s="11"/>
      <c r="Q38" s="11"/>
      <c r="R38" s="11"/>
    </row>
    <row r="39" spans="1:18" x14ac:dyDescent="0.4">
      <c r="A39" s="28"/>
      <c r="B39" s="11" t="s">
        <v>61</v>
      </c>
      <c r="C39" s="11">
        <v>8.52</v>
      </c>
      <c r="D39" s="11">
        <v>8.19</v>
      </c>
      <c r="E39" s="11">
        <v>8.14</v>
      </c>
      <c r="F39" s="11">
        <v>8.66</v>
      </c>
      <c r="G39" s="11">
        <v>9.0399999999999991</v>
      </c>
      <c r="H39" s="11">
        <v>8.77</v>
      </c>
      <c r="I39" s="11">
        <v>8.51</v>
      </c>
      <c r="J39" s="11">
        <v>8.66</v>
      </c>
      <c r="K39" s="11">
        <v>8.42</v>
      </c>
      <c r="L39" s="11"/>
      <c r="M39" s="11"/>
      <c r="N39" s="11"/>
      <c r="O39" s="11"/>
      <c r="P39" s="11"/>
      <c r="Q39" s="11"/>
      <c r="R39" s="11"/>
    </row>
    <row r="40" spans="1:18" x14ac:dyDescent="0.4">
      <c r="A40" s="28"/>
      <c r="B40" s="11" t="s">
        <v>62</v>
      </c>
      <c r="C40" s="11">
        <v>37.54</v>
      </c>
      <c r="D40" s="11">
        <v>36.6</v>
      </c>
      <c r="E40" s="11">
        <v>36.619999999999997</v>
      </c>
      <c r="F40" s="11">
        <v>36.4</v>
      </c>
      <c r="G40" s="11">
        <v>36.56</v>
      </c>
      <c r="H40" s="11">
        <v>36.770000000000003</v>
      </c>
      <c r="I40" s="11">
        <v>36.94</v>
      </c>
      <c r="J40" s="11">
        <v>36.630000000000003</v>
      </c>
      <c r="K40" s="11">
        <v>36.76</v>
      </c>
      <c r="L40" s="11"/>
      <c r="M40" s="11"/>
      <c r="N40" s="11"/>
      <c r="O40" s="11"/>
      <c r="P40" s="11"/>
      <c r="Q40" s="11"/>
      <c r="R40" s="11"/>
    </row>
    <row r="41" spans="1:18" x14ac:dyDescent="0.4">
      <c r="A41" s="28"/>
      <c r="B41" s="11" t="s">
        <v>63</v>
      </c>
      <c r="C41" s="11">
        <v>25.7</v>
      </c>
      <c r="D41" s="11">
        <v>24.99</v>
      </c>
      <c r="E41" s="11">
        <v>25</v>
      </c>
      <c r="F41" s="11">
        <v>24.79</v>
      </c>
      <c r="G41" s="11">
        <v>25.61</v>
      </c>
      <c r="H41" s="11">
        <v>25.26</v>
      </c>
      <c r="I41" s="11">
        <v>25.26</v>
      </c>
      <c r="J41" s="11">
        <v>24.94</v>
      </c>
      <c r="K41" s="11">
        <v>24.95</v>
      </c>
      <c r="L41" s="11"/>
      <c r="M41" s="11"/>
      <c r="N41" s="11"/>
      <c r="O41" s="11"/>
      <c r="P41" s="11"/>
      <c r="Q41" s="11"/>
      <c r="R41" s="11"/>
    </row>
    <row r="42" spans="1:18" x14ac:dyDescent="0.4">
      <c r="C42"/>
      <c r="D42"/>
      <c r="E42"/>
      <c r="F42"/>
      <c r="G42"/>
      <c r="H42"/>
      <c r="I42"/>
      <c r="J42"/>
      <c r="K42"/>
    </row>
    <row r="43" spans="1:18" x14ac:dyDescent="0.4">
      <c r="C43"/>
      <c r="D43"/>
      <c r="E43"/>
      <c r="F43"/>
      <c r="G43"/>
      <c r="H43"/>
      <c r="I43"/>
      <c r="J43"/>
      <c r="K43"/>
    </row>
    <row r="44" spans="1:18" x14ac:dyDescent="0.4">
      <c r="C44"/>
      <c r="D44"/>
      <c r="E44"/>
      <c r="F44"/>
      <c r="G44"/>
      <c r="H44"/>
      <c r="I44"/>
      <c r="J44"/>
      <c r="K44"/>
    </row>
    <row r="45" spans="1:18" x14ac:dyDescent="0.4">
      <c r="C45"/>
      <c r="D45"/>
      <c r="E45"/>
      <c r="F45"/>
      <c r="G45"/>
      <c r="H45"/>
      <c r="I45"/>
      <c r="J45"/>
      <c r="K45"/>
    </row>
    <row r="46" spans="1:18" x14ac:dyDescent="0.4">
      <c r="C46"/>
      <c r="D46"/>
      <c r="E46"/>
      <c r="F46"/>
      <c r="G46"/>
      <c r="H46"/>
      <c r="I46"/>
      <c r="J46"/>
      <c r="K46"/>
    </row>
    <row r="47" spans="1:18" x14ac:dyDescent="0.4">
      <c r="C47"/>
      <c r="D47"/>
      <c r="E47"/>
      <c r="F47"/>
      <c r="G47"/>
      <c r="H47"/>
      <c r="I47"/>
      <c r="J47"/>
      <c r="K47"/>
    </row>
    <row r="48" spans="1:18" x14ac:dyDescent="0.4">
      <c r="C48"/>
      <c r="D48"/>
      <c r="E48"/>
      <c r="F48"/>
      <c r="G48"/>
      <c r="H48"/>
      <c r="I48"/>
      <c r="J48"/>
      <c r="K48"/>
    </row>
    <row r="49" spans="3:11" x14ac:dyDescent="0.4">
      <c r="C49"/>
      <c r="D49"/>
      <c r="E49"/>
      <c r="F49"/>
      <c r="G49"/>
      <c r="H49"/>
      <c r="I49"/>
      <c r="J49"/>
      <c r="K49"/>
    </row>
    <row r="50" spans="3:11" x14ac:dyDescent="0.4">
      <c r="C50"/>
      <c r="D50"/>
      <c r="E50"/>
      <c r="F50"/>
      <c r="G50"/>
      <c r="H50"/>
      <c r="I50"/>
      <c r="J50"/>
      <c r="K50"/>
    </row>
    <row r="51" spans="3:11" x14ac:dyDescent="0.4">
      <c r="C51"/>
      <c r="D51"/>
      <c r="E51"/>
      <c r="F51"/>
      <c r="G51"/>
      <c r="H51"/>
      <c r="I51"/>
      <c r="J51"/>
      <c r="K51"/>
    </row>
    <row r="52" spans="3:11" x14ac:dyDescent="0.4">
      <c r="C52"/>
      <c r="D52"/>
      <c r="E52"/>
      <c r="F52"/>
      <c r="G52"/>
      <c r="H52"/>
      <c r="I52"/>
      <c r="J52"/>
      <c r="K52"/>
    </row>
    <row r="53" spans="3:11" x14ac:dyDescent="0.4">
      <c r="C53"/>
      <c r="D53"/>
      <c r="E53"/>
      <c r="F53"/>
      <c r="G53"/>
      <c r="H53"/>
      <c r="I53"/>
      <c r="J53"/>
      <c r="K53"/>
    </row>
    <row r="54" spans="3:11" x14ac:dyDescent="0.4">
      <c r="C54"/>
      <c r="D54"/>
      <c r="E54"/>
      <c r="F54"/>
      <c r="G54"/>
      <c r="H54"/>
      <c r="I54"/>
      <c r="J54"/>
      <c r="K54"/>
    </row>
    <row r="55" spans="3:11" x14ac:dyDescent="0.4">
      <c r="C55"/>
      <c r="D55"/>
      <c r="E55"/>
      <c r="F55"/>
      <c r="G55"/>
      <c r="H55"/>
      <c r="I55"/>
      <c r="J55"/>
      <c r="K55"/>
    </row>
    <row r="56" spans="3:11" x14ac:dyDescent="0.4">
      <c r="C56"/>
      <c r="D56"/>
      <c r="E56"/>
      <c r="F56"/>
      <c r="G56"/>
      <c r="H56"/>
      <c r="I56"/>
      <c r="J56"/>
      <c r="K56"/>
    </row>
    <row r="57" spans="3:11" x14ac:dyDescent="0.4">
      <c r="C57"/>
      <c r="D57"/>
      <c r="E57"/>
      <c r="F57"/>
      <c r="G57"/>
      <c r="H57"/>
      <c r="I57"/>
      <c r="J57"/>
      <c r="K57"/>
    </row>
    <row r="58" spans="3:11" x14ac:dyDescent="0.4">
      <c r="C58"/>
      <c r="D58"/>
      <c r="E58"/>
      <c r="F58"/>
      <c r="G58"/>
      <c r="H58"/>
      <c r="I58"/>
      <c r="J58"/>
      <c r="K58"/>
    </row>
    <row r="59" spans="3:11" x14ac:dyDescent="0.4">
      <c r="C59"/>
      <c r="D59"/>
      <c r="E59"/>
      <c r="F59"/>
      <c r="G59"/>
      <c r="H59"/>
      <c r="I59"/>
      <c r="J59"/>
      <c r="K59"/>
    </row>
    <row r="60" spans="3:11" x14ac:dyDescent="0.4">
      <c r="C60"/>
      <c r="D60"/>
      <c r="E60"/>
      <c r="F60"/>
      <c r="G60"/>
      <c r="H60"/>
      <c r="I60"/>
      <c r="J60"/>
      <c r="K60"/>
    </row>
    <row r="61" spans="3:11" x14ac:dyDescent="0.4">
      <c r="C61"/>
      <c r="D61"/>
      <c r="E61"/>
      <c r="F61"/>
      <c r="G61"/>
      <c r="H61"/>
      <c r="I61"/>
      <c r="J61"/>
      <c r="K61"/>
    </row>
    <row r="62" spans="3:11" x14ac:dyDescent="0.4">
      <c r="C62"/>
      <c r="D62"/>
      <c r="E62"/>
      <c r="F62"/>
      <c r="G62"/>
      <c r="H62"/>
      <c r="I62"/>
      <c r="J62"/>
      <c r="K62"/>
    </row>
    <row r="63" spans="3:11" x14ac:dyDescent="0.4">
      <c r="C63"/>
      <c r="D63"/>
      <c r="E63"/>
      <c r="F63"/>
      <c r="G63"/>
      <c r="H63"/>
      <c r="I63"/>
      <c r="J63"/>
      <c r="K63"/>
    </row>
    <row r="64" spans="3:11" x14ac:dyDescent="0.4">
      <c r="C64"/>
      <c r="D64"/>
      <c r="E64"/>
      <c r="F64"/>
      <c r="G64"/>
      <c r="H64"/>
      <c r="I64"/>
      <c r="J64"/>
      <c r="K64"/>
    </row>
    <row r="65" spans="3:11" x14ac:dyDescent="0.4">
      <c r="C65"/>
      <c r="D65"/>
      <c r="E65"/>
      <c r="F65"/>
      <c r="G65"/>
      <c r="H65"/>
      <c r="I65"/>
      <c r="J65"/>
      <c r="K65"/>
    </row>
    <row r="66" spans="3:11" x14ac:dyDescent="0.4">
      <c r="C66"/>
      <c r="D66"/>
      <c r="E66"/>
      <c r="F66"/>
      <c r="G66"/>
      <c r="H66"/>
      <c r="I66"/>
      <c r="J66"/>
      <c r="K66"/>
    </row>
    <row r="67" spans="3:11" x14ac:dyDescent="0.4">
      <c r="C67"/>
      <c r="D67"/>
      <c r="E67"/>
      <c r="F67"/>
      <c r="G67"/>
      <c r="H67"/>
      <c r="I67"/>
      <c r="J67"/>
      <c r="K67"/>
    </row>
    <row r="68" spans="3:11" x14ac:dyDescent="0.4">
      <c r="C68"/>
      <c r="D68"/>
      <c r="E68"/>
      <c r="F68"/>
      <c r="G68"/>
      <c r="H68"/>
      <c r="I68"/>
      <c r="J68"/>
      <c r="K68"/>
    </row>
    <row r="69" spans="3:11" x14ac:dyDescent="0.4">
      <c r="C69"/>
      <c r="D69"/>
      <c r="E69"/>
      <c r="F69"/>
      <c r="G69"/>
      <c r="H69"/>
      <c r="I69"/>
      <c r="J69"/>
      <c r="K69"/>
    </row>
    <row r="70" spans="3:11" x14ac:dyDescent="0.4">
      <c r="C70"/>
      <c r="D70"/>
      <c r="E70"/>
      <c r="F70"/>
      <c r="G70"/>
      <c r="H70"/>
      <c r="I70"/>
      <c r="J70"/>
      <c r="K70"/>
    </row>
    <row r="71" spans="3:11" x14ac:dyDescent="0.4">
      <c r="C71"/>
      <c r="D71"/>
      <c r="E71"/>
      <c r="F71"/>
      <c r="G71"/>
      <c r="H71"/>
      <c r="I71"/>
      <c r="J71"/>
      <c r="K71"/>
    </row>
    <row r="72" spans="3:11" x14ac:dyDescent="0.4">
      <c r="C72"/>
      <c r="D72"/>
      <c r="E72"/>
      <c r="F72"/>
      <c r="G72"/>
      <c r="H72"/>
      <c r="I72"/>
      <c r="J72"/>
      <c r="K72"/>
    </row>
    <row r="73" spans="3:11" x14ac:dyDescent="0.4">
      <c r="C73"/>
      <c r="D73"/>
      <c r="E73"/>
      <c r="F73"/>
      <c r="G73"/>
      <c r="H73"/>
      <c r="I73"/>
      <c r="J73"/>
      <c r="K73"/>
    </row>
    <row r="74" spans="3:11" x14ac:dyDescent="0.4">
      <c r="C74"/>
      <c r="D74"/>
      <c r="E74"/>
      <c r="F74"/>
      <c r="G74"/>
      <c r="H74"/>
      <c r="I74"/>
      <c r="J74"/>
      <c r="K74"/>
    </row>
    <row r="75" spans="3:11" x14ac:dyDescent="0.4">
      <c r="C75"/>
      <c r="D75"/>
      <c r="E75"/>
      <c r="F75"/>
      <c r="G75"/>
      <c r="H75"/>
      <c r="I75"/>
      <c r="J75"/>
      <c r="K75"/>
    </row>
    <row r="76" spans="3:11" x14ac:dyDescent="0.4">
      <c r="C76"/>
      <c r="D76"/>
      <c r="E76"/>
      <c r="F76"/>
      <c r="G76"/>
      <c r="H76"/>
      <c r="I76"/>
      <c r="J76"/>
      <c r="K76"/>
    </row>
    <row r="77" spans="3:11" x14ac:dyDescent="0.4">
      <c r="C77"/>
      <c r="D77"/>
      <c r="E77"/>
      <c r="F77"/>
      <c r="G77"/>
      <c r="H77"/>
      <c r="I77"/>
      <c r="J77"/>
      <c r="K77"/>
    </row>
    <row r="78" spans="3:11" x14ac:dyDescent="0.4">
      <c r="C78"/>
      <c r="D78"/>
      <c r="E78"/>
      <c r="F78"/>
      <c r="G78"/>
      <c r="H78"/>
      <c r="I78"/>
      <c r="J78"/>
      <c r="K78"/>
    </row>
    <row r="79" spans="3:11" x14ac:dyDescent="0.4">
      <c r="C79"/>
      <c r="D79"/>
      <c r="E79"/>
      <c r="F79"/>
      <c r="G79"/>
      <c r="H79"/>
      <c r="I79"/>
      <c r="J79"/>
      <c r="K79"/>
    </row>
    <row r="80" spans="3:11" x14ac:dyDescent="0.4">
      <c r="C80"/>
      <c r="D80"/>
      <c r="E80"/>
      <c r="F80"/>
      <c r="G80"/>
      <c r="H80"/>
      <c r="I80"/>
      <c r="J80"/>
      <c r="K80"/>
    </row>
    <row r="81" spans="3:11" x14ac:dyDescent="0.4">
      <c r="C81"/>
      <c r="D81"/>
      <c r="E81"/>
      <c r="F81"/>
      <c r="G81"/>
      <c r="H81"/>
      <c r="I81"/>
      <c r="J81"/>
      <c r="K81"/>
    </row>
    <row r="82" spans="3:11" x14ac:dyDescent="0.4">
      <c r="C82"/>
      <c r="D82"/>
      <c r="E82"/>
      <c r="F82"/>
      <c r="G82"/>
      <c r="H82"/>
      <c r="I82"/>
      <c r="J82"/>
      <c r="K82"/>
    </row>
    <row r="83" spans="3:11" x14ac:dyDescent="0.4">
      <c r="C83"/>
      <c r="D83"/>
      <c r="E83"/>
      <c r="F83"/>
      <c r="G83"/>
      <c r="H83"/>
      <c r="I83"/>
      <c r="J83"/>
      <c r="K83"/>
    </row>
    <row r="84" spans="3:11" x14ac:dyDescent="0.4">
      <c r="C84"/>
      <c r="D84"/>
      <c r="E84"/>
      <c r="F84"/>
      <c r="G84"/>
      <c r="H84"/>
      <c r="I84"/>
      <c r="J84"/>
      <c r="K84"/>
    </row>
    <row r="85" spans="3:11" x14ac:dyDescent="0.4">
      <c r="C85"/>
      <c r="D85"/>
      <c r="E85"/>
      <c r="F85"/>
      <c r="G85"/>
      <c r="H85"/>
      <c r="I85"/>
      <c r="J85"/>
      <c r="K85"/>
    </row>
    <row r="86" spans="3:11" x14ac:dyDescent="0.4">
      <c r="C86"/>
      <c r="D86"/>
      <c r="E86"/>
      <c r="F86"/>
      <c r="G86"/>
      <c r="H86"/>
      <c r="I86"/>
      <c r="J86"/>
      <c r="K86"/>
    </row>
    <row r="87" spans="3:11" x14ac:dyDescent="0.4">
      <c r="C87"/>
      <c r="D87"/>
      <c r="E87"/>
      <c r="F87"/>
      <c r="G87"/>
      <c r="H87"/>
      <c r="I87"/>
      <c r="J87"/>
      <c r="K87"/>
    </row>
    <row r="88" spans="3:11" x14ac:dyDescent="0.4">
      <c r="C88"/>
      <c r="D88"/>
      <c r="E88"/>
      <c r="F88"/>
      <c r="G88"/>
      <c r="H88"/>
      <c r="I88"/>
      <c r="J88"/>
      <c r="K88"/>
    </row>
    <row r="89" spans="3:11" x14ac:dyDescent="0.4">
      <c r="C89"/>
      <c r="D89"/>
      <c r="E89"/>
      <c r="F89"/>
      <c r="G89"/>
      <c r="H89"/>
      <c r="I89"/>
      <c r="J89"/>
      <c r="K89"/>
    </row>
    <row r="90" spans="3:11" x14ac:dyDescent="0.4">
      <c r="C90"/>
      <c r="D90"/>
      <c r="E90"/>
      <c r="F90"/>
      <c r="G90"/>
      <c r="H90"/>
      <c r="I90"/>
      <c r="J90"/>
      <c r="K90"/>
    </row>
    <row r="91" spans="3:11" x14ac:dyDescent="0.4">
      <c r="C91"/>
      <c r="D91"/>
      <c r="E91"/>
      <c r="F91"/>
      <c r="G91"/>
      <c r="H91"/>
      <c r="I91"/>
      <c r="J91"/>
      <c r="K91"/>
    </row>
    <row r="92" spans="3:11" x14ac:dyDescent="0.4">
      <c r="C92"/>
      <c r="D92"/>
      <c r="E92"/>
      <c r="F92"/>
      <c r="G92"/>
      <c r="H92"/>
      <c r="I92"/>
      <c r="J92"/>
      <c r="K92"/>
    </row>
    <row r="93" spans="3:11" x14ac:dyDescent="0.4">
      <c r="C93"/>
      <c r="D93"/>
      <c r="E93"/>
      <c r="F93"/>
      <c r="G93"/>
      <c r="H93"/>
      <c r="I93"/>
      <c r="J93"/>
      <c r="K93"/>
    </row>
    <row r="94" spans="3:11" x14ac:dyDescent="0.4">
      <c r="C94"/>
      <c r="D94"/>
      <c r="E94"/>
      <c r="F94"/>
      <c r="G94"/>
      <c r="H94"/>
      <c r="I94"/>
      <c r="J94"/>
      <c r="K94"/>
    </row>
    <row r="95" spans="3:11" x14ac:dyDescent="0.4">
      <c r="C95"/>
      <c r="D95"/>
      <c r="E95"/>
      <c r="F95"/>
      <c r="G95"/>
      <c r="H95"/>
      <c r="I95"/>
      <c r="J95"/>
      <c r="K95"/>
    </row>
    <row r="96" spans="3:11" x14ac:dyDescent="0.4">
      <c r="C96"/>
      <c r="D96"/>
      <c r="E96"/>
      <c r="F96"/>
      <c r="G96"/>
      <c r="H96"/>
      <c r="I96"/>
      <c r="J96"/>
      <c r="K96"/>
    </row>
    <row r="97" spans="3:11" x14ac:dyDescent="0.4">
      <c r="C97"/>
      <c r="D97"/>
      <c r="E97"/>
      <c r="F97"/>
      <c r="G97"/>
      <c r="H97"/>
      <c r="I97"/>
      <c r="J97"/>
      <c r="K97"/>
    </row>
    <row r="98" spans="3:11" x14ac:dyDescent="0.4">
      <c r="C98"/>
      <c r="D98"/>
      <c r="E98"/>
      <c r="F98"/>
      <c r="G98"/>
      <c r="H98"/>
      <c r="I98"/>
      <c r="J98"/>
      <c r="K98"/>
    </row>
    <row r="99" spans="3:11" x14ac:dyDescent="0.4">
      <c r="C99"/>
      <c r="D99"/>
      <c r="E99"/>
      <c r="F99"/>
      <c r="G99"/>
      <c r="H99"/>
      <c r="I99"/>
      <c r="J99"/>
      <c r="K99"/>
    </row>
    <row r="100" spans="3:11" x14ac:dyDescent="0.4">
      <c r="C100"/>
      <c r="D100"/>
      <c r="E100"/>
      <c r="F100"/>
      <c r="G100"/>
      <c r="H100"/>
      <c r="I100"/>
      <c r="J100"/>
      <c r="K100"/>
    </row>
    <row r="101" spans="3:11" x14ac:dyDescent="0.4">
      <c r="C101"/>
      <c r="D101"/>
      <c r="E101"/>
      <c r="F101"/>
      <c r="G101"/>
      <c r="H101"/>
      <c r="I101"/>
      <c r="J101"/>
      <c r="K101"/>
    </row>
    <row r="102" spans="3:11" x14ac:dyDescent="0.4">
      <c r="C102"/>
      <c r="D102"/>
      <c r="E102"/>
      <c r="F102"/>
      <c r="G102"/>
      <c r="H102"/>
      <c r="I102"/>
      <c r="J102"/>
      <c r="K102"/>
    </row>
    <row r="103" spans="3:11" x14ac:dyDescent="0.4">
      <c r="C103"/>
      <c r="D103"/>
      <c r="E103"/>
      <c r="F103"/>
      <c r="G103"/>
      <c r="H103"/>
      <c r="I103"/>
      <c r="J103"/>
      <c r="K103"/>
    </row>
    <row r="104" spans="3:11" x14ac:dyDescent="0.4">
      <c r="C104"/>
      <c r="D104"/>
      <c r="E104"/>
      <c r="F104"/>
      <c r="G104"/>
      <c r="H104"/>
      <c r="I104"/>
      <c r="J104"/>
      <c r="K104"/>
    </row>
    <row r="105" spans="3:11" x14ac:dyDescent="0.4">
      <c r="C105"/>
      <c r="D105"/>
      <c r="E105"/>
      <c r="F105"/>
      <c r="G105"/>
      <c r="H105"/>
      <c r="I105"/>
      <c r="J105"/>
      <c r="K105"/>
    </row>
    <row r="106" spans="3:11" x14ac:dyDescent="0.4">
      <c r="C106"/>
      <c r="D106"/>
      <c r="E106"/>
      <c r="F106"/>
      <c r="G106"/>
      <c r="H106"/>
      <c r="I106"/>
      <c r="J106"/>
      <c r="K106"/>
    </row>
    <row r="107" spans="3:11" x14ac:dyDescent="0.4">
      <c r="C107"/>
      <c r="D107"/>
      <c r="E107"/>
      <c r="F107"/>
      <c r="G107"/>
      <c r="H107"/>
      <c r="I107"/>
      <c r="J107"/>
      <c r="K107"/>
    </row>
    <row r="108" spans="3:11" x14ac:dyDescent="0.4">
      <c r="C108"/>
      <c r="D108"/>
      <c r="E108"/>
      <c r="F108"/>
      <c r="G108"/>
      <c r="H108"/>
      <c r="I108"/>
      <c r="J108"/>
      <c r="K108"/>
    </row>
    <row r="109" spans="3:11" x14ac:dyDescent="0.4">
      <c r="C109"/>
      <c r="D109"/>
      <c r="E109"/>
      <c r="F109"/>
      <c r="G109"/>
      <c r="H109"/>
      <c r="I109"/>
      <c r="J109"/>
      <c r="K109"/>
    </row>
    <row r="110" spans="3:11" x14ac:dyDescent="0.4">
      <c r="C110"/>
      <c r="D110"/>
      <c r="E110"/>
      <c r="F110"/>
      <c r="G110"/>
      <c r="H110"/>
      <c r="I110"/>
      <c r="J110"/>
      <c r="K110"/>
    </row>
    <row r="111" spans="3:11" x14ac:dyDescent="0.4">
      <c r="C111"/>
      <c r="D111"/>
      <c r="E111"/>
      <c r="F111"/>
      <c r="G111"/>
      <c r="H111"/>
      <c r="I111"/>
      <c r="J111"/>
      <c r="K111"/>
    </row>
    <row r="112" spans="3:11" x14ac:dyDescent="0.4">
      <c r="C112"/>
      <c r="D112"/>
      <c r="E112"/>
      <c r="F112"/>
      <c r="G112"/>
      <c r="H112"/>
      <c r="I112"/>
      <c r="J112"/>
      <c r="K112"/>
    </row>
    <row r="113" spans="3:11" x14ac:dyDescent="0.4">
      <c r="C113"/>
      <c r="D113"/>
      <c r="E113"/>
      <c r="F113"/>
      <c r="G113"/>
      <c r="H113"/>
      <c r="I113"/>
      <c r="J113"/>
      <c r="K113"/>
    </row>
    <row r="114" spans="3:11" x14ac:dyDescent="0.4">
      <c r="C114"/>
      <c r="D114"/>
      <c r="E114"/>
      <c r="F114"/>
      <c r="G114"/>
      <c r="H114"/>
      <c r="I114"/>
      <c r="J114"/>
      <c r="K114"/>
    </row>
    <row r="115" spans="3:11" x14ac:dyDescent="0.4">
      <c r="C115"/>
      <c r="D115"/>
      <c r="E115"/>
      <c r="F115"/>
      <c r="G115"/>
      <c r="H115"/>
      <c r="I115"/>
      <c r="J115"/>
      <c r="K115"/>
    </row>
    <row r="116" spans="3:11" x14ac:dyDescent="0.4">
      <c r="C116"/>
      <c r="D116"/>
      <c r="E116"/>
      <c r="F116"/>
      <c r="G116"/>
      <c r="H116"/>
      <c r="I116"/>
      <c r="J116"/>
      <c r="K116"/>
    </row>
    <row r="117" spans="3:11" x14ac:dyDescent="0.4">
      <c r="C117"/>
      <c r="D117"/>
      <c r="E117"/>
      <c r="F117"/>
      <c r="G117"/>
      <c r="H117"/>
      <c r="I117"/>
      <c r="J117"/>
      <c r="K117"/>
    </row>
    <row r="118" spans="3:11" x14ac:dyDescent="0.4">
      <c r="C118"/>
      <c r="D118"/>
      <c r="E118"/>
      <c r="F118"/>
      <c r="G118"/>
      <c r="H118"/>
      <c r="I118"/>
      <c r="J118"/>
      <c r="K118"/>
    </row>
    <row r="119" spans="3:11" x14ac:dyDescent="0.4">
      <c r="C119"/>
      <c r="D119"/>
      <c r="E119"/>
      <c r="F119"/>
      <c r="G119"/>
      <c r="H119"/>
      <c r="I119"/>
      <c r="J119"/>
      <c r="K119"/>
    </row>
    <row r="120" spans="3:11" x14ac:dyDescent="0.4">
      <c r="C120"/>
      <c r="D120"/>
      <c r="E120"/>
      <c r="F120"/>
      <c r="G120"/>
      <c r="H120"/>
      <c r="I120"/>
      <c r="J120"/>
      <c r="K120"/>
    </row>
    <row r="121" spans="3:11" x14ac:dyDescent="0.4">
      <c r="C121"/>
      <c r="D121"/>
      <c r="E121"/>
      <c r="F121"/>
      <c r="G121"/>
      <c r="H121"/>
      <c r="I121"/>
      <c r="J121"/>
      <c r="K121"/>
    </row>
    <row r="122" spans="3:11" x14ac:dyDescent="0.4">
      <c r="C122"/>
      <c r="D122"/>
      <c r="E122"/>
      <c r="F122"/>
      <c r="G122"/>
      <c r="H122"/>
      <c r="I122"/>
      <c r="J122"/>
      <c r="K122"/>
    </row>
    <row r="123" spans="3:11" x14ac:dyDescent="0.4">
      <c r="C123"/>
      <c r="D123"/>
      <c r="E123"/>
      <c r="F123"/>
      <c r="G123"/>
      <c r="H123"/>
      <c r="I123"/>
      <c r="J123"/>
      <c r="K123"/>
    </row>
    <row r="124" spans="3:11" x14ac:dyDescent="0.4">
      <c r="C124"/>
      <c r="D124"/>
      <c r="E124"/>
      <c r="F124"/>
      <c r="G124"/>
      <c r="H124"/>
      <c r="I124"/>
      <c r="J124"/>
      <c r="K124"/>
    </row>
    <row r="125" spans="3:11" x14ac:dyDescent="0.4">
      <c r="C125"/>
      <c r="D125"/>
      <c r="E125"/>
      <c r="F125"/>
      <c r="G125"/>
      <c r="H125"/>
      <c r="I125"/>
      <c r="J125"/>
      <c r="K125"/>
    </row>
    <row r="126" spans="3:11" x14ac:dyDescent="0.4">
      <c r="C126"/>
      <c r="D126"/>
      <c r="E126"/>
      <c r="F126"/>
      <c r="G126"/>
      <c r="H126"/>
      <c r="I126"/>
      <c r="J126"/>
      <c r="K126"/>
    </row>
    <row r="127" spans="3:11" x14ac:dyDescent="0.4">
      <c r="C127"/>
      <c r="D127"/>
      <c r="E127"/>
      <c r="F127"/>
      <c r="G127"/>
      <c r="H127"/>
      <c r="I127"/>
      <c r="J127"/>
      <c r="K127"/>
    </row>
    <row r="128" spans="3:11" x14ac:dyDescent="0.4">
      <c r="C128"/>
      <c r="D128"/>
      <c r="E128"/>
      <c r="F128"/>
      <c r="G128"/>
      <c r="H128"/>
      <c r="I128"/>
      <c r="J128"/>
      <c r="K128"/>
    </row>
    <row r="129" spans="3:11" x14ac:dyDescent="0.4">
      <c r="C129"/>
      <c r="D129"/>
      <c r="E129"/>
      <c r="F129"/>
      <c r="G129"/>
      <c r="H129"/>
      <c r="I129"/>
      <c r="J129"/>
      <c r="K129"/>
    </row>
    <row r="130" spans="3:11" x14ac:dyDescent="0.4">
      <c r="C130"/>
      <c r="D130"/>
      <c r="E130"/>
      <c r="F130"/>
      <c r="G130"/>
      <c r="H130"/>
      <c r="I130"/>
      <c r="J130"/>
      <c r="K130"/>
    </row>
    <row r="131" spans="3:11" x14ac:dyDescent="0.4">
      <c r="C131"/>
      <c r="D131"/>
      <c r="E131"/>
      <c r="F131"/>
      <c r="G131"/>
      <c r="H131"/>
      <c r="I131"/>
      <c r="J131"/>
      <c r="K131"/>
    </row>
    <row r="132" spans="3:11" x14ac:dyDescent="0.4">
      <c r="C132"/>
      <c r="D132"/>
      <c r="E132"/>
      <c r="F132"/>
      <c r="G132"/>
      <c r="H132"/>
      <c r="I132"/>
      <c r="J132"/>
      <c r="K132"/>
    </row>
    <row r="133" spans="3:11" x14ac:dyDescent="0.4">
      <c r="C133"/>
      <c r="D133"/>
      <c r="E133"/>
      <c r="F133"/>
      <c r="G133"/>
      <c r="H133"/>
      <c r="I133"/>
      <c r="J133"/>
      <c r="K133"/>
    </row>
    <row r="134" spans="3:11" x14ac:dyDescent="0.4">
      <c r="C134"/>
      <c r="D134"/>
      <c r="E134"/>
      <c r="F134"/>
      <c r="G134"/>
      <c r="H134"/>
      <c r="I134"/>
      <c r="J134"/>
      <c r="K134"/>
    </row>
    <row r="135" spans="3:11" x14ac:dyDescent="0.4">
      <c r="C135"/>
      <c r="D135"/>
      <c r="E135"/>
      <c r="F135"/>
      <c r="G135"/>
      <c r="H135"/>
      <c r="I135"/>
      <c r="J135"/>
      <c r="K135"/>
    </row>
    <row r="136" spans="3:11" x14ac:dyDescent="0.4">
      <c r="C136"/>
      <c r="D136"/>
      <c r="E136"/>
      <c r="F136"/>
      <c r="G136"/>
      <c r="H136"/>
      <c r="I136"/>
      <c r="J136"/>
      <c r="K136"/>
    </row>
    <row r="137" spans="3:11" x14ac:dyDescent="0.4">
      <c r="C137"/>
      <c r="D137"/>
      <c r="E137"/>
      <c r="F137"/>
      <c r="G137"/>
      <c r="H137"/>
      <c r="I137"/>
      <c r="J137"/>
      <c r="K137"/>
    </row>
    <row r="138" spans="3:11" x14ac:dyDescent="0.4">
      <c r="C138"/>
      <c r="D138"/>
      <c r="E138"/>
      <c r="F138"/>
      <c r="G138"/>
      <c r="H138"/>
      <c r="I138"/>
      <c r="J138"/>
      <c r="K138"/>
    </row>
    <row r="139" spans="3:11" x14ac:dyDescent="0.4">
      <c r="C139"/>
      <c r="D139"/>
      <c r="E139"/>
      <c r="F139"/>
      <c r="G139"/>
      <c r="H139"/>
      <c r="I139"/>
      <c r="J139"/>
      <c r="K139"/>
    </row>
    <row r="140" spans="3:11" x14ac:dyDescent="0.4">
      <c r="C140"/>
      <c r="D140"/>
      <c r="E140"/>
      <c r="F140"/>
      <c r="G140"/>
      <c r="H140"/>
      <c r="I140"/>
      <c r="J140"/>
      <c r="K140"/>
    </row>
    <row r="141" spans="3:11" x14ac:dyDescent="0.4">
      <c r="C141"/>
      <c r="D141"/>
      <c r="E141"/>
      <c r="F141"/>
      <c r="G141"/>
      <c r="H141"/>
      <c r="I141"/>
      <c r="J141"/>
      <c r="K141"/>
    </row>
    <row r="142" spans="3:11" x14ac:dyDescent="0.4">
      <c r="C142"/>
      <c r="D142"/>
      <c r="E142"/>
      <c r="F142"/>
      <c r="G142"/>
      <c r="H142"/>
      <c r="I142"/>
      <c r="J142"/>
      <c r="K142"/>
    </row>
    <row r="143" spans="3:11" x14ac:dyDescent="0.4">
      <c r="C143"/>
      <c r="D143"/>
      <c r="E143"/>
      <c r="F143"/>
      <c r="G143"/>
      <c r="H143"/>
      <c r="I143"/>
      <c r="J143"/>
      <c r="K143"/>
    </row>
    <row r="144" spans="3:11" x14ac:dyDescent="0.4">
      <c r="C144"/>
      <c r="D144"/>
      <c r="E144"/>
      <c r="F144"/>
      <c r="G144"/>
      <c r="H144"/>
      <c r="I144"/>
      <c r="J144"/>
      <c r="K144"/>
    </row>
    <row r="145" spans="3:11" x14ac:dyDescent="0.4">
      <c r="C145"/>
      <c r="D145"/>
      <c r="E145"/>
      <c r="F145"/>
      <c r="G145"/>
      <c r="H145"/>
      <c r="I145"/>
      <c r="J145"/>
      <c r="K145"/>
    </row>
    <row r="146" spans="3:11" x14ac:dyDescent="0.4">
      <c r="C146"/>
      <c r="D146"/>
      <c r="E146"/>
      <c r="F146"/>
      <c r="G146"/>
      <c r="H146"/>
      <c r="I146"/>
      <c r="J146"/>
      <c r="K146"/>
    </row>
    <row r="147" spans="3:11" x14ac:dyDescent="0.4">
      <c r="C147"/>
      <c r="D147"/>
      <c r="E147"/>
      <c r="F147"/>
      <c r="G147"/>
      <c r="H147"/>
      <c r="I147"/>
      <c r="J147"/>
      <c r="K147"/>
    </row>
    <row r="148" spans="3:11" x14ac:dyDescent="0.4">
      <c r="C148"/>
      <c r="D148"/>
      <c r="E148"/>
      <c r="F148"/>
      <c r="G148"/>
      <c r="H148"/>
      <c r="I148"/>
      <c r="J148"/>
      <c r="K148"/>
    </row>
    <row r="149" spans="3:11" x14ac:dyDescent="0.4">
      <c r="C149"/>
      <c r="D149"/>
      <c r="E149"/>
      <c r="F149"/>
      <c r="G149"/>
      <c r="H149"/>
      <c r="I149"/>
      <c r="J149"/>
      <c r="K149"/>
    </row>
    <row r="150" spans="3:11" x14ac:dyDescent="0.4">
      <c r="C150"/>
      <c r="D150"/>
      <c r="E150"/>
      <c r="F150"/>
      <c r="G150"/>
      <c r="H150"/>
      <c r="I150"/>
      <c r="J150"/>
      <c r="K150"/>
    </row>
    <row r="151" spans="3:11" x14ac:dyDescent="0.4">
      <c r="C151"/>
      <c r="D151"/>
      <c r="E151"/>
      <c r="F151"/>
      <c r="G151"/>
      <c r="H151"/>
      <c r="I151"/>
      <c r="J151"/>
      <c r="K151"/>
    </row>
    <row r="152" spans="3:11" x14ac:dyDescent="0.4">
      <c r="C152"/>
      <c r="D152"/>
      <c r="E152"/>
      <c r="F152"/>
      <c r="G152"/>
      <c r="H152"/>
      <c r="I152"/>
      <c r="J152"/>
      <c r="K152"/>
    </row>
    <row r="153" spans="3:11" x14ac:dyDescent="0.4">
      <c r="C153"/>
      <c r="D153"/>
      <c r="E153"/>
      <c r="F153"/>
      <c r="G153"/>
      <c r="H153"/>
      <c r="I153"/>
      <c r="J153"/>
      <c r="K153"/>
    </row>
    <row r="154" spans="3:11" x14ac:dyDescent="0.4">
      <c r="C154"/>
      <c r="D154"/>
      <c r="E154"/>
      <c r="F154"/>
      <c r="G154"/>
      <c r="H154"/>
      <c r="I154"/>
      <c r="J154"/>
      <c r="K154"/>
    </row>
    <row r="155" spans="3:11" x14ac:dyDescent="0.4">
      <c r="C155"/>
      <c r="D155"/>
      <c r="E155"/>
      <c r="F155"/>
      <c r="G155"/>
      <c r="H155"/>
      <c r="I155"/>
      <c r="J155"/>
      <c r="K155"/>
    </row>
    <row r="156" spans="3:11" x14ac:dyDescent="0.4">
      <c r="C156"/>
      <c r="D156"/>
      <c r="E156"/>
      <c r="F156"/>
      <c r="G156"/>
      <c r="H156"/>
      <c r="I156"/>
      <c r="J156"/>
      <c r="K156"/>
    </row>
    <row r="157" spans="3:11" x14ac:dyDescent="0.4">
      <c r="C157"/>
      <c r="D157"/>
      <c r="E157"/>
      <c r="F157"/>
      <c r="G157"/>
      <c r="H157"/>
      <c r="I157"/>
      <c r="J157"/>
      <c r="K157"/>
    </row>
    <row r="158" spans="3:11" x14ac:dyDescent="0.4">
      <c r="C158"/>
      <c r="D158"/>
      <c r="E158"/>
      <c r="F158"/>
      <c r="G158"/>
      <c r="H158"/>
      <c r="I158"/>
      <c r="J158"/>
      <c r="K158"/>
    </row>
    <row r="159" spans="3:11" x14ac:dyDescent="0.4">
      <c r="C159"/>
      <c r="D159"/>
      <c r="E159"/>
      <c r="F159"/>
      <c r="G159"/>
      <c r="H159"/>
      <c r="I159"/>
      <c r="J159"/>
      <c r="K159"/>
    </row>
    <row r="160" spans="3:11" x14ac:dyDescent="0.4">
      <c r="C160"/>
      <c r="D160"/>
      <c r="E160"/>
      <c r="F160"/>
      <c r="G160"/>
      <c r="H160"/>
      <c r="I160"/>
      <c r="J160"/>
      <c r="K160"/>
    </row>
    <row r="161" spans="3:11" x14ac:dyDescent="0.4">
      <c r="C161"/>
      <c r="D161"/>
      <c r="E161"/>
      <c r="F161"/>
      <c r="G161"/>
      <c r="H161"/>
      <c r="I161"/>
      <c r="J161"/>
      <c r="K161"/>
    </row>
  </sheetData>
  <mergeCells count="4">
    <mergeCell ref="A4:A7"/>
    <mergeCell ref="A8:A20"/>
    <mergeCell ref="A21:A25"/>
    <mergeCell ref="A26:A41"/>
  </mergeCells>
  <phoneticPr fontId="5" type="noConversion"/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33"/>
  <sheetViews>
    <sheetView workbookViewId="0">
      <selection activeCell="C7" sqref="C7"/>
    </sheetView>
  </sheetViews>
  <sheetFormatPr defaultRowHeight="13.9" x14ac:dyDescent="0.4"/>
  <cols>
    <col min="2" max="2" width="11.1328125" customWidth="1"/>
  </cols>
  <sheetData>
    <row r="1" spans="1:3" x14ac:dyDescent="0.4">
      <c r="B1" t="s">
        <v>64</v>
      </c>
      <c r="C1">
        <f>Sheet2!C31</f>
        <v>126.8</v>
      </c>
    </row>
    <row r="2" spans="1:3" x14ac:dyDescent="0.4">
      <c r="A2" s="29" t="s">
        <v>65</v>
      </c>
      <c r="B2" t="s">
        <v>66</v>
      </c>
      <c r="C2">
        <f>Sheet2!C24-Sheet2!C25</f>
        <v>0.375</v>
      </c>
    </row>
    <row r="3" spans="1:3" x14ac:dyDescent="0.4">
      <c r="A3" s="29"/>
      <c r="B3" t="s">
        <v>67</v>
      </c>
      <c r="C3" t="e">
        <f>Sheet2!C25-Sheet2!#REF!</f>
        <v>#REF!</v>
      </c>
    </row>
    <row r="4" spans="1:3" x14ac:dyDescent="0.4">
      <c r="A4" s="29"/>
      <c r="B4" t="s">
        <v>68</v>
      </c>
      <c r="C4" t="e">
        <f>Sheet2!#REF!-Sheet2!C21</f>
        <v>#REF!</v>
      </c>
    </row>
    <row r="5" spans="1:3" x14ac:dyDescent="0.4">
      <c r="A5" s="29"/>
      <c r="B5" t="s">
        <v>85</v>
      </c>
      <c r="C5" t="e">
        <f>Sheet2!C22-Sheet2!#REF!</f>
        <v>#REF!</v>
      </c>
    </row>
    <row r="6" spans="1:3" x14ac:dyDescent="0.4">
      <c r="A6" s="29"/>
      <c r="B6" t="s">
        <v>86</v>
      </c>
      <c r="C6" t="e">
        <f>Sheet2!#REF!-Sheet2!#REF!</f>
        <v>#REF!</v>
      </c>
    </row>
    <row r="7" spans="1:3" x14ac:dyDescent="0.4">
      <c r="A7" s="14"/>
    </row>
    <row r="28" spans="1:7" x14ac:dyDescent="0.4">
      <c r="A28" s="30" t="s">
        <v>72</v>
      </c>
      <c r="B28" s="30" t="s">
        <v>69</v>
      </c>
      <c r="C28" s="30"/>
      <c r="D28" s="30" t="s">
        <v>70</v>
      </c>
      <c r="E28" s="30"/>
      <c r="F28" s="30" t="s">
        <v>71</v>
      </c>
      <c r="G28" s="30"/>
    </row>
    <row r="29" spans="1:7" x14ac:dyDescent="0.4">
      <c r="A29" s="30"/>
      <c r="B29" s="15" t="s">
        <v>74</v>
      </c>
      <c r="C29" s="15" t="s">
        <v>65</v>
      </c>
      <c r="D29" s="15" t="s">
        <v>73</v>
      </c>
      <c r="E29" s="15" t="s">
        <v>65</v>
      </c>
      <c r="F29" s="15" t="s">
        <v>74</v>
      </c>
      <c r="G29" s="15" t="s">
        <v>65</v>
      </c>
    </row>
    <row r="30" spans="1:7" x14ac:dyDescent="0.4">
      <c r="A30" s="30"/>
      <c r="B30" s="15"/>
      <c r="C30" s="15"/>
      <c r="D30" s="15">
        <v>100.3</v>
      </c>
      <c r="E30" s="15">
        <v>0.29199999999999982</v>
      </c>
      <c r="F30" s="15"/>
      <c r="G30" s="15"/>
    </row>
    <row r="31" spans="1:7" x14ac:dyDescent="0.4">
      <c r="A31" s="30"/>
      <c r="B31" s="15">
        <v>99</v>
      </c>
      <c r="C31" s="15">
        <v>0.53900000000000015</v>
      </c>
      <c r="D31" s="15">
        <v>104.7</v>
      </c>
      <c r="E31" s="15">
        <v>0.32200000000000006</v>
      </c>
      <c r="F31" s="15"/>
      <c r="G31" s="15"/>
    </row>
    <row r="32" spans="1:7" x14ac:dyDescent="0.4">
      <c r="A32" s="30"/>
      <c r="B32" s="15">
        <v>105.2</v>
      </c>
      <c r="C32" s="15">
        <v>0.5950000000000002</v>
      </c>
      <c r="D32" s="15">
        <v>106.3</v>
      </c>
      <c r="E32" s="15">
        <v>0.33599999999999985</v>
      </c>
      <c r="F32" s="15">
        <v>106.19</v>
      </c>
      <c r="G32" s="15">
        <v>0.26400000000000001</v>
      </c>
    </row>
    <row r="33" spans="1:7" x14ac:dyDescent="0.4">
      <c r="A33" s="30"/>
      <c r="B33" s="15">
        <v>128.1</v>
      </c>
      <c r="C33" s="15">
        <v>0.82499999999999973</v>
      </c>
      <c r="D33" s="15">
        <v>131.19999999999999</v>
      </c>
      <c r="E33" s="15">
        <v>0.5089999999999999</v>
      </c>
      <c r="F33" s="15">
        <v>118.92</v>
      </c>
      <c r="G33" s="15">
        <v>0.32400000000000001</v>
      </c>
    </row>
  </sheetData>
  <mergeCells count="5">
    <mergeCell ref="A2:A6"/>
    <mergeCell ref="B28:C28"/>
    <mergeCell ref="D28:E28"/>
    <mergeCell ref="F28:G28"/>
    <mergeCell ref="A28:A33"/>
  </mergeCells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N9"/>
  <sheetViews>
    <sheetView zoomScale="130" zoomScaleNormal="130" workbookViewId="0">
      <selection activeCell="B1" sqref="B1:L6"/>
    </sheetView>
  </sheetViews>
  <sheetFormatPr defaultRowHeight="13.9" x14ac:dyDescent="0.4"/>
  <sheetData>
    <row r="1" spans="2:14" x14ac:dyDescent="0.4">
      <c r="B1" s="32" t="s">
        <v>75</v>
      </c>
      <c r="C1" s="33"/>
      <c r="D1" s="33"/>
      <c r="E1" s="34"/>
      <c r="F1" s="31" t="s">
        <v>79</v>
      </c>
      <c r="G1" s="31"/>
      <c r="H1" s="31"/>
      <c r="I1" s="31"/>
      <c r="J1" s="32" t="s">
        <v>80</v>
      </c>
      <c r="K1" s="33"/>
      <c r="L1" s="34"/>
      <c r="M1" s="16"/>
      <c r="N1" s="12"/>
    </row>
    <row r="2" spans="2:14" x14ac:dyDescent="0.4">
      <c r="B2" s="15" t="s">
        <v>76</v>
      </c>
      <c r="C2" s="15" t="s">
        <v>81</v>
      </c>
      <c r="D2" s="15" t="s">
        <v>77</v>
      </c>
      <c r="E2" s="15" t="s">
        <v>78</v>
      </c>
      <c r="F2" s="9" t="s">
        <v>76</v>
      </c>
      <c r="G2" s="9" t="s">
        <v>82</v>
      </c>
      <c r="H2" s="9" t="s">
        <v>77</v>
      </c>
      <c r="I2" s="9" t="s">
        <v>78</v>
      </c>
      <c r="J2" s="15" t="s">
        <v>76</v>
      </c>
      <c r="K2" s="15" t="s">
        <v>83</v>
      </c>
      <c r="L2" s="15" t="s">
        <v>77</v>
      </c>
      <c r="M2" s="12"/>
    </row>
    <row r="3" spans="2:14" x14ac:dyDescent="0.4">
      <c r="B3" s="15">
        <v>302.07900000000001</v>
      </c>
      <c r="C3" s="15">
        <v>113</v>
      </c>
      <c r="D3" s="15">
        <v>2632.99</v>
      </c>
      <c r="E3" s="15">
        <v>0.61547218326320707</v>
      </c>
      <c r="F3" s="9">
        <v>297.30399999999997</v>
      </c>
      <c r="G3" s="9">
        <v>100.3</v>
      </c>
      <c r="H3" s="9">
        <v>3564.06</v>
      </c>
      <c r="I3" s="9">
        <v>1.2753837895866882</v>
      </c>
      <c r="J3" s="15">
        <v>200</v>
      </c>
      <c r="K3" s="15">
        <v>57.11</v>
      </c>
      <c r="L3" s="15">
        <v>2405</v>
      </c>
      <c r="M3" s="12"/>
    </row>
    <row r="4" spans="2:14" x14ac:dyDescent="0.4">
      <c r="B4" s="15">
        <v>420.173</v>
      </c>
      <c r="C4" s="15">
        <v>129.30000000000001</v>
      </c>
      <c r="D4" s="15">
        <v>4043.3</v>
      </c>
      <c r="E4" s="15">
        <v>1.0752046270442759</v>
      </c>
      <c r="F4" s="9">
        <v>421.09699999999998</v>
      </c>
      <c r="G4" s="9">
        <v>104.7</v>
      </c>
      <c r="H4" s="9">
        <v>4124.63</v>
      </c>
      <c r="I4" s="9">
        <v>1.4065234441602728</v>
      </c>
      <c r="J4" s="15">
        <v>340</v>
      </c>
      <c r="K4" s="15">
        <v>89.37</v>
      </c>
      <c r="L4" s="15">
        <v>3870</v>
      </c>
      <c r="M4" s="12"/>
    </row>
    <row r="5" spans="2:14" x14ac:dyDescent="0.4">
      <c r="B5" s="15">
        <v>420.57100000000003</v>
      </c>
      <c r="C5" s="15">
        <v>113.6</v>
      </c>
      <c r="D5" s="15">
        <v>3815.0230000000001</v>
      </c>
      <c r="E5" s="15">
        <v>1.3009456095481671</v>
      </c>
      <c r="F5" s="9">
        <v>503.90300000000002</v>
      </c>
      <c r="G5" s="9">
        <v>106.3</v>
      </c>
      <c r="H5" s="9">
        <v>4380.3999999999996</v>
      </c>
      <c r="I5" s="9">
        <v>1.4763734411863834</v>
      </c>
      <c r="J5" s="15">
        <v>420</v>
      </c>
      <c r="K5" s="15">
        <v>106.19</v>
      </c>
      <c r="L5" s="15">
        <v>4585</v>
      </c>
      <c r="M5" s="12"/>
    </row>
    <row r="6" spans="2:14" x14ac:dyDescent="0.4">
      <c r="B6" s="15"/>
      <c r="C6" s="15"/>
      <c r="D6" s="15"/>
      <c r="E6" s="15"/>
      <c r="F6" s="9">
        <v>505.52</v>
      </c>
      <c r="G6" s="9">
        <v>131.19999999999999</v>
      </c>
      <c r="H6" s="9">
        <v>5018.8</v>
      </c>
      <c r="I6" s="9">
        <v>1.3105627366496932</v>
      </c>
      <c r="J6" s="15">
        <v>500</v>
      </c>
      <c r="K6" s="15">
        <v>118.92</v>
      </c>
      <c r="L6" s="15">
        <v>5159</v>
      </c>
      <c r="M6" s="12"/>
    </row>
    <row r="7" spans="2:14" x14ac:dyDescent="0.4">
      <c r="B7" s="12"/>
      <c r="C7" s="12"/>
      <c r="D7" s="12"/>
      <c r="E7" s="12"/>
      <c r="F7" s="12"/>
      <c r="G7" s="12"/>
      <c r="I7" s="12"/>
      <c r="J7" s="12"/>
      <c r="L7" s="12"/>
      <c r="M7" s="12"/>
      <c r="N7" s="12"/>
    </row>
    <row r="8" spans="2:14" x14ac:dyDescent="0.4">
      <c r="B8" s="12"/>
      <c r="C8" s="12"/>
      <c r="D8" s="12"/>
      <c r="E8" s="12"/>
      <c r="F8" s="12"/>
      <c r="G8" s="12"/>
      <c r="I8" s="12"/>
      <c r="J8" s="12"/>
      <c r="L8" s="12"/>
      <c r="M8" s="12"/>
      <c r="N8" s="12"/>
    </row>
    <row r="9" spans="2:14" x14ac:dyDescent="0.4">
      <c r="B9" s="12"/>
      <c r="C9" s="12"/>
      <c r="D9" s="12"/>
      <c r="E9" s="12"/>
      <c r="F9" s="12"/>
      <c r="G9" s="12"/>
      <c r="I9" s="12"/>
      <c r="J9" s="12"/>
      <c r="L9" s="12"/>
      <c r="M9" s="12"/>
      <c r="N9" s="12"/>
    </row>
  </sheetData>
  <mergeCells count="3">
    <mergeCell ref="F1:I1"/>
    <mergeCell ref="B1:E1"/>
    <mergeCell ref="J1:L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压降分析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方健珉</dc:creator>
  <cp:lastModifiedBy>qhr</cp:lastModifiedBy>
  <dcterms:created xsi:type="dcterms:W3CDTF">2019-03-22T02:59:42Z</dcterms:created>
  <dcterms:modified xsi:type="dcterms:W3CDTF">2019-12-19T01:51:12Z</dcterms:modified>
</cp:coreProperties>
</file>