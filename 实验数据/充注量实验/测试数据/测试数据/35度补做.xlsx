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1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qhr\OneDrive\哈哈的文件\科研相关\项目相关\东风项目\实验\第二阶段实验20191021\充注量实验\发给东风\"/>
    </mc:Choice>
  </mc:AlternateContent>
  <xr:revisionPtr revIDLastSave="34" documentId="8_{EF23B71C-E10A-4024-930A-E65910BA9085}" xr6:coauthVersionLast="45" xr6:coauthVersionMax="45" xr10:uidLastSave="{9F355B9C-52AF-4A59-B83A-62318FA0A1C7}"/>
  <bookViews>
    <workbookView xWindow="-98" yWindow="-98" windowWidth="19396" windowHeight="10395" xr2:uid="{00000000-000D-0000-FFFF-FFFF00000000}"/>
  </bookViews>
  <sheets>
    <sheet name="Sheet2" sheetId="2" r:id="rId1"/>
    <sheet name="压降分析" sheetId="7" r:id="rId2"/>
    <sheet name="Sheet3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6" i="7" l="1"/>
  <c r="C5" i="7"/>
  <c r="C4" i="7"/>
  <c r="C3" i="7"/>
  <c r="C2" i="7"/>
  <c r="C1" i="7"/>
  <c r="BB34" i="2"/>
  <c r="BB36" i="2" s="1"/>
  <c r="BA34" i="2"/>
  <c r="BA36" i="2" s="1"/>
  <c r="AZ34" i="2"/>
  <c r="AZ36" i="2" s="1"/>
  <c r="AY34" i="2"/>
  <c r="AY36" i="2" s="1"/>
  <c r="AX34" i="2"/>
  <c r="AX36" i="2" s="1"/>
  <c r="AW34" i="2"/>
  <c r="AW36" i="2" s="1"/>
  <c r="AV34" i="2"/>
  <c r="AV36" i="2" s="1"/>
  <c r="AU34" i="2"/>
  <c r="AU36" i="2" s="1"/>
  <c r="AT34" i="2"/>
  <c r="AT36" i="2" s="1"/>
  <c r="AS34" i="2"/>
  <c r="AS36" i="2" s="1"/>
  <c r="AR34" i="2"/>
  <c r="AR36" i="2" s="1"/>
  <c r="AQ34" i="2"/>
  <c r="AQ36" i="2" s="1"/>
  <c r="AP34" i="2"/>
  <c r="AP36" i="2" s="1"/>
  <c r="AO34" i="2"/>
  <c r="AO36" i="2" s="1"/>
  <c r="AN34" i="2"/>
  <c r="AN36" i="2" s="1"/>
  <c r="AM34" i="2"/>
  <c r="AM36" i="2" s="1"/>
  <c r="AL34" i="2"/>
  <c r="AL36" i="2" s="1"/>
  <c r="AK34" i="2"/>
  <c r="AK36" i="2" s="1"/>
  <c r="AJ34" i="2"/>
  <c r="AJ36" i="2" s="1"/>
  <c r="AI34" i="2"/>
  <c r="AI36" i="2" s="1"/>
  <c r="AH34" i="2"/>
  <c r="AH36" i="2" s="1"/>
  <c r="AG34" i="2"/>
  <c r="AG36" i="2" s="1"/>
  <c r="AF34" i="2"/>
  <c r="AF36" i="2" s="1"/>
  <c r="AE34" i="2"/>
  <c r="AE36" i="2" s="1"/>
  <c r="AD34" i="2"/>
  <c r="AD36" i="2" s="1"/>
  <c r="AC34" i="2"/>
  <c r="AC36" i="2" s="1"/>
  <c r="AB34" i="2"/>
  <c r="AB36" i="2" s="1"/>
  <c r="AA34" i="2"/>
  <c r="AA36" i="2" s="1"/>
  <c r="Z34" i="2"/>
  <c r="Z36" i="2" s="1"/>
  <c r="Y34" i="2"/>
  <c r="Y36" i="2" s="1"/>
  <c r="X34" i="2"/>
  <c r="X36" i="2" s="1"/>
  <c r="W34" i="2"/>
  <c r="W36" i="2" s="1"/>
  <c r="V34" i="2"/>
  <c r="V36" i="2" s="1"/>
  <c r="U34" i="2"/>
  <c r="U36" i="2" s="1"/>
  <c r="T34" i="2"/>
  <c r="T36" i="2" s="1"/>
  <c r="S34" i="2"/>
  <c r="S36" i="2" s="1"/>
  <c r="R34" i="2"/>
  <c r="R36" i="2" s="1"/>
  <c r="Q34" i="2"/>
  <c r="Q36" i="2" s="1"/>
  <c r="P34" i="2"/>
  <c r="P36" i="2" s="1"/>
  <c r="O34" i="2"/>
  <c r="O36" i="2" s="1"/>
  <c r="N34" i="2"/>
  <c r="N36" i="2" s="1"/>
  <c r="M34" i="2"/>
  <c r="M36" i="2" s="1"/>
  <c r="L34" i="2"/>
  <c r="L36" i="2" s="1"/>
  <c r="K34" i="2"/>
  <c r="K36" i="2" s="1"/>
  <c r="J34" i="2"/>
  <c r="J36" i="2" s="1"/>
  <c r="H34" i="2"/>
  <c r="H36" i="2" s="1"/>
  <c r="G34" i="2"/>
  <c r="G36" i="2" s="1"/>
  <c r="F34" i="2"/>
  <c r="F36" i="2" s="1"/>
  <c r="E34" i="2"/>
  <c r="E36" i="2" s="1"/>
  <c r="D34" i="2"/>
  <c r="D36" i="2" s="1"/>
  <c r="C34" i="2"/>
  <c r="C36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jmfang</author>
  </authors>
  <commentList>
    <comment ref="G31" authorId="0" shapeId="0" xr:uid="{00000000-0006-0000-0000-000001000000}">
      <text>
        <r>
          <rPr>
            <b/>
            <sz val="9"/>
            <color indexed="81"/>
            <rFont val="宋体"/>
            <family val="3"/>
            <charset val="134"/>
          </rPr>
          <t>jmfang:</t>
        </r>
        <r>
          <rPr>
            <sz val="9"/>
            <color indexed="81"/>
            <rFont val="宋体"/>
            <family val="3"/>
            <charset val="134"/>
          </rPr>
          <t xml:space="preserve">
增大室内风量试图获得较大制冷量</t>
        </r>
      </text>
    </comment>
  </commentList>
</comments>
</file>

<file path=xl/sharedStrings.xml><?xml version="1.0" encoding="utf-8"?>
<sst xmlns="http://schemas.openxmlformats.org/spreadsheetml/2006/main" count="134" uniqueCount="122">
  <si>
    <t>吸气温度</t>
    <phoneticPr fontId="5" type="noConversion"/>
  </si>
  <si>
    <t>排气温度</t>
    <phoneticPr fontId="5" type="noConversion"/>
  </si>
  <si>
    <t>室外换热出口</t>
    <phoneticPr fontId="5" type="noConversion"/>
  </si>
  <si>
    <t>阀前温度</t>
    <phoneticPr fontId="5" type="noConversion"/>
  </si>
  <si>
    <t>阀后温度</t>
    <phoneticPr fontId="5" type="noConversion"/>
  </si>
  <si>
    <t>回热器高压出口</t>
    <phoneticPr fontId="5" type="noConversion"/>
  </si>
  <si>
    <t>回热器高压进口</t>
    <phoneticPr fontId="5" type="noConversion"/>
  </si>
  <si>
    <t>储液器进口</t>
    <phoneticPr fontId="5" type="noConversion"/>
  </si>
  <si>
    <t>储液器出口</t>
    <phoneticPr fontId="5" type="noConversion"/>
  </si>
  <si>
    <t>回热器低压进口</t>
    <phoneticPr fontId="5" type="noConversion"/>
  </si>
  <si>
    <t>吸气压力</t>
    <phoneticPr fontId="5" type="noConversion"/>
  </si>
  <si>
    <t>室内干球</t>
    <phoneticPr fontId="5" type="noConversion"/>
  </si>
  <si>
    <t>室内湿球</t>
    <phoneticPr fontId="5" type="noConversion"/>
  </si>
  <si>
    <t>室外干球</t>
    <phoneticPr fontId="5" type="noConversion"/>
  </si>
  <si>
    <t>室外湿球</t>
    <phoneticPr fontId="5" type="noConversion"/>
  </si>
  <si>
    <t>类别</t>
    <phoneticPr fontId="5" type="noConversion"/>
  </si>
  <si>
    <t>项目</t>
    <phoneticPr fontId="5" type="noConversion"/>
  </si>
  <si>
    <t>环境参数</t>
    <phoneticPr fontId="5" type="noConversion"/>
  </si>
  <si>
    <t>列11</t>
  </si>
  <si>
    <t>列13</t>
  </si>
  <si>
    <t>列14</t>
  </si>
  <si>
    <t>列15</t>
  </si>
  <si>
    <t>日期</t>
    <phoneticPr fontId="5" type="noConversion"/>
  </si>
  <si>
    <r>
      <t>主换热器</t>
    </r>
    <r>
      <rPr>
        <sz val="11"/>
        <color rgb="FFFF0000"/>
        <rFont val="等线"/>
        <family val="3"/>
        <charset val="134"/>
        <scheme val="minor"/>
      </rPr>
      <t>出</t>
    </r>
    <r>
      <rPr>
        <sz val="11"/>
        <color rgb="FF9C6500"/>
        <rFont val="等线"/>
        <family val="2"/>
        <charset val="134"/>
        <scheme val="minor"/>
      </rPr>
      <t>口</t>
    </r>
    <phoneticPr fontId="5" type="noConversion"/>
  </si>
  <si>
    <t>列0</t>
    <phoneticPr fontId="5" type="noConversion"/>
  </si>
  <si>
    <t>列1</t>
    <phoneticPr fontId="5" type="noConversion"/>
  </si>
  <si>
    <t>列2</t>
  </si>
  <si>
    <t>列3</t>
  </si>
  <si>
    <t>列4</t>
  </si>
  <si>
    <t>温度/℃</t>
    <phoneticPr fontId="5" type="noConversion"/>
  </si>
  <si>
    <t>压力/Mpa</t>
    <phoneticPr fontId="5" type="noConversion"/>
  </si>
  <si>
    <t>充注量/g</t>
    <phoneticPr fontId="5" type="noConversion"/>
  </si>
  <si>
    <t>室内出风干球/℃</t>
    <phoneticPr fontId="5" type="noConversion"/>
  </si>
  <si>
    <r>
      <t>主换热器</t>
    </r>
    <r>
      <rPr>
        <sz val="11"/>
        <color rgb="FFFF0000"/>
        <rFont val="等线"/>
        <family val="3"/>
        <charset val="134"/>
        <scheme val="minor"/>
      </rPr>
      <t>进</t>
    </r>
    <r>
      <rPr>
        <sz val="11"/>
        <color rgb="FF9C6500"/>
        <rFont val="等线"/>
        <family val="2"/>
        <charset val="134"/>
        <scheme val="minor"/>
      </rPr>
      <t>口</t>
    </r>
    <phoneticPr fontId="5" type="noConversion"/>
  </si>
  <si>
    <t>性能</t>
    <phoneticPr fontId="5" type="noConversion"/>
  </si>
  <si>
    <t>列16</t>
  </si>
  <si>
    <t>排气压力</t>
    <phoneticPr fontId="5" type="noConversion"/>
  </si>
  <si>
    <t>阀前压力</t>
    <phoneticPr fontId="5" type="noConversion"/>
  </si>
  <si>
    <t>主换热器进口</t>
    <phoneticPr fontId="5" type="noConversion"/>
  </si>
  <si>
    <t>电压/V</t>
    <phoneticPr fontId="5" type="noConversion"/>
  </si>
  <si>
    <t>电流/A</t>
    <phoneticPr fontId="5" type="noConversion"/>
  </si>
  <si>
    <t>压缩机转速/rpm</t>
    <phoneticPr fontId="5" type="noConversion"/>
  </si>
  <si>
    <t>膨胀阀开度</t>
    <phoneticPr fontId="5" type="noConversion"/>
  </si>
  <si>
    <r>
      <t>制冷剂流量/kg·h</t>
    </r>
    <r>
      <rPr>
        <vertAlign val="superscript"/>
        <sz val="11"/>
        <color rgb="FF3F3F76"/>
        <rFont val="等线"/>
        <family val="3"/>
        <charset val="134"/>
        <scheme val="minor"/>
      </rPr>
      <t>-1</t>
    </r>
    <phoneticPr fontId="5" type="noConversion"/>
  </si>
  <si>
    <r>
      <t>室内侧风量/m</t>
    </r>
    <r>
      <rPr>
        <vertAlign val="superscript"/>
        <sz val="11"/>
        <color rgb="FF3F3F76"/>
        <rFont val="等线"/>
        <family val="3"/>
        <charset val="134"/>
        <scheme val="minor"/>
      </rPr>
      <t>3</t>
    </r>
    <r>
      <rPr>
        <sz val="11"/>
        <color rgb="FF3F3F76"/>
        <rFont val="等线"/>
        <family val="2"/>
        <charset val="134"/>
        <scheme val="minor"/>
      </rPr>
      <t>·h</t>
    </r>
    <r>
      <rPr>
        <vertAlign val="superscript"/>
        <sz val="11"/>
        <color rgb="FF3F3F76"/>
        <rFont val="等线"/>
        <family val="3"/>
        <charset val="134"/>
        <scheme val="minor"/>
      </rPr>
      <t>-1</t>
    </r>
    <phoneticPr fontId="5" type="noConversion"/>
  </si>
  <si>
    <t>室外侧风量/m3·h-1</t>
    <phoneticPr fontId="5" type="noConversion"/>
  </si>
  <si>
    <t>室内侧换热量//蒸发器/W</t>
    <phoneticPr fontId="5" type="noConversion"/>
  </si>
  <si>
    <t>压缩机功率/W</t>
    <phoneticPr fontId="5" type="noConversion"/>
  </si>
  <si>
    <t>压缩机功率WT500</t>
    <phoneticPr fontId="5" type="noConversion"/>
  </si>
  <si>
    <t>室内侧COP</t>
    <phoneticPr fontId="5" type="noConversion"/>
  </si>
  <si>
    <t>室内出风湿球/℃</t>
    <phoneticPr fontId="5" type="noConversion"/>
  </si>
  <si>
    <t>室外出风干球/℃</t>
    <phoneticPr fontId="5" type="noConversion"/>
  </si>
  <si>
    <t>室外出风湿球/℃</t>
    <phoneticPr fontId="5" type="noConversion"/>
  </si>
  <si>
    <t>流量</t>
    <phoneticPr fontId="5" type="noConversion"/>
  </si>
  <si>
    <t>压降</t>
    <phoneticPr fontId="5" type="noConversion"/>
  </si>
  <si>
    <t>蒸发器</t>
    <phoneticPr fontId="5" type="noConversion"/>
  </si>
  <si>
    <t>蒸发器至储液器</t>
    <phoneticPr fontId="5" type="noConversion"/>
  </si>
  <si>
    <t>储液器至吸气</t>
    <phoneticPr fontId="5" type="noConversion"/>
  </si>
  <si>
    <t>原系统</t>
    <phoneticPr fontId="5" type="noConversion"/>
  </si>
  <si>
    <t>新系统</t>
    <phoneticPr fontId="5" type="noConversion"/>
  </si>
  <si>
    <t>三花</t>
    <phoneticPr fontId="5" type="noConversion"/>
  </si>
  <si>
    <t>蒸发器压降</t>
    <phoneticPr fontId="5" type="noConversion"/>
  </si>
  <si>
    <t>流量</t>
    <phoneticPr fontId="5" type="noConversion"/>
  </si>
  <si>
    <t>流量</t>
    <phoneticPr fontId="5" type="noConversion"/>
  </si>
  <si>
    <t>原系统</t>
    <phoneticPr fontId="5" type="noConversion"/>
  </si>
  <si>
    <t>风量</t>
    <phoneticPr fontId="5" type="noConversion"/>
  </si>
  <si>
    <t>制冷量</t>
    <phoneticPr fontId="5" type="noConversion"/>
  </si>
  <si>
    <t>COP</t>
    <phoneticPr fontId="5" type="noConversion"/>
  </si>
  <si>
    <t>新系统</t>
    <phoneticPr fontId="5" type="noConversion"/>
  </si>
  <si>
    <t>三花</t>
    <phoneticPr fontId="5" type="noConversion"/>
  </si>
  <si>
    <t>流量</t>
    <phoneticPr fontId="5" type="noConversion"/>
  </si>
  <si>
    <t>流量</t>
    <phoneticPr fontId="5" type="noConversion"/>
  </si>
  <si>
    <t>流量</t>
    <phoneticPr fontId="5" type="noConversion"/>
  </si>
  <si>
    <t>主换热器出口</t>
    <phoneticPr fontId="5" type="noConversion"/>
  </si>
  <si>
    <t>排气至气冷</t>
    <phoneticPr fontId="5" type="noConversion"/>
  </si>
  <si>
    <t>气冷</t>
    <phoneticPr fontId="5" type="noConversion"/>
  </si>
  <si>
    <t>回热</t>
    <phoneticPr fontId="5" type="noConversion"/>
  </si>
  <si>
    <t>列17</t>
  </si>
  <si>
    <t>列18</t>
  </si>
  <si>
    <t>列19</t>
  </si>
  <si>
    <t>列20</t>
  </si>
  <si>
    <t>列21</t>
  </si>
  <si>
    <t>列22</t>
  </si>
  <si>
    <t>列122</t>
  </si>
  <si>
    <t>列23</t>
  </si>
  <si>
    <t>列24</t>
  </si>
  <si>
    <t>列25</t>
  </si>
  <si>
    <t>列26</t>
  </si>
  <si>
    <t>列27</t>
  </si>
  <si>
    <t>列28</t>
  </si>
  <si>
    <t>列29</t>
  </si>
  <si>
    <t>列30</t>
  </si>
  <si>
    <t>列31</t>
  </si>
  <si>
    <t>列32</t>
  </si>
  <si>
    <t>列33</t>
  </si>
  <si>
    <t>列34</t>
  </si>
  <si>
    <t>列35</t>
  </si>
  <si>
    <t>列36</t>
  </si>
  <si>
    <t>列37</t>
  </si>
  <si>
    <t>列38</t>
  </si>
  <si>
    <t>列39</t>
  </si>
  <si>
    <t>列40</t>
  </si>
  <si>
    <t>列41</t>
  </si>
  <si>
    <t>列42</t>
  </si>
  <si>
    <t>列43</t>
  </si>
  <si>
    <t>列44</t>
  </si>
  <si>
    <t>列45</t>
  </si>
  <si>
    <t>列46</t>
  </si>
  <si>
    <t>列47</t>
  </si>
  <si>
    <t>0809两图</t>
    <phoneticPr fontId="5" type="noConversion"/>
  </si>
  <si>
    <t>120308,09</t>
    <phoneticPr fontId="5" type="noConversion"/>
  </si>
  <si>
    <t>列48</t>
  </si>
  <si>
    <t>列49</t>
  </si>
  <si>
    <t>列50</t>
  </si>
  <si>
    <t>列51</t>
  </si>
  <si>
    <t>列52</t>
  </si>
  <si>
    <t>列53</t>
  </si>
  <si>
    <t>列54</t>
  </si>
  <si>
    <t>列55</t>
  </si>
  <si>
    <t>列56</t>
  </si>
  <si>
    <t>列57</t>
  </si>
  <si>
    <t>列12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</si>
</sst>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9C65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sz val="11"/>
      <color rgb="FFFF0000"/>
      <name val="等线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vertAlign val="superscript"/>
      <sz val="11"/>
      <color rgb="FF3F3F76"/>
      <name val="等线"/>
      <family val="3"/>
      <charset val="134"/>
      <scheme val="minor"/>
    </font>
    <font>
      <b/>
      <sz val="11"/>
      <color rgb="FF3F3F3F"/>
      <name val="等线"/>
      <family val="2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theme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3F3F3F"/>
      </left>
      <right style="thin">
        <color rgb="FF3F3F3F"/>
      </right>
      <top/>
      <bottom/>
      <diagonal/>
    </border>
    <border>
      <left style="thin">
        <color rgb="FF7F7F7F"/>
      </left>
      <right style="thin">
        <color rgb="FF7F7F7F"/>
      </right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/>
      <right/>
      <top style="thin">
        <color rgb="FF3F3F3F"/>
      </top>
      <bottom/>
      <diagonal/>
    </border>
    <border>
      <left/>
      <right style="thin">
        <color rgb="FF7F7F7F"/>
      </right>
      <top/>
      <bottom/>
      <diagonal/>
    </border>
    <border>
      <left style="thin">
        <color rgb="FF7F7F7F"/>
      </left>
      <right style="thin">
        <color rgb="FF7F7F7F"/>
      </right>
      <top/>
      <bottom style="thin">
        <color rgb="FF3F3F3F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/>
      <top style="thin">
        <color rgb="FF3F3F3F"/>
      </top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</borders>
  <cellStyleXfs count="6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0" fontId="4" fillId="4" borderId="1" applyNumberFormat="0" applyAlignment="0" applyProtection="0">
      <alignment vertical="center"/>
    </xf>
    <xf numFmtId="0" fontId="1" fillId="5" borderId="3" applyNumberFormat="0" applyFont="0" applyAlignment="0" applyProtection="0">
      <alignment vertical="center"/>
    </xf>
    <xf numFmtId="0" fontId="11" fillId="4" borderId="2" applyNumberFormat="0" applyAlignment="0" applyProtection="0">
      <alignment vertical="center"/>
    </xf>
  </cellStyleXfs>
  <cellXfs count="5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9" fontId="0" fillId="5" borderId="3" xfId="4" applyNumberFormat="1" applyFont="1" applyAlignment="1">
      <alignment horizontal="center" vertical="center"/>
    </xf>
    <xf numFmtId="0" fontId="2" fillId="2" borderId="0" xfId="1" applyAlignment="1">
      <alignment horizontal="center" vertical="center"/>
    </xf>
    <xf numFmtId="0" fontId="2" fillId="2" borderId="4" xfId="1" applyBorder="1" applyAlignment="1">
      <alignment horizontal="center" vertical="center"/>
    </xf>
    <xf numFmtId="0" fontId="0" fillId="6" borderId="0" xfId="0" applyFill="1">
      <alignment vertical="center"/>
    </xf>
    <xf numFmtId="0" fontId="4" fillId="4" borderId="1" xfId="3" applyAlignment="1">
      <alignment horizontal="center" vertical="center"/>
    </xf>
    <xf numFmtId="0" fontId="0" fillId="5" borderId="3" xfId="4" applyNumberFormat="1" applyFont="1" applyAlignment="1">
      <alignment horizontal="center" vertical="center"/>
    </xf>
    <xf numFmtId="0" fontId="4" fillId="4" borderId="1" xfId="3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3" borderId="1" xfId="2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6" borderId="1" xfId="2" applyFill="1" applyAlignment="1">
      <alignment horizontal="center" vertical="center"/>
    </xf>
    <xf numFmtId="0" fontId="0" fillId="0" borderId="0" xfId="0" applyAlignment="1">
      <alignment vertical="center"/>
    </xf>
    <xf numFmtId="0" fontId="11" fillId="4" borderId="2" xfId="5" applyAlignment="1">
      <alignment horizontal="center" vertical="center"/>
    </xf>
    <xf numFmtId="0" fontId="11" fillId="4" borderId="2" xfId="5" applyAlignment="1">
      <alignment vertical="center"/>
    </xf>
    <xf numFmtId="0" fontId="0" fillId="6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4" borderId="1" xfId="3" applyAlignment="1">
      <alignment horizontal="center" vertical="center"/>
    </xf>
    <xf numFmtId="0" fontId="3" fillId="7" borderId="1" xfId="2" applyFill="1" applyAlignment="1">
      <alignment horizontal="center" vertical="center"/>
    </xf>
    <xf numFmtId="0" fontId="6" fillId="7" borderId="0" xfId="0" applyFont="1" applyFill="1">
      <alignment vertical="center"/>
    </xf>
    <xf numFmtId="0" fontId="0" fillId="0" borderId="0" xfId="0" applyAlignment="1">
      <alignment horizontal="center" vertical="center"/>
    </xf>
    <xf numFmtId="0" fontId="4" fillId="4" borderId="1" xfId="3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4" borderId="1" xfId="3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4" borderId="1" xfId="3" applyAlignment="1">
      <alignment horizontal="center" vertical="center"/>
    </xf>
    <xf numFmtId="0" fontId="0" fillId="5" borderId="15" xfId="4" applyNumberFormat="1" applyFont="1" applyBorder="1" applyAlignment="1">
      <alignment horizontal="center" vertical="center"/>
    </xf>
    <xf numFmtId="0" fontId="2" fillId="2" borderId="1" xfId="1" applyBorder="1" applyAlignment="1">
      <alignment horizontal="center" vertical="center"/>
    </xf>
    <xf numFmtId="0" fontId="6" fillId="3" borderId="1" xfId="2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4" borderId="1" xfId="3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4" borderId="1" xfId="3" applyAlignment="1">
      <alignment horizontal="center" vertical="center"/>
    </xf>
    <xf numFmtId="0" fontId="2" fillId="8" borderId="1" xfId="1" applyFill="1" applyBorder="1" applyAlignment="1">
      <alignment horizontal="center" vertical="center"/>
    </xf>
    <xf numFmtId="0" fontId="0" fillId="8" borderId="0" xfId="0" applyFill="1">
      <alignment vertical="center"/>
    </xf>
    <xf numFmtId="0" fontId="4" fillId="4" borderId="5" xfId="3" applyBorder="1" applyAlignment="1">
      <alignment horizontal="center" vertical="center"/>
    </xf>
    <xf numFmtId="0" fontId="4" fillId="4" borderId="7" xfId="3" applyBorder="1" applyAlignment="1">
      <alignment horizontal="center" vertical="center"/>
    </xf>
    <xf numFmtId="0" fontId="4" fillId="4" borderId="11" xfId="3" applyBorder="1" applyAlignment="1">
      <alignment horizontal="center" vertical="center"/>
    </xf>
    <xf numFmtId="0" fontId="2" fillId="2" borderId="8" xfId="1" applyBorder="1" applyAlignment="1">
      <alignment horizontal="center" vertical="center"/>
    </xf>
    <xf numFmtId="0" fontId="2" fillId="2" borderId="6" xfId="1" applyBorder="1" applyAlignment="1">
      <alignment horizontal="center" vertical="center"/>
    </xf>
    <xf numFmtId="0" fontId="0" fillId="5" borderId="9" xfId="4" applyFont="1" applyBorder="1" applyAlignment="1">
      <alignment horizontal="center" vertical="center"/>
    </xf>
    <xf numFmtId="0" fontId="0" fillId="5" borderId="0" xfId="4" applyFont="1" applyBorder="1" applyAlignment="1">
      <alignment horizontal="center" vertical="center"/>
    </xf>
    <xf numFmtId="0" fontId="3" fillId="3" borderId="10" xfId="2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1" fillId="4" borderId="2" xfId="5" applyAlignment="1">
      <alignment horizontal="center" vertical="center"/>
    </xf>
    <xf numFmtId="0" fontId="4" fillId="4" borderId="1" xfId="3" applyAlignment="1">
      <alignment horizontal="center" vertical="center"/>
    </xf>
    <xf numFmtId="0" fontId="11" fillId="4" borderId="12" xfId="5" applyBorder="1" applyAlignment="1">
      <alignment horizontal="center" vertical="center"/>
    </xf>
    <xf numFmtId="0" fontId="11" fillId="4" borderId="13" xfId="5" applyBorder="1" applyAlignment="1">
      <alignment horizontal="center" vertical="center"/>
    </xf>
    <xf numFmtId="0" fontId="11" fillId="4" borderId="14" xfId="5" applyBorder="1" applyAlignment="1">
      <alignment horizontal="center" vertical="center"/>
    </xf>
  </cellXfs>
  <cellStyles count="6">
    <cellStyle name="常规" xfId="0" builtinId="0"/>
    <cellStyle name="计算" xfId="3" builtinId="22"/>
    <cellStyle name="适中" xfId="1" builtinId="28"/>
    <cellStyle name="输出" xfId="5" builtinId="21"/>
    <cellStyle name="输入" xfId="2" builtinId="20"/>
    <cellStyle name="注释" xfId="4" builtinId="10"/>
  </cellStyles>
  <dxfs count="105">
    <dxf>
      <fill>
        <patternFill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F3F76"/>
        <name val="等线"/>
        <scheme val="minor"/>
      </font>
      <fill>
        <patternFill patternType="solid">
          <fgColor indexed="64"/>
          <bgColor rgb="FFFFCC9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7F7F7F"/>
        </left>
        <right style="thin">
          <color rgb="FF7F7F7F"/>
        </right>
        <top style="thin">
          <color rgb="FF7F7F7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F3F76"/>
        <name val="等线"/>
        <scheme val="minor"/>
      </font>
      <fill>
        <patternFill patternType="solid">
          <fgColor indexed="64"/>
          <bgColor rgb="FFFFCC9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7F7F7F"/>
        </left>
        <right style="thin">
          <color rgb="FF7F7F7F"/>
        </right>
        <top style="thin">
          <color rgb="FF7F7F7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F3F76"/>
        <name val="等线"/>
        <scheme val="minor"/>
      </font>
      <fill>
        <patternFill patternType="solid">
          <fgColor indexed="64"/>
          <bgColor rgb="FFFFCC9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7F7F7F"/>
        </left>
        <right style="thin">
          <color rgb="FF7F7F7F"/>
        </right>
        <top style="thin">
          <color rgb="FF7F7F7F"/>
        </top>
        <bottom/>
      </border>
    </dxf>
    <dxf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>
          <fgColor indexed="64"/>
          <bgColor rgb="FFFFFF00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宋体" panose="02010600030101010101" pitchFamily="2" charset="-122"/>
                <a:ea typeface="宋体" panose="02010600030101010101" pitchFamily="2" charset="-122"/>
                <a:cs typeface="+mn-cs"/>
              </a:defRPr>
            </a:pPr>
            <a:r>
              <a:rPr lang="zh-CN" altLang="en-US">
                <a:solidFill>
                  <a:sysClr val="windowText" lastClr="000000"/>
                </a:solidFill>
                <a:latin typeface="宋体" panose="02010600030101010101" pitchFamily="2" charset="-122"/>
                <a:ea typeface="宋体" panose="02010600030101010101" pitchFamily="2" charset="-122"/>
              </a:rPr>
              <a:t>系统各部件压降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宋体" panose="02010600030101010101" pitchFamily="2" charset="-122"/>
              <a:ea typeface="宋体" panose="02010600030101010101" pitchFamily="2" charset="-122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3168285214348208"/>
          <c:y val="0.18039370078740158"/>
          <c:w val="0.78845603674540676"/>
          <c:h val="0.6167745698454359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压降分析!$B$2</c:f>
              <c:strCache>
                <c:ptCount val="1"/>
                <c:pt idx="0">
                  <c:v>蒸发器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压降分析!$C$1:$F$1</c:f>
              <c:numCache>
                <c:formatCode>General</c:formatCode>
                <c:ptCount val="4"/>
                <c:pt idx="0">
                  <c:v>68.599999999999994</c:v>
                </c:pt>
              </c:numCache>
            </c:numRef>
          </c:xVal>
          <c:yVal>
            <c:numRef>
              <c:f>压降分析!$C$2:$F$2</c:f>
              <c:numCache>
                <c:formatCode>General</c:formatCode>
                <c:ptCount val="4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11B-4727-BC19-4C8542DBF3EA}"/>
            </c:ext>
          </c:extLst>
        </c:ser>
        <c:ser>
          <c:idx val="1"/>
          <c:order val="1"/>
          <c:tx>
            <c:strRef>
              <c:f>压降分析!$B$3</c:f>
              <c:strCache>
                <c:ptCount val="1"/>
                <c:pt idx="0">
                  <c:v>蒸发器至储液器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压降分析!$C$1:$F$1</c:f>
              <c:numCache>
                <c:formatCode>General</c:formatCode>
                <c:ptCount val="4"/>
                <c:pt idx="0">
                  <c:v>68.599999999999994</c:v>
                </c:pt>
              </c:numCache>
            </c:numRef>
          </c:xVal>
          <c:yVal>
            <c:numRef>
              <c:f>压降分析!$C$3:$F$3</c:f>
              <c:numCache>
                <c:formatCode>General</c:formatCode>
                <c:ptCount val="4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11B-4727-BC19-4C8542DBF3EA}"/>
            </c:ext>
          </c:extLst>
        </c:ser>
        <c:ser>
          <c:idx val="2"/>
          <c:order val="2"/>
          <c:tx>
            <c:strRef>
              <c:f>压降分析!#REF!</c:f>
              <c:strCache>
                <c:ptCount val="1"/>
                <c:pt idx="0">
                  <c:v>#REF!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压降分析!$C$1:$F$1</c:f>
              <c:numCache>
                <c:formatCode>General</c:formatCode>
                <c:ptCount val="4"/>
                <c:pt idx="0">
                  <c:v>68.599999999999994</c:v>
                </c:pt>
              </c:numCache>
            </c:numRef>
          </c:xVal>
          <c:yVal>
            <c:numRef>
              <c:f>压降分析!$C$4:$F$4</c:f>
              <c:numCache>
                <c:formatCode>General</c:formatCode>
                <c:ptCount val="4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11B-4727-BC19-4C8542DBF3EA}"/>
            </c:ext>
          </c:extLst>
        </c:ser>
        <c:ser>
          <c:idx val="3"/>
          <c:order val="3"/>
          <c:tx>
            <c:strRef>
              <c:f>压降分析!$B$4</c:f>
              <c:strCache>
                <c:ptCount val="1"/>
                <c:pt idx="0">
                  <c:v>储液器至吸气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压降分析!$C$1:$F$1</c:f>
              <c:numCache>
                <c:formatCode>General</c:formatCode>
                <c:ptCount val="4"/>
                <c:pt idx="0">
                  <c:v>68.599999999999994</c:v>
                </c:pt>
              </c:numCache>
            </c:numRef>
          </c:xVal>
          <c:yVal>
            <c:numRef>
              <c:f>压降分析!$C$5:$F$5</c:f>
              <c:numCache>
                <c:formatCode>General</c:formatCode>
                <c:ptCount val="4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11B-4727-BC19-4C8542DBF3EA}"/>
            </c:ext>
          </c:extLst>
        </c:ser>
        <c:ser>
          <c:idx val="4"/>
          <c:order val="4"/>
          <c:tx>
            <c:strRef>
              <c:f>压降分析!$B$5</c:f>
              <c:strCache>
                <c:ptCount val="1"/>
                <c:pt idx="0">
                  <c:v>排气至气冷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压降分析!$C$1:$F$1</c:f>
              <c:numCache>
                <c:formatCode>General</c:formatCode>
                <c:ptCount val="4"/>
                <c:pt idx="0">
                  <c:v>68.599999999999994</c:v>
                </c:pt>
              </c:numCache>
            </c:numRef>
          </c:xVal>
          <c:yVal>
            <c:numRef>
              <c:f>压降分析!$C$6:$F$6</c:f>
              <c:numCache>
                <c:formatCode>General</c:formatCode>
                <c:ptCount val="4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11B-4727-BC19-4C8542DBF3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4395967"/>
        <c:axId val="1064379327"/>
      </c:scatterChart>
      <c:valAx>
        <c:axId val="1064395967"/>
        <c:scaling>
          <c:orientation val="minMax"/>
          <c:min val="9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defRPr>
                </a:pPr>
                <a:r>
                  <a:rPr lang="zh-CN" alt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rPr>
                  <a:t>流量</a:t>
                </a: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rPr>
                  <a:t>/kg·h</a:t>
                </a:r>
                <a:r>
                  <a:rPr lang="en-US" altLang="zh-CN" baseline="30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rPr>
                  <a:t>-1</a:t>
                </a:r>
                <a:endParaRPr lang="zh-CN" altLang="en-US" baseline="3000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064379327"/>
        <c:crosses val="autoZero"/>
        <c:crossBetween val="midCat"/>
      </c:valAx>
      <c:valAx>
        <c:axId val="1064379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2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defRPr>
                </a:pPr>
                <a:r>
                  <a:rPr lang="zh-CN" alt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rPr>
                  <a:t>压降</a:t>
                </a: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rPr>
                  <a:t>/MPa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0643959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5555555555555556"/>
          <c:y val="0.13330890930300379"/>
          <c:w val="0.25833333333333336"/>
          <c:h val="0.2795166229221347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100.3kg·h</a:t>
            </a:r>
            <a:r>
              <a:rPr lang="en-US" altLang="zh-CN" baseline="30000"/>
              <a:t>-1</a:t>
            </a:r>
            <a:endParaRPr lang="zh-CN" altLang="en-US" baseline="30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A4D-4FFA-ADF3-E780067F85C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A4D-4FFA-ADF3-E780067F85C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A4D-4FFA-ADF3-E780067F85C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A4D-4FFA-ADF3-E780067F85C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压降分析!$B$2:$B$4</c:f>
              <c:strCache>
                <c:ptCount val="3"/>
                <c:pt idx="0">
                  <c:v>蒸发器</c:v>
                </c:pt>
                <c:pt idx="1">
                  <c:v>蒸发器至储液器</c:v>
                </c:pt>
                <c:pt idx="2">
                  <c:v>储液器至吸气</c:v>
                </c:pt>
              </c:strCache>
            </c:strRef>
          </c:cat>
          <c:val>
            <c:numRef>
              <c:f>压降分析!$C$2:$C$5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1D-47A0-B815-F2CA982A8CA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106.3kg·h</a:t>
            </a:r>
            <a:r>
              <a:rPr lang="en-US" altLang="zh-CN" baseline="30000"/>
              <a:t>-1</a:t>
            </a:r>
            <a:endParaRPr lang="zh-CN" altLang="en-US" baseline="30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F20-43F2-A6C7-71657F8DCD4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F20-43F2-A6C7-71657F8DCD4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F20-43F2-A6C7-71657F8DCD4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F20-43F2-A6C7-71657F8DCD4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压降分析!$B$2:$B$4</c:f>
              <c:strCache>
                <c:ptCount val="3"/>
                <c:pt idx="0">
                  <c:v>蒸发器</c:v>
                </c:pt>
                <c:pt idx="1">
                  <c:v>蒸发器至储液器</c:v>
                </c:pt>
                <c:pt idx="2">
                  <c:v>储液器至吸气</c:v>
                </c:pt>
              </c:strCache>
            </c:strRef>
          </c:cat>
          <c:val>
            <c:numRef>
              <c:f>压降分析!$E$2:$E$5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8-DF20-43F2-A6C7-71657F8DCD4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104.7kg·h</a:t>
            </a:r>
            <a:r>
              <a:rPr lang="en-US" altLang="zh-CN" baseline="30000"/>
              <a:t>-1</a:t>
            </a:r>
            <a:endParaRPr lang="zh-CN" altLang="en-US" baseline="30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88C-4CB3-85EA-DCDAEF889D2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88C-4CB3-85EA-DCDAEF889D2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88C-4CB3-85EA-DCDAEF889D2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88C-4CB3-85EA-DCDAEF889D2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压降分析!$B$2:$B$4</c:f>
              <c:strCache>
                <c:ptCount val="3"/>
                <c:pt idx="0">
                  <c:v>蒸发器</c:v>
                </c:pt>
                <c:pt idx="1">
                  <c:v>蒸发器至储液器</c:v>
                </c:pt>
                <c:pt idx="2">
                  <c:v>储液器至吸气</c:v>
                </c:pt>
              </c:strCache>
            </c:strRef>
          </c:cat>
          <c:val>
            <c:numRef>
              <c:f>压降分析!$D$2:$D$5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8-388C-4CB3-85EA-DCDAEF889D2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131.2kg·h</a:t>
            </a:r>
            <a:r>
              <a:rPr lang="en-US" altLang="zh-CN" baseline="30000"/>
              <a:t>-1</a:t>
            </a:r>
            <a:endParaRPr lang="zh-CN" altLang="en-US" baseline="30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EF4-4EA7-B0F4-0325B766FB6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EF4-4EA7-B0F4-0325B766FB6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EF4-4EA7-B0F4-0325B766FB6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EF4-4EA7-B0F4-0325B766FB6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压降分析!$B$2:$B$4</c:f>
              <c:strCache>
                <c:ptCount val="3"/>
                <c:pt idx="0">
                  <c:v>蒸发器</c:v>
                </c:pt>
                <c:pt idx="1">
                  <c:v>蒸发器至储液器</c:v>
                </c:pt>
                <c:pt idx="2">
                  <c:v>储液器至吸气</c:v>
                </c:pt>
              </c:strCache>
            </c:strRef>
          </c:cat>
          <c:val>
            <c:numRef>
              <c:f>压降分析!$F$2:$F$5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8-7EF4-4EA7-B0F4-0325B766FB6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(压降分析!$B$28,压降分析!$D$28,压降分析!$F$28)</c:f>
              <c:strCache>
                <c:ptCount val="3"/>
                <c:pt idx="0">
                  <c:v>原系统</c:v>
                </c:pt>
                <c:pt idx="1">
                  <c:v>新系统</c:v>
                </c:pt>
                <c:pt idx="2">
                  <c:v>三花</c:v>
                </c:pt>
              </c:strCache>
            </c:strRef>
          </c:cat>
          <c:val>
            <c:numRef>
              <c:f>(压降分析!$C$32,压降分析!$E$32,压降分析!$G$32)</c:f>
              <c:numCache>
                <c:formatCode>General</c:formatCode>
                <c:ptCount val="3"/>
                <c:pt idx="0">
                  <c:v>0.5950000000000002</c:v>
                </c:pt>
                <c:pt idx="1">
                  <c:v>0.33599999999999985</c:v>
                </c:pt>
                <c:pt idx="2">
                  <c:v>0.26400000000000001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26-4D5E-B831-A86E15C2A19D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(压降分析!$B$28,压降分析!$D$28,压降分析!$F$28)</c:f>
              <c:strCache>
                <c:ptCount val="3"/>
                <c:pt idx="0">
                  <c:v>原系统</c:v>
                </c:pt>
                <c:pt idx="1">
                  <c:v>新系统</c:v>
                </c:pt>
                <c:pt idx="2">
                  <c:v>三花</c:v>
                </c:pt>
              </c:strCache>
            </c:strRef>
          </c:cat>
          <c:val>
            <c:numRef>
              <c:f>(压降分析!$C$33,压降分析!$E$33,压降分析!$G$33)</c:f>
              <c:numCache>
                <c:formatCode>General</c:formatCode>
                <c:ptCount val="3"/>
                <c:pt idx="0">
                  <c:v>0.82499999999999973</c:v>
                </c:pt>
                <c:pt idx="1">
                  <c:v>0.5089999999999999</c:v>
                </c:pt>
                <c:pt idx="2">
                  <c:v>0.32400000000000001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26-4D5E-B831-A86E15C2A19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291821103"/>
        <c:axId val="1291838575"/>
        <c:axId val="0"/>
      </c:bar3DChart>
      <c:catAx>
        <c:axId val="1291821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ea"/>
                <a:ea typeface="+mn-ea"/>
                <a:cs typeface="+mn-cs"/>
              </a:defRPr>
            </a:pPr>
            <a:endParaRPr lang="zh-CN"/>
          </a:p>
        </c:txPr>
        <c:crossAx val="1291838575"/>
        <c:crosses val="autoZero"/>
        <c:auto val="1"/>
        <c:lblAlgn val="ctr"/>
        <c:lblOffset val="100"/>
        <c:noMultiLvlLbl val="0"/>
      </c:catAx>
      <c:valAx>
        <c:axId val="1291838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zh-CN" alt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rPr>
                  <a:t>压降</a:t>
                </a: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rPr>
                  <a:t>/MPa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291821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314325</xdr:colOff>
      <xdr:row>6</xdr:row>
      <xdr:rowOff>171450</xdr:rowOff>
    </xdr:from>
    <xdr:to>
      <xdr:col>15</xdr:col>
      <xdr:colOff>85725</xdr:colOff>
      <xdr:row>22</xdr:row>
      <xdr:rowOff>19050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0</xdr:colOff>
      <xdr:row>3</xdr:row>
      <xdr:rowOff>28575</xdr:rowOff>
    </xdr:from>
    <xdr:to>
      <xdr:col>21</xdr:col>
      <xdr:colOff>414337</xdr:colOff>
      <xdr:row>18</xdr:row>
      <xdr:rowOff>57150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495300</xdr:colOff>
      <xdr:row>4</xdr:row>
      <xdr:rowOff>133350</xdr:rowOff>
    </xdr:from>
    <xdr:to>
      <xdr:col>20</xdr:col>
      <xdr:colOff>223837</xdr:colOff>
      <xdr:row>19</xdr:row>
      <xdr:rowOff>161925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161925</xdr:colOff>
      <xdr:row>10</xdr:row>
      <xdr:rowOff>85725</xdr:rowOff>
    </xdr:from>
    <xdr:to>
      <xdr:col>20</xdr:col>
      <xdr:colOff>576262</xdr:colOff>
      <xdr:row>25</xdr:row>
      <xdr:rowOff>114300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561975</xdr:colOff>
      <xdr:row>13</xdr:row>
      <xdr:rowOff>66675</xdr:rowOff>
    </xdr:from>
    <xdr:to>
      <xdr:col>21</xdr:col>
      <xdr:colOff>290512</xdr:colOff>
      <xdr:row>28</xdr:row>
      <xdr:rowOff>95250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433387</xdr:colOff>
      <xdr:row>18</xdr:row>
      <xdr:rowOff>0</xdr:rowOff>
    </xdr:from>
    <xdr:to>
      <xdr:col>14</xdr:col>
      <xdr:colOff>204787</xdr:colOff>
      <xdr:row>33</xdr:row>
      <xdr:rowOff>28575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表3" displayName="表3" ref="B1:BB40" totalsRowShown="0" dataDxfId="104">
  <autoFilter ref="B1:BB40" xr:uid="{00000000-0009-0000-0100-000003000000}"/>
  <tableColumns count="53">
    <tableColumn id="9" xr3:uid="{00000000-0010-0000-0000-000009000000}" name="列0" dataDxfId="103" totalsRowDxfId="102"/>
    <tableColumn id="4" xr3:uid="{00000000-0010-0000-0000-000004000000}" name="列1" dataDxfId="101" totalsRowDxfId="100"/>
    <tableColumn id="16" xr3:uid="{00000000-0010-0000-0000-000010000000}" name="列2" dataDxfId="12" totalsRowDxfId="99" dataCellStyle="输入"/>
    <tableColumn id="18" xr3:uid="{00000000-0010-0000-0000-000012000000}" name="列3" dataDxfId="11" totalsRowDxfId="98"/>
    <tableColumn id="1" xr3:uid="{00000000-0010-0000-0000-000001000000}" name="列4" dataDxfId="10" totalsRowDxfId="97"/>
    <tableColumn id="23" xr3:uid="{00000000-0010-0000-0000-000017000000}" name="列11" dataDxfId="96" totalsRowDxfId="95"/>
    <tableColumn id="22" xr3:uid="{00000000-0010-0000-0000-000016000000}" name="列12" dataDxfId="9" totalsRowDxfId="94" dataCellStyle="好"/>
    <tableColumn id="10" xr3:uid="{00000000-0010-0000-0000-00000A000000}" name="列122" dataDxfId="93" totalsRowDxfId="92" dataCellStyle="好"/>
    <tableColumn id="12" xr3:uid="{00000000-0010-0000-0000-00000C000000}" name="列13" dataDxfId="91" totalsRowDxfId="90"/>
    <tableColumn id="13" xr3:uid="{00000000-0010-0000-0000-00000D000000}" name="列14" dataDxfId="89" totalsRowDxfId="88"/>
    <tableColumn id="14" xr3:uid="{00000000-0010-0000-0000-00000E000000}" name="列15" dataDxfId="8" dataCellStyle="好"/>
    <tableColumn id="15" xr3:uid="{00000000-0010-0000-0000-00000F000000}" name="列16" dataDxfId="87" totalsRowDxfId="86"/>
    <tableColumn id="2" xr3:uid="{00000000-0010-0000-0000-000002000000}" name="列17" dataDxfId="85" totalsRowDxfId="84"/>
    <tableColumn id="3" xr3:uid="{00000000-0010-0000-0000-000003000000}" name="列18" dataDxfId="7" dataCellStyle="好"/>
    <tableColumn id="5" xr3:uid="{00000000-0010-0000-0000-000005000000}" name="列19" dataDxfId="83" totalsRowDxfId="82"/>
    <tableColumn id="6" xr3:uid="{00000000-0010-0000-0000-000006000000}" name="列20" dataDxfId="6" totalsRowDxfId="81"/>
    <tableColumn id="7" xr3:uid="{00000000-0010-0000-0000-000007000000}" name="列21" dataDxfId="80" totalsRowDxfId="79"/>
    <tableColumn id="8" xr3:uid="{00000000-0010-0000-0000-000008000000}" name="列22" dataDxfId="78" totalsRowDxfId="77"/>
    <tableColumn id="25" xr3:uid="{00000000-0010-0000-0000-000019000000}" name="列23" dataDxfId="5" totalsRowDxfId="76"/>
    <tableColumn id="26" xr3:uid="{00000000-0010-0000-0000-00001A000000}" name="列24" dataDxfId="75" totalsRowDxfId="74"/>
    <tableColumn id="27" xr3:uid="{00000000-0010-0000-0000-00001B000000}" name="列25" dataDxfId="73" totalsRowDxfId="72"/>
    <tableColumn id="28" xr3:uid="{00000000-0010-0000-0000-00001C000000}" name="列26" dataDxfId="4" totalsRowDxfId="71"/>
    <tableColumn id="29" xr3:uid="{00000000-0010-0000-0000-00001D000000}" name="列27" dataDxfId="3" totalsRowDxfId="70"/>
    <tableColumn id="30" xr3:uid="{00000000-0010-0000-0000-00001E000000}" name="列28" dataDxfId="69" totalsRowDxfId="68"/>
    <tableColumn id="31" xr3:uid="{00000000-0010-0000-0000-00001F000000}" name="列29" dataDxfId="67" totalsRowDxfId="66"/>
    <tableColumn id="32" xr3:uid="{00000000-0010-0000-0000-000020000000}" name="列30" dataDxfId="65" totalsRowDxfId="64"/>
    <tableColumn id="33" xr3:uid="{00000000-0010-0000-0000-000021000000}" name="列31" dataDxfId="63" totalsRowDxfId="62"/>
    <tableColumn id="34" xr3:uid="{00000000-0010-0000-0000-000022000000}" name="列32" dataDxfId="2" totalsRowDxfId="61" dataCellStyle="好"/>
    <tableColumn id="35" xr3:uid="{00000000-0010-0000-0000-000023000000}" name="列33" dataDxfId="60" totalsRowDxfId="59"/>
    <tableColumn id="36" xr3:uid="{00000000-0010-0000-0000-000024000000}" name="列34" dataDxfId="1" totalsRowDxfId="58" dataCellStyle="好"/>
    <tableColumn id="37" xr3:uid="{00000000-0010-0000-0000-000025000000}" name="列35" dataDxfId="57" totalsRowDxfId="56"/>
    <tableColumn id="38" xr3:uid="{00000000-0010-0000-0000-000026000000}" name="列36" dataDxfId="55" totalsRowDxfId="54"/>
    <tableColumn id="39" xr3:uid="{00000000-0010-0000-0000-000027000000}" name="列37" dataDxfId="0" totalsRowDxfId="53" dataCellStyle="好"/>
    <tableColumn id="40" xr3:uid="{00000000-0010-0000-0000-000028000000}" name="列38" dataDxfId="52" totalsRowDxfId="51"/>
    <tableColumn id="41" xr3:uid="{00000000-0010-0000-0000-000029000000}" name="列39" dataDxfId="50" totalsRowDxfId="49"/>
    <tableColumn id="42" xr3:uid="{00000000-0010-0000-0000-00002A000000}" name="列40" dataDxfId="48" totalsRowDxfId="47"/>
    <tableColumn id="43" xr3:uid="{00000000-0010-0000-0000-00002B000000}" name="列41" dataDxfId="17" totalsRowDxfId="46"/>
    <tableColumn id="44" xr3:uid="{00000000-0010-0000-0000-00002C000000}" name="列42" dataDxfId="45" totalsRowDxfId="44"/>
    <tableColumn id="45" xr3:uid="{00000000-0010-0000-0000-00002D000000}" name="列43" dataDxfId="16" totalsRowDxfId="43"/>
    <tableColumn id="46" xr3:uid="{00000000-0010-0000-0000-00002E000000}" name="列44" dataDxfId="42" totalsRowDxfId="41"/>
    <tableColumn id="47" xr3:uid="{00000000-0010-0000-0000-00002F000000}" name="列45" dataDxfId="40" totalsRowDxfId="39"/>
    <tableColumn id="48" xr3:uid="{00000000-0010-0000-0000-000030000000}" name="列46" dataDxfId="38" totalsRowDxfId="37"/>
    <tableColumn id="49" xr3:uid="{00000000-0010-0000-0000-000031000000}" name="列47" dataDxfId="15" totalsRowDxfId="36"/>
    <tableColumn id="50" xr3:uid="{00000000-0010-0000-0000-000032000000}" name="列48" dataDxfId="35" totalsRowDxfId="34"/>
    <tableColumn id="51" xr3:uid="{00000000-0010-0000-0000-000033000000}" name="列49" dataDxfId="14" totalsRowDxfId="33"/>
    <tableColumn id="52" xr3:uid="{00000000-0010-0000-0000-000034000000}" name="列50" dataDxfId="32" totalsRowDxfId="31"/>
    <tableColumn id="53" xr3:uid="{00000000-0010-0000-0000-000035000000}" name="列51" dataDxfId="30" totalsRowDxfId="29"/>
    <tableColumn id="54" xr3:uid="{00000000-0010-0000-0000-000036000000}" name="列52" dataDxfId="13" totalsRowDxfId="28"/>
    <tableColumn id="55" xr3:uid="{00000000-0010-0000-0000-000037000000}" name="列53" dataDxfId="27" totalsRowDxfId="26"/>
    <tableColumn id="56" xr3:uid="{00000000-0010-0000-0000-000038000000}" name="列54" dataDxfId="25" totalsRowDxfId="24"/>
    <tableColumn id="57" xr3:uid="{00000000-0010-0000-0000-000039000000}" name="列55" dataDxfId="23" totalsRowDxfId="22"/>
    <tableColumn id="58" xr3:uid="{00000000-0010-0000-0000-00003A000000}" name="列56" dataDxfId="21" totalsRowDxfId="20"/>
    <tableColumn id="59" xr3:uid="{00000000-0010-0000-0000-00003B000000}" name="列57" dataDxfId="19" totalsRowDxfId="18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B158"/>
  <sheetViews>
    <sheetView tabSelected="1" workbookViewId="0">
      <pane xSplit="2" topLeftCell="AP1" activePane="topRight" state="frozen"/>
      <selection pane="topRight" activeCell="B41" sqref="A41:XFD49"/>
    </sheetView>
  </sheetViews>
  <sheetFormatPr defaultRowHeight="13.9" x14ac:dyDescent="0.4"/>
  <cols>
    <col min="2" max="2" width="29.19921875" customWidth="1"/>
    <col min="3" max="3" width="20.6640625" style="5" customWidth="1"/>
    <col min="7" max="7" width="9.1328125" customWidth="1"/>
    <col min="9" max="9" width="11.1328125" customWidth="1"/>
    <col min="41" max="41" width="10" customWidth="1"/>
  </cols>
  <sheetData>
    <row r="1" spans="1:54" x14ac:dyDescent="0.4">
      <c r="B1" s="5" t="s">
        <v>24</v>
      </c>
      <c r="C1" s="5" t="s">
        <v>25</v>
      </c>
      <c r="D1" t="s">
        <v>26</v>
      </c>
      <c r="E1" t="s">
        <v>27</v>
      </c>
      <c r="F1" t="s">
        <v>28</v>
      </c>
      <c r="G1" s="5" t="s">
        <v>18</v>
      </c>
      <c r="H1" t="s">
        <v>121</v>
      </c>
      <c r="I1" s="5" t="s">
        <v>83</v>
      </c>
      <c r="J1" s="5" t="s">
        <v>19</v>
      </c>
      <c r="K1" s="5" t="s">
        <v>20</v>
      </c>
      <c r="L1" t="s">
        <v>21</v>
      </c>
      <c r="M1" s="5" t="s">
        <v>35</v>
      </c>
      <c r="N1" t="s">
        <v>77</v>
      </c>
      <c r="O1" t="s">
        <v>78</v>
      </c>
      <c r="P1" t="s">
        <v>79</v>
      </c>
      <c r="Q1" t="s">
        <v>80</v>
      </c>
      <c r="R1" t="s">
        <v>81</v>
      </c>
      <c r="S1" t="s">
        <v>82</v>
      </c>
      <c r="T1" t="s">
        <v>84</v>
      </c>
      <c r="U1" t="s">
        <v>85</v>
      </c>
      <c r="V1" t="s">
        <v>86</v>
      </c>
      <c r="W1" t="s">
        <v>87</v>
      </c>
      <c r="X1" t="s">
        <v>88</v>
      </c>
      <c r="Y1" t="s">
        <v>89</v>
      </c>
      <c r="Z1" t="s">
        <v>90</v>
      </c>
      <c r="AA1" t="s">
        <v>91</v>
      </c>
      <c r="AB1" t="s">
        <v>92</v>
      </c>
      <c r="AC1" t="s">
        <v>93</v>
      </c>
      <c r="AD1" t="s">
        <v>94</v>
      </c>
      <c r="AE1" t="s">
        <v>95</v>
      </c>
      <c r="AF1" t="s">
        <v>96</v>
      </c>
      <c r="AG1" t="s">
        <v>97</v>
      </c>
      <c r="AH1" t="s">
        <v>98</v>
      </c>
      <c r="AI1" t="s">
        <v>99</v>
      </c>
      <c r="AJ1" t="s">
        <v>100</v>
      </c>
      <c r="AK1" t="s">
        <v>101</v>
      </c>
      <c r="AL1" t="s">
        <v>102</v>
      </c>
      <c r="AM1" t="s">
        <v>103</v>
      </c>
      <c r="AN1" t="s">
        <v>104</v>
      </c>
      <c r="AO1" t="s">
        <v>105</v>
      </c>
      <c r="AP1" t="s">
        <v>106</v>
      </c>
      <c r="AQ1" t="s">
        <v>107</v>
      </c>
      <c r="AR1" t="s">
        <v>108</v>
      </c>
      <c r="AS1" t="s">
        <v>111</v>
      </c>
      <c r="AT1" t="s">
        <v>112</v>
      </c>
      <c r="AU1" t="s">
        <v>113</v>
      </c>
      <c r="AV1" t="s">
        <v>114</v>
      </c>
      <c r="AW1" t="s">
        <v>115</v>
      </c>
      <c r="AX1" t="s">
        <v>116</v>
      </c>
      <c r="AY1" t="s">
        <v>117</v>
      </c>
      <c r="AZ1" t="s">
        <v>118</v>
      </c>
      <c r="BA1" t="s">
        <v>119</v>
      </c>
      <c r="BB1" t="s">
        <v>120</v>
      </c>
    </row>
    <row r="2" spans="1:54" x14ac:dyDescent="0.4">
      <c r="B2" s="1" t="s">
        <v>22</v>
      </c>
      <c r="C2" s="1" t="s">
        <v>76</v>
      </c>
      <c r="D2" s="33" t="s">
        <v>76</v>
      </c>
      <c r="E2" s="33" t="s">
        <v>76</v>
      </c>
      <c r="F2" s="33" t="s">
        <v>76</v>
      </c>
      <c r="G2" s="1"/>
      <c r="H2" s="33"/>
      <c r="I2" s="31"/>
      <c r="J2" s="18"/>
      <c r="K2" s="1"/>
      <c r="L2" s="33"/>
      <c r="M2" s="18"/>
      <c r="N2" s="18"/>
      <c r="O2" s="33"/>
      <c r="P2" s="18"/>
      <c r="Q2" s="33"/>
      <c r="R2" s="18"/>
      <c r="S2" s="18"/>
      <c r="T2" s="33"/>
      <c r="U2" s="18"/>
      <c r="V2" s="18"/>
      <c r="W2" s="33"/>
      <c r="X2" s="33"/>
      <c r="Y2" s="18"/>
      <c r="Z2" s="18"/>
      <c r="AA2" s="18"/>
      <c r="AB2" s="22"/>
      <c r="AC2" s="33"/>
      <c r="AD2" s="22"/>
      <c r="AE2" s="33"/>
      <c r="AF2" s="22"/>
      <c r="AG2" s="22"/>
      <c r="AH2" s="33"/>
      <c r="AI2" s="22"/>
      <c r="AJ2" s="22"/>
      <c r="AK2" s="22"/>
      <c r="AL2" s="33"/>
      <c r="AM2" s="22"/>
      <c r="AN2" s="33"/>
      <c r="AO2" s="24" t="s">
        <v>109</v>
      </c>
      <c r="AP2" s="24"/>
      <c r="AQ2" s="24"/>
      <c r="AR2" s="33"/>
      <c r="AS2" s="24"/>
      <c r="AT2" s="33"/>
      <c r="AU2" s="24"/>
      <c r="AV2" s="24"/>
      <c r="AW2" s="33"/>
      <c r="AX2" s="24"/>
      <c r="AY2" s="24"/>
      <c r="AZ2" s="24"/>
      <c r="BA2" s="26"/>
      <c r="BB2" s="26"/>
    </row>
    <row r="3" spans="1:54" x14ac:dyDescent="0.4">
      <c r="A3" t="s">
        <v>15</v>
      </c>
      <c r="B3" s="1" t="s">
        <v>16</v>
      </c>
      <c r="C3" s="1">
        <v>112801</v>
      </c>
      <c r="D3" s="33">
        <v>112802</v>
      </c>
      <c r="E3" s="33">
        <v>112803</v>
      </c>
      <c r="F3" s="33">
        <v>112804</v>
      </c>
      <c r="G3" s="17">
        <v>112811</v>
      </c>
      <c r="H3" s="33">
        <v>112812</v>
      </c>
      <c r="I3" s="31"/>
      <c r="J3" s="18">
        <v>112901</v>
      </c>
      <c r="K3" s="9">
        <v>112902</v>
      </c>
      <c r="L3" s="33">
        <v>112903</v>
      </c>
      <c r="M3" s="18">
        <v>112904</v>
      </c>
      <c r="N3" s="18">
        <v>112905</v>
      </c>
      <c r="O3" s="33">
        <v>112906</v>
      </c>
      <c r="P3" s="18">
        <v>112907</v>
      </c>
      <c r="Q3" s="33">
        <v>112908</v>
      </c>
      <c r="R3" s="18">
        <v>112909</v>
      </c>
      <c r="S3" s="18">
        <v>112910</v>
      </c>
      <c r="T3" s="33">
        <v>120202</v>
      </c>
      <c r="U3" s="22">
        <v>120201</v>
      </c>
      <c r="V3" s="22">
        <v>120203</v>
      </c>
      <c r="W3" s="33">
        <v>120204</v>
      </c>
      <c r="X3" s="33">
        <v>120205</v>
      </c>
      <c r="Y3" s="22">
        <v>120206</v>
      </c>
      <c r="Z3" s="22">
        <v>120207</v>
      </c>
      <c r="AA3" s="22">
        <v>120208</v>
      </c>
      <c r="AB3" s="22">
        <v>120209</v>
      </c>
      <c r="AC3" s="33">
        <v>120210</v>
      </c>
      <c r="AD3" s="22">
        <v>120211</v>
      </c>
      <c r="AE3" s="33">
        <v>120212</v>
      </c>
      <c r="AF3" s="22">
        <v>120213</v>
      </c>
      <c r="AG3" s="22">
        <v>120214</v>
      </c>
      <c r="AH3" s="33">
        <v>120301</v>
      </c>
      <c r="AI3" s="22">
        <v>120302</v>
      </c>
      <c r="AJ3" s="22">
        <v>120303</v>
      </c>
      <c r="AK3" s="24">
        <v>120304</v>
      </c>
      <c r="AL3" s="33">
        <v>120305</v>
      </c>
      <c r="AM3" s="24">
        <v>120306</v>
      </c>
      <c r="AN3" s="33">
        <v>120307</v>
      </c>
      <c r="AO3" s="24" t="s">
        <v>110</v>
      </c>
      <c r="AP3" s="24"/>
      <c r="AQ3" s="24"/>
      <c r="AR3" s="33"/>
      <c r="AS3" s="24"/>
      <c r="AT3" s="33"/>
      <c r="AU3" s="24"/>
      <c r="AV3" s="24"/>
      <c r="AW3" s="33"/>
      <c r="AX3" s="24"/>
      <c r="AY3" s="24"/>
      <c r="AZ3" s="24"/>
      <c r="BA3" s="26"/>
      <c r="BB3" s="26"/>
    </row>
    <row r="4" spans="1:54" ht="13.5" customHeight="1" x14ac:dyDescent="0.4">
      <c r="A4" s="37" t="s">
        <v>17</v>
      </c>
      <c r="B4" s="6" t="s">
        <v>11</v>
      </c>
      <c r="C4" s="6">
        <v>27</v>
      </c>
      <c r="D4" s="34">
        <v>27</v>
      </c>
      <c r="E4" s="34">
        <v>27</v>
      </c>
      <c r="F4" s="34">
        <v>27</v>
      </c>
      <c r="G4" s="19">
        <v>27</v>
      </c>
      <c r="H4" s="34">
        <v>27</v>
      </c>
      <c r="I4" s="32">
        <v>27</v>
      </c>
      <c r="J4" s="19">
        <v>27</v>
      </c>
      <c r="K4" s="19">
        <v>27</v>
      </c>
      <c r="L4" s="34">
        <v>27</v>
      </c>
      <c r="M4" s="19">
        <v>27</v>
      </c>
      <c r="N4" s="19">
        <v>27</v>
      </c>
      <c r="O4" s="34">
        <v>27</v>
      </c>
      <c r="P4" s="19">
        <v>27</v>
      </c>
      <c r="Q4" s="34">
        <v>27</v>
      </c>
      <c r="R4" s="19">
        <v>27</v>
      </c>
      <c r="S4" s="19">
        <v>27</v>
      </c>
      <c r="T4" s="34">
        <v>27</v>
      </c>
      <c r="U4" s="19">
        <v>27</v>
      </c>
      <c r="V4" s="19">
        <v>27</v>
      </c>
      <c r="W4" s="34">
        <v>27</v>
      </c>
      <c r="X4" s="34">
        <v>27</v>
      </c>
      <c r="Y4" s="19">
        <v>27</v>
      </c>
      <c r="Z4" s="19">
        <v>27</v>
      </c>
      <c r="AA4" s="23">
        <v>27</v>
      </c>
      <c r="AB4" s="23">
        <v>27</v>
      </c>
      <c r="AC4" s="34">
        <v>27</v>
      </c>
      <c r="AD4" s="23">
        <v>27</v>
      </c>
      <c r="AE4" s="34">
        <v>27</v>
      </c>
      <c r="AF4" s="23">
        <v>27</v>
      </c>
      <c r="AG4" s="23">
        <v>27</v>
      </c>
      <c r="AH4" s="34">
        <v>27</v>
      </c>
      <c r="AI4" s="23">
        <v>27</v>
      </c>
      <c r="AJ4" s="23">
        <v>27</v>
      </c>
      <c r="AK4" s="25">
        <v>27</v>
      </c>
      <c r="AL4" s="34">
        <v>26.9</v>
      </c>
      <c r="AM4" s="23">
        <v>27</v>
      </c>
      <c r="AN4" s="34">
        <v>27</v>
      </c>
      <c r="AO4" s="25">
        <v>27</v>
      </c>
      <c r="AP4" s="27">
        <v>27</v>
      </c>
      <c r="AQ4" s="27">
        <v>27</v>
      </c>
      <c r="AR4" s="34">
        <v>27</v>
      </c>
      <c r="AS4" s="27">
        <v>27</v>
      </c>
      <c r="AT4" s="34">
        <v>27</v>
      </c>
      <c r="AU4" s="27">
        <v>27</v>
      </c>
      <c r="AV4" s="25">
        <v>27</v>
      </c>
      <c r="AW4" s="34">
        <v>27</v>
      </c>
      <c r="AX4" s="25">
        <v>27</v>
      </c>
      <c r="AY4" s="25">
        <v>27</v>
      </c>
      <c r="AZ4" s="27">
        <v>27</v>
      </c>
      <c r="BA4" s="27"/>
      <c r="BB4" s="27"/>
    </row>
    <row r="5" spans="1:54" ht="13.5" customHeight="1" x14ac:dyDescent="0.4">
      <c r="A5" s="38"/>
      <c r="B5" s="6" t="s">
        <v>12</v>
      </c>
      <c r="C5" s="6">
        <v>19.5</v>
      </c>
      <c r="D5" s="34">
        <v>19.5</v>
      </c>
      <c r="E5" s="34">
        <v>19.5</v>
      </c>
      <c r="F5" s="34">
        <v>19.5</v>
      </c>
      <c r="G5" s="19">
        <v>19.5</v>
      </c>
      <c r="H5" s="34">
        <v>19.5</v>
      </c>
      <c r="I5" s="32">
        <v>19.5</v>
      </c>
      <c r="J5" s="19">
        <v>19.5</v>
      </c>
      <c r="K5" s="19">
        <v>19.5</v>
      </c>
      <c r="L5" s="34">
        <v>19.5</v>
      </c>
      <c r="M5" s="19">
        <v>19.5</v>
      </c>
      <c r="N5" s="19">
        <v>19.5</v>
      </c>
      <c r="O5" s="34">
        <v>19.5</v>
      </c>
      <c r="P5" s="19">
        <v>19.5</v>
      </c>
      <c r="Q5" s="34">
        <v>19.5</v>
      </c>
      <c r="R5" s="19">
        <v>19.5</v>
      </c>
      <c r="S5" s="19">
        <v>19.5</v>
      </c>
      <c r="T5" s="34">
        <v>19.5</v>
      </c>
      <c r="U5" s="19">
        <v>19.5</v>
      </c>
      <c r="V5" s="19">
        <v>19.5</v>
      </c>
      <c r="W5" s="34">
        <v>19.5</v>
      </c>
      <c r="X5" s="34">
        <v>19.5</v>
      </c>
      <c r="Y5" s="19">
        <v>19.5</v>
      </c>
      <c r="Z5" s="19">
        <v>19.5</v>
      </c>
      <c r="AA5" s="23">
        <v>19.5</v>
      </c>
      <c r="AB5" s="23">
        <v>19.5</v>
      </c>
      <c r="AC5" s="34">
        <v>19.5</v>
      </c>
      <c r="AD5" s="23">
        <v>19.5</v>
      </c>
      <c r="AE5" s="34">
        <v>19.5</v>
      </c>
      <c r="AF5" s="23">
        <v>19.5</v>
      </c>
      <c r="AG5" s="23">
        <v>19.5</v>
      </c>
      <c r="AH5" s="34">
        <v>19.5</v>
      </c>
      <c r="AI5" s="23">
        <v>19.5</v>
      </c>
      <c r="AJ5" s="23">
        <v>19.5</v>
      </c>
      <c r="AK5" s="25">
        <v>19.5</v>
      </c>
      <c r="AL5" s="34">
        <v>19.5</v>
      </c>
      <c r="AM5" s="23">
        <v>19.5</v>
      </c>
      <c r="AN5" s="34">
        <v>19.5</v>
      </c>
      <c r="AO5" s="25">
        <v>19.5</v>
      </c>
      <c r="AP5" s="27">
        <v>19.5</v>
      </c>
      <c r="AQ5" s="27">
        <v>19.5</v>
      </c>
      <c r="AR5" s="34">
        <v>19.5</v>
      </c>
      <c r="AS5" s="27">
        <v>19.5</v>
      </c>
      <c r="AT5" s="34">
        <v>19.5</v>
      </c>
      <c r="AU5" s="27">
        <v>19.5</v>
      </c>
      <c r="AV5" s="25">
        <v>19.5</v>
      </c>
      <c r="AW5" s="34">
        <v>19.5</v>
      </c>
      <c r="AX5" s="25">
        <v>19.5</v>
      </c>
      <c r="AY5" s="25">
        <v>19.5</v>
      </c>
      <c r="AZ5" s="27">
        <v>19.5</v>
      </c>
      <c r="BA5" s="27"/>
      <c r="BB5" s="27"/>
    </row>
    <row r="6" spans="1:54" ht="13.5" customHeight="1" x14ac:dyDescent="0.4">
      <c r="A6" s="38"/>
      <c r="B6" s="6" t="s">
        <v>13</v>
      </c>
      <c r="C6" s="6">
        <v>35</v>
      </c>
      <c r="D6" s="34">
        <v>35</v>
      </c>
      <c r="E6" s="34">
        <v>35</v>
      </c>
      <c r="F6" s="34">
        <v>35</v>
      </c>
      <c r="G6" s="19">
        <v>35</v>
      </c>
      <c r="H6" s="34">
        <v>35</v>
      </c>
      <c r="I6" s="32">
        <v>35</v>
      </c>
      <c r="J6" s="19">
        <v>35</v>
      </c>
      <c r="K6" s="19">
        <v>35</v>
      </c>
      <c r="L6" s="34">
        <v>35</v>
      </c>
      <c r="M6" s="19">
        <v>35</v>
      </c>
      <c r="N6" s="19">
        <v>35</v>
      </c>
      <c r="O6" s="34">
        <v>35</v>
      </c>
      <c r="P6" s="19">
        <v>35</v>
      </c>
      <c r="Q6" s="34">
        <v>35</v>
      </c>
      <c r="R6" s="19">
        <v>35</v>
      </c>
      <c r="S6" s="19">
        <v>35</v>
      </c>
      <c r="T6" s="34">
        <v>35</v>
      </c>
      <c r="U6" s="19">
        <v>35</v>
      </c>
      <c r="V6" s="19">
        <v>35</v>
      </c>
      <c r="W6" s="34">
        <v>35</v>
      </c>
      <c r="X6" s="34">
        <v>35</v>
      </c>
      <c r="Y6" s="19">
        <v>35</v>
      </c>
      <c r="Z6" s="19">
        <v>35</v>
      </c>
      <c r="AA6" s="23">
        <v>35</v>
      </c>
      <c r="AB6" s="23">
        <v>35</v>
      </c>
      <c r="AC6" s="34">
        <v>35</v>
      </c>
      <c r="AD6" s="23">
        <v>35</v>
      </c>
      <c r="AE6" s="34">
        <v>35</v>
      </c>
      <c r="AF6" s="23">
        <v>35</v>
      </c>
      <c r="AG6" s="23">
        <v>35</v>
      </c>
      <c r="AH6" s="34">
        <v>35</v>
      </c>
      <c r="AI6" s="23">
        <v>35</v>
      </c>
      <c r="AJ6" s="23">
        <v>35</v>
      </c>
      <c r="AK6" s="25">
        <v>35</v>
      </c>
      <c r="AL6" s="34">
        <v>34.9</v>
      </c>
      <c r="AM6" s="23">
        <v>35</v>
      </c>
      <c r="AN6" s="34">
        <v>35.1</v>
      </c>
      <c r="AO6" s="25">
        <v>34.9</v>
      </c>
      <c r="AP6" s="27">
        <v>34.9</v>
      </c>
      <c r="AQ6" s="27">
        <v>34.9</v>
      </c>
      <c r="AR6" s="34">
        <v>34.9</v>
      </c>
      <c r="AS6" s="27">
        <v>34.9</v>
      </c>
      <c r="AT6" s="34">
        <v>34.9</v>
      </c>
      <c r="AU6" s="27">
        <v>34.9</v>
      </c>
      <c r="AV6" s="25">
        <v>35</v>
      </c>
      <c r="AW6" s="34">
        <v>35</v>
      </c>
      <c r="AX6" s="25">
        <v>34.9</v>
      </c>
      <c r="AY6" s="25">
        <v>35</v>
      </c>
      <c r="AZ6" s="27">
        <v>35</v>
      </c>
      <c r="BA6" s="27"/>
      <c r="BB6" s="27"/>
    </row>
    <row r="7" spans="1:54" ht="24" customHeight="1" x14ac:dyDescent="0.4">
      <c r="A7" s="39"/>
      <c r="B7" s="6" t="s">
        <v>14</v>
      </c>
      <c r="C7" s="6">
        <v>26.1</v>
      </c>
      <c r="D7" s="34">
        <v>26.1</v>
      </c>
      <c r="E7" s="34">
        <v>26.1</v>
      </c>
      <c r="F7" s="34">
        <v>26.1</v>
      </c>
      <c r="G7" s="19">
        <v>26.1</v>
      </c>
      <c r="H7" s="34">
        <v>26.1</v>
      </c>
      <c r="I7" s="32">
        <v>26.1</v>
      </c>
      <c r="J7" s="19">
        <v>26.1</v>
      </c>
      <c r="K7" s="19">
        <v>26.1</v>
      </c>
      <c r="L7" s="34">
        <v>26.1</v>
      </c>
      <c r="M7" s="19">
        <v>26.1</v>
      </c>
      <c r="N7" s="19">
        <v>26.1</v>
      </c>
      <c r="O7" s="34">
        <v>26.1</v>
      </c>
      <c r="P7" s="19">
        <v>26.1</v>
      </c>
      <c r="Q7" s="34">
        <v>26.1</v>
      </c>
      <c r="R7" s="19">
        <v>26.1</v>
      </c>
      <c r="S7" s="19">
        <v>26.1</v>
      </c>
      <c r="T7" s="34">
        <v>26.1</v>
      </c>
      <c r="U7" s="19">
        <v>26.1</v>
      </c>
      <c r="V7" s="19">
        <v>26.1</v>
      </c>
      <c r="W7" s="34">
        <v>26.1</v>
      </c>
      <c r="X7" s="34">
        <v>26.1</v>
      </c>
      <c r="Y7" s="19">
        <v>26.1</v>
      </c>
      <c r="Z7" s="19">
        <v>26.1</v>
      </c>
      <c r="AA7" s="23">
        <v>26.1</v>
      </c>
      <c r="AB7" s="23">
        <v>26.1</v>
      </c>
      <c r="AC7" s="34">
        <v>26.1</v>
      </c>
      <c r="AD7" s="23">
        <v>26.1</v>
      </c>
      <c r="AE7" s="34">
        <v>26.1</v>
      </c>
      <c r="AF7" s="23">
        <v>26.1</v>
      </c>
      <c r="AG7" s="23">
        <v>26.1</v>
      </c>
      <c r="AH7" s="34">
        <v>26.1</v>
      </c>
      <c r="AI7" s="23">
        <v>26.1</v>
      </c>
      <c r="AJ7" s="23">
        <v>26.2</v>
      </c>
      <c r="AK7" s="25">
        <v>26.1</v>
      </c>
      <c r="AL7" s="34">
        <v>25.9</v>
      </c>
      <c r="AM7" s="23">
        <v>25.9</v>
      </c>
      <c r="AN7" s="34">
        <v>26</v>
      </c>
      <c r="AO7" s="25">
        <v>25.9</v>
      </c>
      <c r="AP7" s="27">
        <v>25.9</v>
      </c>
      <c r="AQ7" s="27">
        <v>25.9</v>
      </c>
      <c r="AR7" s="34">
        <v>25.9</v>
      </c>
      <c r="AS7" s="27">
        <v>25.9</v>
      </c>
      <c r="AT7" s="34">
        <v>25.9</v>
      </c>
      <c r="AU7" s="27">
        <v>25.9</v>
      </c>
      <c r="AV7" s="25">
        <v>26.3</v>
      </c>
      <c r="AW7" s="34">
        <v>26.2</v>
      </c>
      <c r="AX7" s="25">
        <v>26.3</v>
      </c>
      <c r="AY7" s="25">
        <v>27.4</v>
      </c>
      <c r="AZ7" s="27">
        <v>27.3</v>
      </c>
      <c r="BA7" s="27"/>
      <c r="BB7" s="27"/>
    </row>
    <row r="8" spans="1:54" s="36" customFormat="1" x14ac:dyDescent="0.4">
      <c r="A8" s="40" t="s">
        <v>29</v>
      </c>
      <c r="B8" s="3" t="s">
        <v>0</v>
      </c>
      <c r="C8" s="3">
        <v>35.67</v>
      </c>
      <c r="D8" s="3">
        <v>36.28</v>
      </c>
      <c r="E8" s="3">
        <v>35.840000000000003</v>
      </c>
      <c r="F8" s="3">
        <v>34.82</v>
      </c>
      <c r="G8" s="3">
        <v>31.82</v>
      </c>
      <c r="H8" s="3">
        <v>32.049999999999997</v>
      </c>
      <c r="I8" s="3"/>
      <c r="J8" s="3">
        <v>33.590000000000003</v>
      </c>
      <c r="K8" s="3">
        <v>33.64</v>
      </c>
      <c r="L8" s="3">
        <v>32.11</v>
      </c>
      <c r="M8" s="3">
        <v>32.36</v>
      </c>
      <c r="N8" s="3">
        <v>32.42</v>
      </c>
      <c r="O8" s="3">
        <v>33.380000000000003</v>
      </c>
      <c r="P8" s="3">
        <v>31.37</v>
      </c>
      <c r="Q8" s="3">
        <v>31.11</v>
      </c>
      <c r="R8" s="3">
        <v>31.6</v>
      </c>
      <c r="S8" s="3">
        <v>30.76</v>
      </c>
      <c r="T8" s="3">
        <v>30.86</v>
      </c>
      <c r="U8" s="3">
        <v>30.34</v>
      </c>
      <c r="V8" s="3">
        <v>31.43</v>
      </c>
      <c r="W8" s="3">
        <v>31.6</v>
      </c>
      <c r="X8" s="3">
        <v>30.69</v>
      </c>
      <c r="Y8" s="3">
        <v>30.15</v>
      </c>
      <c r="Z8" s="3">
        <v>31.32</v>
      </c>
      <c r="AA8" s="3">
        <v>29.85</v>
      </c>
      <c r="AB8" s="3">
        <v>30.38</v>
      </c>
      <c r="AC8" s="3">
        <v>31.07</v>
      </c>
      <c r="AD8" s="3">
        <v>31.42</v>
      </c>
      <c r="AE8" s="3">
        <v>31.34</v>
      </c>
      <c r="AF8" s="3">
        <v>31.34</v>
      </c>
      <c r="AG8" s="3">
        <v>30.47</v>
      </c>
      <c r="AH8" s="3">
        <v>30.3</v>
      </c>
      <c r="AI8" s="3">
        <v>29.74</v>
      </c>
      <c r="AJ8" s="3">
        <v>29.88</v>
      </c>
      <c r="AK8" s="3">
        <v>30.16</v>
      </c>
      <c r="AL8" s="3">
        <v>30.46</v>
      </c>
      <c r="AM8" s="3">
        <v>30.93</v>
      </c>
      <c r="AN8" s="3">
        <v>31.22</v>
      </c>
      <c r="AO8" s="29">
        <v>31.16</v>
      </c>
      <c r="AP8" s="29">
        <v>28.8</v>
      </c>
      <c r="AQ8" s="29">
        <v>28.93</v>
      </c>
      <c r="AR8" s="3">
        <v>28.62</v>
      </c>
      <c r="AS8" s="29">
        <v>27.08</v>
      </c>
      <c r="AT8" s="3">
        <v>26.3</v>
      </c>
      <c r="AU8" s="29">
        <v>23.53</v>
      </c>
      <c r="AV8" s="29">
        <v>24.32</v>
      </c>
      <c r="AW8" s="3">
        <v>21.67</v>
      </c>
      <c r="AX8" s="29">
        <v>17.940000000000001</v>
      </c>
      <c r="AY8" s="29">
        <v>18.3</v>
      </c>
      <c r="AZ8" s="29">
        <v>27.21</v>
      </c>
      <c r="BA8" s="35"/>
      <c r="BB8" s="35"/>
    </row>
    <row r="9" spans="1:54" s="36" customFormat="1" x14ac:dyDescent="0.4">
      <c r="A9" s="41"/>
      <c r="B9" s="3" t="s">
        <v>1</v>
      </c>
      <c r="C9" s="3">
        <v>134.83000000000001</v>
      </c>
      <c r="D9" s="3">
        <v>129.74</v>
      </c>
      <c r="E9" s="3">
        <v>134.1</v>
      </c>
      <c r="F9" s="3">
        <v>138.36000000000001</v>
      </c>
      <c r="G9" s="3">
        <v>135.38999999999999</v>
      </c>
      <c r="H9" s="3">
        <v>138.16999999999999</v>
      </c>
      <c r="I9" s="3"/>
      <c r="J9" s="3">
        <v>123.93</v>
      </c>
      <c r="K9" s="3">
        <v>128.07</v>
      </c>
      <c r="L9" s="3">
        <v>132.91</v>
      </c>
      <c r="M9" s="3">
        <v>128.74</v>
      </c>
      <c r="N9" s="3">
        <v>136.37</v>
      </c>
      <c r="O9" s="3">
        <v>126.56</v>
      </c>
      <c r="P9" s="3">
        <v>113.06</v>
      </c>
      <c r="Q9" s="3">
        <v>130.28</v>
      </c>
      <c r="R9" s="3">
        <v>127.22</v>
      </c>
      <c r="S9" s="3">
        <v>132.15</v>
      </c>
      <c r="T9" s="3">
        <v>120.37</v>
      </c>
      <c r="U9" s="3">
        <v>122.51</v>
      </c>
      <c r="V9" s="3">
        <v>117.59</v>
      </c>
      <c r="W9" s="3">
        <v>136.22999999999999</v>
      </c>
      <c r="X9" s="3">
        <v>120.85</v>
      </c>
      <c r="Y9" s="3">
        <v>123.03</v>
      </c>
      <c r="Z9" s="3">
        <v>117.41</v>
      </c>
      <c r="AA9" s="3">
        <v>136.38</v>
      </c>
      <c r="AB9" s="3">
        <v>133.46</v>
      </c>
      <c r="AC9" s="3">
        <v>130.13</v>
      </c>
      <c r="AD9" s="3">
        <v>118.14</v>
      </c>
      <c r="AE9" s="3">
        <v>136.71</v>
      </c>
      <c r="AF9" s="3">
        <v>115.62</v>
      </c>
      <c r="AG9" s="3">
        <v>120.3</v>
      </c>
      <c r="AH9" s="3">
        <v>121.83</v>
      </c>
      <c r="AI9" s="3">
        <v>124.73</v>
      </c>
      <c r="AJ9" s="3">
        <v>134.44</v>
      </c>
      <c r="AK9" s="3">
        <v>131.62</v>
      </c>
      <c r="AL9" s="3">
        <v>127.67</v>
      </c>
      <c r="AM9" s="3">
        <v>124.92</v>
      </c>
      <c r="AN9" s="3">
        <v>135.86000000000001</v>
      </c>
      <c r="AO9" s="29">
        <v>133.22</v>
      </c>
      <c r="AP9" s="29">
        <v>121.65</v>
      </c>
      <c r="AQ9" s="29">
        <v>117.58</v>
      </c>
      <c r="AR9" s="3">
        <v>112.85</v>
      </c>
      <c r="AS9" s="29">
        <v>128.59</v>
      </c>
      <c r="AT9" s="3">
        <v>122.68</v>
      </c>
      <c r="AU9" s="29">
        <v>110.79</v>
      </c>
      <c r="AV9" s="29">
        <v>134.36000000000001</v>
      </c>
      <c r="AW9" s="3">
        <v>124.45</v>
      </c>
      <c r="AX9" s="29">
        <v>113.64</v>
      </c>
      <c r="AY9" s="29">
        <v>97.09</v>
      </c>
      <c r="AZ9" s="29">
        <v>133.31</v>
      </c>
      <c r="BA9" s="35"/>
      <c r="BB9" s="35"/>
    </row>
    <row r="10" spans="1:54" x14ac:dyDescent="0.4">
      <c r="A10" s="41"/>
      <c r="B10" s="3" t="s">
        <v>2</v>
      </c>
      <c r="C10" s="3">
        <v>36.36</v>
      </c>
      <c r="D10" s="3">
        <v>37.08</v>
      </c>
      <c r="E10" s="3">
        <v>37.81</v>
      </c>
      <c r="F10" s="3">
        <v>37.950000000000003</v>
      </c>
      <c r="G10" s="3">
        <v>38.020000000000003</v>
      </c>
      <c r="H10" s="3">
        <v>38.44</v>
      </c>
      <c r="I10" s="3"/>
      <c r="J10" s="3">
        <v>37.99</v>
      </c>
      <c r="K10" s="3">
        <v>37.68</v>
      </c>
      <c r="L10" s="3">
        <v>38.5</v>
      </c>
      <c r="M10" s="3">
        <v>38.72</v>
      </c>
      <c r="N10" s="3">
        <v>38.880000000000003</v>
      </c>
      <c r="O10" s="3">
        <v>37.630000000000003</v>
      </c>
      <c r="P10" s="3">
        <v>37.67</v>
      </c>
      <c r="Q10" s="3">
        <v>38.520000000000003</v>
      </c>
      <c r="R10" s="3">
        <v>38.549999999999997</v>
      </c>
      <c r="S10" s="3">
        <v>38.35</v>
      </c>
      <c r="T10" s="3">
        <v>37.799999999999997</v>
      </c>
      <c r="U10" s="3">
        <v>37.590000000000003</v>
      </c>
      <c r="V10" s="3">
        <v>37.92</v>
      </c>
      <c r="W10" s="3">
        <v>38.799999999999997</v>
      </c>
      <c r="X10" s="3">
        <v>37.79</v>
      </c>
      <c r="Y10" s="3">
        <v>37.53</v>
      </c>
      <c r="Z10" s="3">
        <v>37.96</v>
      </c>
      <c r="AA10" s="3">
        <v>37.840000000000003</v>
      </c>
      <c r="AB10" s="3">
        <v>38.049999999999997</v>
      </c>
      <c r="AC10" s="3">
        <v>38.28</v>
      </c>
      <c r="AD10" s="3">
        <v>37.76</v>
      </c>
      <c r="AE10" s="3">
        <v>38.97</v>
      </c>
      <c r="AF10" s="3">
        <v>37.58</v>
      </c>
      <c r="AG10" s="3">
        <v>37.5</v>
      </c>
      <c r="AH10" s="3"/>
      <c r="AI10" s="3"/>
      <c r="AJ10" s="3">
        <v>38.19</v>
      </c>
      <c r="AK10" s="3">
        <v>38.200000000000003</v>
      </c>
      <c r="AL10" s="3">
        <v>38.22</v>
      </c>
      <c r="AM10" s="3">
        <v>38.200000000000003</v>
      </c>
      <c r="AN10" s="3">
        <v>38.619999999999997</v>
      </c>
      <c r="AO10" s="29">
        <v>38.4</v>
      </c>
      <c r="AP10" s="29">
        <v>37.090000000000003</v>
      </c>
      <c r="AQ10" s="29">
        <v>37.229999999999997</v>
      </c>
      <c r="AR10" s="3">
        <v>37.299999999999997</v>
      </c>
      <c r="AS10" s="29">
        <v>37.479999999999997</v>
      </c>
      <c r="AT10" s="3">
        <v>37.72</v>
      </c>
      <c r="AU10" s="29">
        <v>37.74</v>
      </c>
      <c r="AV10" s="29">
        <v>38.01</v>
      </c>
      <c r="AW10" s="3">
        <v>38.200000000000003</v>
      </c>
      <c r="AX10" s="29">
        <v>38.130000000000003</v>
      </c>
      <c r="AY10" s="29">
        <v>37.43</v>
      </c>
      <c r="AZ10" s="29">
        <v>37.020000000000003</v>
      </c>
      <c r="BA10" s="29"/>
      <c r="BB10" s="29"/>
    </row>
    <row r="11" spans="1:54" x14ac:dyDescent="0.4">
      <c r="A11" s="41"/>
      <c r="B11" s="3" t="s">
        <v>6</v>
      </c>
      <c r="C11" s="3">
        <v>36.119999999999997</v>
      </c>
      <c r="D11" s="3">
        <v>37.119999999999997</v>
      </c>
      <c r="E11" s="3">
        <v>37.46</v>
      </c>
      <c r="F11" s="3">
        <v>37.659999999999997</v>
      </c>
      <c r="G11" s="3">
        <v>38.53</v>
      </c>
      <c r="H11" s="3">
        <v>38.659999999999997</v>
      </c>
      <c r="I11" s="3"/>
      <c r="J11" s="3">
        <v>37.869999999999997</v>
      </c>
      <c r="K11" s="3">
        <v>37.64</v>
      </c>
      <c r="L11" s="3">
        <v>38.409999999999997</v>
      </c>
      <c r="M11" s="3">
        <v>38.409999999999997</v>
      </c>
      <c r="N11" s="3">
        <v>38.15</v>
      </c>
      <c r="O11" s="3">
        <v>37.51</v>
      </c>
      <c r="P11" s="3">
        <v>37.56</v>
      </c>
      <c r="Q11" s="3">
        <v>38.26</v>
      </c>
      <c r="R11" s="3">
        <v>38.35</v>
      </c>
      <c r="S11" s="3">
        <v>38.130000000000003</v>
      </c>
      <c r="T11" s="3">
        <v>37.72</v>
      </c>
      <c r="U11" s="3">
        <v>37.54</v>
      </c>
      <c r="V11" s="3">
        <v>37.840000000000003</v>
      </c>
      <c r="W11" s="3">
        <v>38.659999999999997</v>
      </c>
      <c r="X11" s="3">
        <v>37.57</v>
      </c>
      <c r="Y11" s="3">
        <v>37.369999999999997</v>
      </c>
      <c r="Z11" s="3">
        <v>37.79</v>
      </c>
      <c r="AA11" s="3">
        <v>37.68</v>
      </c>
      <c r="AB11" s="3">
        <v>37.96</v>
      </c>
      <c r="AC11" s="3">
        <v>38.18</v>
      </c>
      <c r="AD11" s="3">
        <v>37.64</v>
      </c>
      <c r="AE11" s="3">
        <v>38.46</v>
      </c>
      <c r="AF11" s="3">
        <v>37.659999999999997</v>
      </c>
      <c r="AG11" s="3">
        <v>37.47</v>
      </c>
      <c r="AH11" s="3">
        <v>37.81</v>
      </c>
      <c r="AI11" s="3">
        <v>37.450000000000003</v>
      </c>
      <c r="AJ11" s="3">
        <v>38.1</v>
      </c>
      <c r="AK11" s="3">
        <v>38.17</v>
      </c>
      <c r="AL11" s="3">
        <v>38.15</v>
      </c>
      <c r="AM11" s="3">
        <v>38.090000000000003</v>
      </c>
      <c r="AN11" s="3">
        <v>38.49</v>
      </c>
      <c r="AO11" s="29">
        <v>38.270000000000003</v>
      </c>
      <c r="AP11" s="29">
        <v>37.07</v>
      </c>
      <c r="AQ11" s="29">
        <v>37.200000000000003</v>
      </c>
      <c r="AR11" s="3">
        <v>37.270000000000003</v>
      </c>
      <c r="AS11" s="29">
        <v>37.47</v>
      </c>
      <c r="AT11" s="3">
        <v>37.64</v>
      </c>
      <c r="AU11" s="29">
        <v>37.65</v>
      </c>
      <c r="AV11" s="29">
        <v>37.92</v>
      </c>
      <c r="AW11" s="3">
        <v>38.130000000000003</v>
      </c>
      <c r="AX11" s="29">
        <v>38.01</v>
      </c>
      <c r="AY11" s="29">
        <v>37.26</v>
      </c>
      <c r="AZ11" s="29">
        <v>36.97</v>
      </c>
      <c r="BA11" s="29"/>
      <c r="BB11" s="29"/>
    </row>
    <row r="12" spans="1:54" x14ac:dyDescent="0.4">
      <c r="A12" s="41"/>
      <c r="B12" s="3" t="s">
        <v>5</v>
      </c>
      <c r="C12" s="3">
        <v>34.19</v>
      </c>
      <c r="D12" s="3">
        <v>35.68</v>
      </c>
      <c r="E12" s="3">
        <v>35.619999999999997</v>
      </c>
      <c r="F12" s="3">
        <v>35.299999999999997</v>
      </c>
      <c r="G12" s="3">
        <v>30.47</v>
      </c>
      <c r="H12" s="3">
        <v>30.15</v>
      </c>
      <c r="I12" s="3"/>
      <c r="J12" s="3">
        <v>31.87</v>
      </c>
      <c r="K12" s="3">
        <v>31.4</v>
      </c>
      <c r="L12" s="3">
        <v>30.25</v>
      </c>
      <c r="M12" s="3">
        <v>31.27</v>
      </c>
      <c r="N12" s="3">
        <v>29.71</v>
      </c>
      <c r="O12" s="3">
        <v>31.27</v>
      </c>
      <c r="P12" s="3">
        <v>33.590000000000003</v>
      </c>
      <c r="Q12" s="3">
        <v>27.11</v>
      </c>
      <c r="R12" s="3">
        <v>28.7</v>
      </c>
      <c r="S12" s="3">
        <v>26.08</v>
      </c>
      <c r="T12" s="3">
        <v>26.42</v>
      </c>
      <c r="U12" s="3">
        <v>25.35</v>
      </c>
      <c r="V12" s="3">
        <v>27.94</v>
      </c>
      <c r="W12" s="3">
        <v>29.84</v>
      </c>
      <c r="X12" s="3">
        <v>25.86</v>
      </c>
      <c r="Y12" s="3">
        <v>24.7</v>
      </c>
      <c r="Z12" s="3">
        <v>27.64</v>
      </c>
      <c r="AA12" s="3">
        <v>24.12</v>
      </c>
      <c r="AB12" s="3">
        <v>25.16</v>
      </c>
      <c r="AC12" s="3">
        <v>26.97</v>
      </c>
      <c r="AD12" s="3">
        <v>31.94</v>
      </c>
      <c r="AE12" s="3">
        <v>29.18</v>
      </c>
      <c r="AF12" s="3">
        <v>28.28</v>
      </c>
      <c r="AG12" s="3">
        <v>25.72</v>
      </c>
      <c r="AH12" s="3">
        <v>25.21</v>
      </c>
      <c r="AI12" s="3">
        <v>24.08</v>
      </c>
      <c r="AJ12" s="3">
        <v>24.37</v>
      </c>
      <c r="AK12" s="3">
        <v>25.41</v>
      </c>
      <c r="AL12" s="3">
        <v>26.78</v>
      </c>
      <c r="AM12" s="3">
        <v>28.3</v>
      </c>
      <c r="AN12" s="3">
        <v>29.07</v>
      </c>
      <c r="AO12" s="29">
        <v>29.9</v>
      </c>
      <c r="AP12" s="29">
        <v>23.26</v>
      </c>
      <c r="AQ12" s="29">
        <v>24.22</v>
      </c>
      <c r="AR12" s="3">
        <v>25.06</v>
      </c>
      <c r="AS12" s="29">
        <v>22.07</v>
      </c>
      <c r="AT12" s="3">
        <v>22.9</v>
      </c>
      <c r="AU12" s="29">
        <v>25.09</v>
      </c>
      <c r="AV12" s="29">
        <v>20.76</v>
      </c>
      <c r="AW12" s="3">
        <v>22.08</v>
      </c>
      <c r="AX12" s="29">
        <v>23.69</v>
      </c>
      <c r="AY12" s="29">
        <v>27.4</v>
      </c>
      <c r="AZ12" s="29">
        <v>21</v>
      </c>
      <c r="BA12" s="29"/>
      <c r="BB12" s="29"/>
    </row>
    <row r="13" spans="1:54" s="36" customFormat="1" x14ac:dyDescent="0.4">
      <c r="A13" s="41"/>
      <c r="B13" s="3" t="s">
        <v>3</v>
      </c>
      <c r="C13" s="3">
        <v>33.83</v>
      </c>
      <c r="D13" s="3">
        <v>35.44</v>
      </c>
      <c r="E13" s="3">
        <v>35.229999999999997</v>
      </c>
      <c r="F13" s="3">
        <v>34.92</v>
      </c>
      <c r="G13" s="3">
        <v>30.52</v>
      </c>
      <c r="H13" s="3">
        <v>30.19</v>
      </c>
      <c r="I13" s="3"/>
      <c r="J13" s="3">
        <v>31.29</v>
      </c>
      <c r="K13" s="3">
        <v>30.87</v>
      </c>
      <c r="L13" s="3">
        <v>29.71</v>
      </c>
      <c r="M13" s="3">
        <v>30.92</v>
      </c>
      <c r="N13" s="3">
        <v>29.28</v>
      </c>
      <c r="O13" s="3">
        <v>30.95</v>
      </c>
      <c r="P13" s="3">
        <v>33.51</v>
      </c>
      <c r="Q13" s="3">
        <v>26.82</v>
      </c>
      <c r="R13" s="3">
        <v>28.58</v>
      </c>
      <c r="S13" s="3">
        <v>25.93</v>
      </c>
      <c r="T13" s="3">
        <v>26.42</v>
      </c>
      <c r="U13" s="3">
        <v>24.85</v>
      </c>
      <c r="V13" s="3">
        <v>27.63</v>
      </c>
      <c r="W13" s="3">
        <v>29.61</v>
      </c>
      <c r="X13" s="3">
        <v>25.64</v>
      </c>
      <c r="Y13" s="3">
        <v>24.44</v>
      </c>
      <c r="Z13" s="3">
        <v>27.39</v>
      </c>
      <c r="AA13" s="3">
        <v>23.78</v>
      </c>
      <c r="AB13" s="3">
        <v>24.87</v>
      </c>
      <c r="AC13" s="3">
        <v>26.72</v>
      </c>
      <c r="AD13" s="3">
        <v>31.85</v>
      </c>
      <c r="AE13" s="3">
        <v>29.04</v>
      </c>
      <c r="AF13" s="3">
        <v>28.09</v>
      </c>
      <c r="AG13" s="3">
        <v>25.49</v>
      </c>
      <c r="AH13" s="3">
        <v>24.97</v>
      </c>
      <c r="AI13" s="3">
        <v>23.87</v>
      </c>
      <c r="AJ13" s="3">
        <v>24.16</v>
      </c>
      <c r="AK13" s="3">
        <v>25.23</v>
      </c>
      <c r="AL13" s="3">
        <v>26.63</v>
      </c>
      <c r="AM13" s="3">
        <v>28.2</v>
      </c>
      <c r="AN13" s="3">
        <v>28.98</v>
      </c>
      <c r="AO13" s="29">
        <v>29.76</v>
      </c>
      <c r="AP13" s="29">
        <v>23.2</v>
      </c>
      <c r="AQ13" s="29">
        <v>24.09</v>
      </c>
      <c r="AR13" s="3">
        <v>24.94</v>
      </c>
      <c r="AS13" s="29">
        <v>21.93</v>
      </c>
      <c r="AT13" s="3">
        <v>22.84</v>
      </c>
      <c r="AU13" s="29">
        <v>25.03</v>
      </c>
      <c r="AV13" s="29">
        <v>20.61</v>
      </c>
      <c r="AW13" s="3">
        <v>22.06</v>
      </c>
      <c r="AX13" s="29">
        <v>23.71</v>
      </c>
      <c r="AY13" s="29">
        <v>27.43</v>
      </c>
      <c r="AZ13" s="29">
        <v>21.07</v>
      </c>
      <c r="BA13" s="35"/>
      <c r="BB13" s="35"/>
    </row>
    <row r="14" spans="1:54" x14ac:dyDescent="0.4">
      <c r="A14" s="41"/>
      <c r="B14" s="4" t="s">
        <v>4</v>
      </c>
      <c r="C14" s="3">
        <v>-0.46</v>
      </c>
      <c r="D14" s="3">
        <v>3.94</v>
      </c>
      <c r="E14" s="3">
        <v>5.2</v>
      </c>
      <c r="F14" s="3">
        <v>6.05</v>
      </c>
      <c r="G14" s="3">
        <v>5.2</v>
      </c>
      <c r="H14" s="3">
        <v>4.7300000000000004</v>
      </c>
      <c r="I14" s="3"/>
      <c r="J14" s="3">
        <v>6.6</v>
      </c>
      <c r="K14" s="3">
        <v>5.97</v>
      </c>
      <c r="L14" s="3">
        <v>5.2</v>
      </c>
      <c r="M14" s="3">
        <v>5.94</v>
      </c>
      <c r="N14" s="3">
        <v>4.7300000000000004</v>
      </c>
      <c r="O14" s="3">
        <v>6.01</v>
      </c>
      <c r="P14" s="3">
        <v>8.9600000000000009</v>
      </c>
      <c r="Q14" s="3">
        <v>5.04</v>
      </c>
      <c r="R14" s="3">
        <v>5.66</v>
      </c>
      <c r="S14" s="3">
        <v>4.74</v>
      </c>
      <c r="T14" s="3">
        <v>6.41</v>
      </c>
      <c r="U14" s="3">
        <v>6.09</v>
      </c>
      <c r="V14" s="3">
        <v>6.83</v>
      </c>
      <c r="W14" s="3">
        <v>5</v>
      </c>
      <c r="X14" s="3">
        <v>6.06</v>
      </c>
      <c r="Y14" s="3">
        <v>5.69</v>
      </c>
      <c r="Z14" s="3">
        <v>6.54</v>
      </c>
      <c r="AA14" s="3">
        <v>3.91</v>
      </c>
      <c r="AB14" s="3">
        <v>4.1900000000000004</v>
      </c>
      <c r="AC14" s="4">
        <v>4.75</v>
      </c>
      <c r="AD14" s="3">
        <v>7.31</v>
      </c>
      <c r="AE14" s="4">
        <v>4.53</v>
      </c>
      <c r="AF14" s="3">
        <v>6.79</v>
      </c>
      <c r="AG14" s="3">
        <v>5.91</v>
      </c>
      <c r="AH14" s="4">
        <v>6.67</v>
      </c>
      <c r="AI14" s="3">
        <v>6.24</v>
      </c>
      <c r="AJ14" s="3">
        <v>4.76</v>
      </c>
      <c r="AK14" s="3">
        <v>5.08</v>
      </c>
      <c r="AL14" s="3">
        <v>5.48</v>
      </c>
      <c r="AM14" s="3">
        <v>5.96</v>
      </c>
      <c r="AN14" s="3">
        <v>4.96</v>
      </c>
      <c r="AO14" s="29">
        <v>5.4</v>
      </c>
      <c r="AP14" s="29">
        <v>6.3</v>
      </c>
      <c r="AQ14" s="29">
        <v>6.55</v>
      </c>
      <c r="AR14" s="3">
        <v>6.98</v>
      </c>
      <c r="AS14" s="29">
        <v>4.6399999999999997</v>
      </c>
      <c r="AT14" s="3">
        <v>5.12</v>
      </c>
      <c r="AU14" s="29">
        <v>6.75</v>
      </c>
      <c r="AV14" s="29">
        <v>3.51</v>
      </c>
      <c r="AW14" s="3">
        <v>4.6500000000000004</v>
      </c>
      <c r="AX14" s="29">
        <v>6.03</v>
      </c>
      <c r="AY14" s="29">
        <v>8.86</v>
      </c>
      <c r="AZ14" s="29">
        <v>4.07</v>
      </c>
      <c r="BA14" s="29"/>
      <c r="BB14" s="29"/>
    </row>
    <row r="15" spans="1:54" s="36" customFormat="1" x14ac:dyDescent="0.4">
      <c r="A15" s="41"/>
      <c r="B15" s="3" t="s">
        <v>33</v>
      </c>
      <c r="C15" s="3">
        <v>-0.39</v>
      </c>
      <c r="D15" s="3">
        <v>4.05</v>
      </c>
      <c r="E15" s="3">
        <v>5.21</v>
      </c>
      <c r="F15" s="3">
        <v>5.99</v>
      </c>
      <c r="G15" s="3">
        <v>5.23</v>
      </c>
      <c r="H15" s="3">
        <v>4.79</v>
      </c>
      <c r="I15" s="3"/>
      <c r="J15" s="3">
        <v>6.53</v>
      </c>
      <c r="K15" s="3">
        <v>6.04</v>
      </c>
      <c r="L15" s="3">
        <v>5.19</v>
      </c>
      <c r="M15" s="3">
        <v>5.87</v>
      </c>
      <c r="N15" s="3">
        <v>4.8</v>
      </c>
      <c r="O15" s="3">
        <v>6.14</v>
      </c>
      <c r="P15" s="3">
        <v>8.8699999999999992</v>
      </c>
      <c r="Q15" s="3">
        <v>5.17</v>
      </c>
      <c r="R15" s="3">
        <v>5.75</v>
      </c>
      <c r="S15" s="3">
        <v>4.8499999999999996</v>
      </c>
      <c r="T15" s="3">
        <v>6.5</v>
      </c>
      <c r="U15" s="3">
        <v>6.21</v>
      </c>
      <c r="V15" s="3">
        <v>6.95</v>
      </c>
      <c r="W15" s="3">
        <v>5.01</v>
      </c>
      <c r="X15" s="3">
        <v>6.26</v>
      </c>
      <c r="Y15" s="3">
        <v>5.88</v>
      </c>
      <c r="Z15" s="3">
        <v>6.72</v>
      </c>
      <c r="AA15" s="3">
        <v>4.03</v>
      </c>
      <c r="AB15" s="3">
        <v>4.29</v>
      </c>
      <c r="AC15" s="3">
        <v>4.91</v>
      </c>
      <c r="AD15" s="3">
        <v>7.33</v>
      </c>
      <c r="AE15" s="3">
        <v>4.58</v>
      </c>
      <c r="AF15" s="3">
        <v>7.01</v>
      </c>
      <c r="AG15" s="3">
        <v>6.17</v>
      </c>
      <c r="AH15" s="3">
        <v>6.56</v>
      </c>
      <c r="AI15" s="3">
        <v>6.36</v>
      </c>
      <c r="AJ15" s="3">
        <v>4.82</v>
      </c>
      <c r="AK15" s="3">
        <v>5.17</v>
      </c>
      <c r="AL15" s="3">
        <v>5.68</v>
      </c>
      <c r="AM15" s="3">
        <v>6.12</v>
      </c>
      <c r="AN15" s="3">
        <v>5.14</v>
      </c>
      <c r="AO15" s="29">
        <v>5.56</v>
      </c>
      <c r="AP15" s="29">
        <v>6.42</v>
      </c>
      <c r="AQ15" s="29">
        <v>6.73</v>
      </c>
      <c r="AR15" s="3">
        <v>7.18</v>
      </c>
      <c r="AS15" s="29">
        <v>4.87</v>
      </c>
      <c r="AT15" s="3">
        <v>5.4</v>
      </c>
      <c r="AU15" s="29">
        <v>6.86</v>
      </c>
      <c r="AV15" s="29">
        <v>3.8</v>
      </c>
      <c r="AW15" s="3">
        <v>4.8099999999999996</v>
      </c>
      <c r="AX15" s="29">
        <v>6.13</v>
      </c>
      <c r="AY15" s="29">
        <v>8.8800000000000008</v>
      </c>
      <c r="AZ15" s="29">
        <v>4.3499999999999996</v>
      </c>
      <c r="BA15" s="35"/>
      <c r="BB15" s="35"/>
    </row>
    <row r="16" spans="1:54" s="36" customFormat="1" x14ac:dyDescent="0.4">
      <c r="A16" s="41"/>
      <c r="B16" s="3" t="s">
        <v>23</v>
      </c>
      <c r="C16" s="3">
        <v>21.01</v>
      </c>
      <c r="D16" s="3">
        <v>20.23</v>
      </c>
      <c r="E16" s="3">
        <v>17.73</v>
      </c>
      <c r="F16" s="3">
        <v>12.83</v>
      </c>
      <c r="G16" s="3">
        <v>2.19</v>
      </c>
      <c r="H16" s="3">
        <v>1.8</v>
      </c>
      <c r="I16" s="3"/>
      <c r="J16" s="3">
        <v>9.2799999999999994</v>
      </c>
      <c r="K16" s="3">
        <v>10.66</v>
      </c>
      <c r="L16" s="3">
        <v>3.21</v>
      </c>
      <c r="M16" s="3">
        <v>3.47</v>
      </c>
      <c r="N16" s="3">
        <v>4.1399999999999997</v>
      </c>
      <c r="O16" s="3">
        <v>10.050000000000001</v>
      </c>
      <c r="P16" s="3">
        <v>6.15</v>
      </c>
      <c r="Q16" s="3">
        <v>3.17</v>
      </c>
      <c r="R16" s="3">
        <v>3.67</v>
      </c>
      <c r="S16" s="3">
        <v>2.93</v>
      </c>
      <c r="T16" s="3">
        <v>5.28</v>
      </c>
      <c r="U16" s="3">
        <v>4.99</v>
      </c>
      <c r="V16" s="3">
        <v>5.57</v>
      </c>
      <c r="W16" s="3">
        <v>2.15</v>
      </c>
      <c r="X16" s="3">
        <v>5.08</v>
      </c>
      <c r="Y16" s="3">
        <v>4.79</v>
      </c>
      <c r="Z16" s="3">
        <v>5.43</v>
      </c>
      <c r="AA16" s="3">
        <v>2.29</v>
      </c>
      <c r="AB16" s="3">
        <v>2.48</v>
      </c>
      <c r="AC16" s="3">
        <v>3</v>
      </c>
      <c r="AD16" s="3">
        <v>5.0199999999999996</v>
      </c>
      <c r="AE16" s="3">
        <v>1.82</v>
      </c>
      <c r="AF16" s="3">
        <v>5.77</v>
      </c>
      <c r="AG16" s="3">
        <v>5.14</v>
      </c>
      <c r="AH16" s="3">
        <v>5.55</v>
      </c>
      <c r="AI16" s="3">
        <v>5.45</v>
      </c>
      <c r="AJ16" s="3">
        <v>3.23</v>
      </c>
      <c r="AK16" s="3">
        <v>3.51</v>
      </c>
      <c r="AL16" s="3">
        <v>3.94</v>
      </c>
      <c r="AM16" s="3">
        <v>4.2300000000000004</v>
      </c>
      <c r="AN16" s="3">
        <v>2.5299999999999998</v>
      </c>
      <c r="AO16" s="29">
        <v>2.89</v>
      </c>
      <c r="AP16" s="29">
        <v>5.5</v>
      </c>
      <c r="AQ16" s="29">
        <v>5.75</v>
      </c>
      <c r="AR16" s="3">
        <v>6.11</v>
      </c>
      <c r="AS16" s="29">
        <v>3.34</v>
      </c>
      <c r="AT16" s="3">
        <v>3.76</v>
      </c>
      <c r="AU16" s="29">
        <v>5.04</v>
      </c>
      <c r="AV16" s="29">
        <v>1.7</v>
      </c>
      <c r="AW16" s="3">
        <v>2.59</v>
      </c>
      <c r="AX16" s="29">
        <v>3.72</v>
      </c>
      <c r="AY16" s="29">
        <v>6.77</v>
      </c>
      <c r="AZ16" s="29">
        <v>2.99</v>
      </c>
      <c r="BA16" s="35"/>
      <c r="BB16" s="35"/>
    </row>
    <row r="17" spans="1:54" x14ac:dyDescent="0.4">
      <c r="A17" s="41"/>
      <c r="B17" s="3" t="s">
        <v>7</v>
      </c>
      <c r="C17" s="3">
        <v>20.51</v>
      </c>
      <c r="D17" s="3">
        <v>19.59</v>
      </c>
      <c r="E17" s="3">
        <v>16.760000000000002</v>
      </c>
      <c r="F17" s="3">
        <v>11.52</v>
      </c>
      <c r="G17" s="3">
        <v>1.29</v>
      </c>
      <c r="H17" s="3">
        <v>0.9</v>
      </c>
      <c r="I17" s="3"/>
      <c r="J17" s="3">
        <v>8.98</v>
      </c>
      <c r="K17" s="3">
        <v>10.3</v>
      </c>
      <c r="L17" s="3">
        <v>2.74</v>
      </c>
      <c r="M17" s="3">
        <v>2.87</v>
      </c>
      <c r="N17" s="3">
        <v>3.53</v>
      </c>
      <c r="O17" s="3">
        <v>9.5500000000000007</v>
      </c>
      <c r="P17" s="3">
        <v>5.41</v>
      </c>
      <c r="Q17" s="3">
        <v>2.59</v>
      </c>
      <c r="R17" s="3">
        <v>3.04</v>
      </c>
      <c r="S17" s="3">
        <v>2.34</v>
      </c>
      <c r="T17" s="3">
        <v>4.8</v>
      </c>
      <c r="U17" s="3">
        <v>4.58</v>
      </c>
      <c r="V17" s="3">
        <v>5.0599999999999996</v>
      </c>
      <c r="W17" s="3">
        <v>1.28</v>
      </c>
      <c r="X17" s="3">
        <v>4.59</v>
      </c>
      <c r="Y17" s="3">
        <v>4.3099999999999996</v>
      </c>
      <c r="Z17" s="3">
        <v>4.9000000000000004</v>
      </c>
      <c r="AA17" s="3">
        <v>1.72</v>
      </c>
      <c r="AB17" s="3">
        <v>1.88</v>
      </c>
      <c r="AC17" s="3">
        <v>2.33</v>
      </c>
      <c r="AD17" s="3">
        <v>4.21</v>
      </c>
      <c r="AE17" s="3">
        <v>0.97</v>
      </c>
      <c r="AF17" s="3">
        <v>5.2</v>
      </c>
      <c r="AG17" s="3">
        <v>4.59</v>
      </c>
      <c r="AH17" s="3">
        <v>5.44</v>
      </c>
      <c r="AI17" s="3">
        <v>5.24</v>
      </c>
      <c r="AJ17" s="3">
        <v>2.75</v>
      </c>
      <c r="AK17" s="3">
        <v>2.97</v>
      </c>
      <c r="AL17" s="3">
        <v>3.22</v>
      </c>
      <c r="AM17" s="3">
        <v>3.5</v>
      </c>
      <c r="AN17" s="3">
        <v>1.56</v>
      </c>
      <c r="AO17" s="29">
        <v>1.91</v>
      </c>
      <c r="AP17" s="29">
        <v>5.14</v>
      </c>
      <c r="AQ17" s="29">
        <v>5.38</v>
      </c>
      <c r="AR17" s="3">
        <v>5.65</v>
      </c>
      <c r="AS17" s="29">
        <v>2.69</v>
      </c>
      <c r="AT17" s="3">
        <v>3.13</v>
      </c>
      <c r="AU17" s="29">
        <v>4.3499999999999996</v>
      </c>
      <c r="AV17" s="29">
        <v>0.9</v>
      </c>
      <c r="AW17" s="3">
        <v>1.76</v>
      </c>
      <c r="AX17" s="29">
        <v>2.72</v>
      </c>
      <c r="AY17" s="29">
        <v>5.92</v>
      </c>
      <c r="AZ17" s="29">
        <v>2.2400000000000002</v>
      </c>
      <c r="BA17" s="29"/>
      <c r="BB17" s="29"/>
    </row>
    <row r="18" spans="1:54" x14ac:dyDescent="0.4">
      <c r="A18" s="41"/>
      <c r="B18" s="3" t="s">
        <v>8</v>
      </c>
      <c r="C18" s="3">
        <v>21.22</v>
      </c>
      <c r="D18" s="3">
        <v>20.239999999999998</v>
      </c>
      <c r="E18" s="3">
        <v>17.29</v>
      </c>
      <c r="F18" s="3">
        <v>11.55</v>
      </c>
      <c r="G18" s="3">
        <v>0.82</v>
      </c>
      <c r="H18" s="3">
        <v>0.45</v>
      </c>
      <c r="I18" s="3"/>
      <c r="J18" s="3">
        <v>9.74</v>
      </c>
      <c r="K18" s="3">
        <v>10.86</v>
      </c>
      <c r="L18" s="3">
        <v>2.98</v>
      </c>
      <c r="M18" s="3">
        <v>2.52</v>
      </c>
      <c r="N18" s="3">
        <v>3.81</v>
      </c>
      <c r="O18" s="3">
        <v>10.199999999999999</v>
      </c>
      <c r="P18" s="3">
        <v>5.08</v>
      </c>
      <c r="Q18" s="3">
        <v>2.19</v>
      </c>
      <c r="R18" s="3">
        <v>2.68</v>
      </c>
      <c r="S18" s="3">
        <v>1.96</v>
      </c>
      <c r="T18" s="3">
        <v>4.6100000000000003</v>
      </c>
      <c r="U18" s="3">
        <v>4.3099999999999996</v>
      </c>
      <c r="V18" s="3">
        <v>4.8899999999999997</v>
      </c>
      <c r="W18" s="3">
        <v>0.81</v>
      </c>
      <c r="X18" s="3">
        <v>4.3499999999999996</v>
      </c>
      <c r="Y18" s="3">
        <v>4.01</v>
      </c>
      <c r="Z18" s="3">
        <v>4.68</v>
      </c>
      <c r="AA18" s="3">
        <v>1.38</v>
      </c>
      <c r="AB18" s="3">
        <v>1.51</v>
      </c>
      <c r="AC18" s="3">
        <v>2.02</v>
      </c>
      <c r="AD18" s="3">
        <v>3.92</v>
      </c>
      <c r="AE18" s="3">
        <v>0.57999999999999996</v>
      </c>
      <c r="AF18" s="3">
        <v>5.04</v>
      </c>
      <c r="AG18" s="3">
        <v>4.33</v>
      </c>
      <c r="AH18" s="3">
        <v>5.07</v>
      </c>
      <c r="AI18" s="3">
        <v>4.8600000000000003</v>
      </c>
      <c r="AJ18" s="3">
        <v>2.3199999999999998</v>
      </c>
      <c r="AK18" s="3">
        <v>2.59</v>
      </c>
      <c r="AL18" s="3">
        <v>2.88</v>
      </c>
      <c r="AM18" s="3">
        <v>3.22</v>
      </c>
      <c r="AN18" s="3">
        <v>1.1299999999999999</v>
      </c>
      <c r="AO18" s="29">
        <v>1.51</v>
      </c>
      <c r="AP18" s="29">
        <v>4.88</v>
      </c>
      <c r="AQ18" s="29">
        <v>4.99</v>
      </c>
      <c r="AR18" s="3">
        <v>5.35</v>
      </c>
      <c r="AS18" s="29">
        <v>2.38</v>
      </c>
      <c r="AT18" s="3">
        <v>2.73</v>
      </c>
      <c r="AU18" s="29">
        <v>4.01</v>
      </c>
      <c r="AV18" s="29">
        <v>0.42</v>
      </c>
      <c r="AW18" s="3">
        <v>1.28</v>
      </c>
      <c r="AX18" s="29">
        <v>2.35</v>
      </c>
      <c r="AY18" s="29">
        <v>5.68</v>
      </c>
      <c r="AZ18" s="29">
        <v>1.99</v>
      </c>
      <c r="BA18" s="29"/>
      <c r="BB18" s="29"/>
    </row>
    <row r="19" spans="1:54" x14ac:dyDescent="0.4">
      <c r="A19" s="41"/>
      <c r="B19" s="3" t="s">
        <v>9</v>
      </c>
      <c r="C19" s="3">
        <v>21.07</v>
      </c>
      <c r="D19" s="3">
        <v>19.78</v>
      </c>
      <c r="E19" s="3">
        <v>16.309999999999999</v>
      </c>
      <c r="F19" s="3">
        <v>10.039999999999999</v>
      </c>
      <c r="G19" s="3">
        <v>-1.43</v>
      </c>
      <c r="H19" s="3">
        <v>-1.79</v>
      </c>
      <c r="I19" s="3"/>
      <c r="J19" s="3">
        <v>9.14</v>
      </c>
      <c r="K19" s="3">
        <v>10.64</v>
      </c>
      <c r="L19" s="3">
        <v>1.98</v>
      </c>
      <c r="M19" s="3">
        <v>1.25</v>
      </c>
      <c r="N19" s="3">
        <v>3</v>
      </c>
      <c r="O19" s="3">
        <v>9.9</v>
      </c>
      <c r="P19" s="3">
        <v>3.24</v>
      </c>
      <c r="Q19" s="3">
        <v>0.64</v>
      </c>
      <c r="R19" s="3">
        <v>1.04</v>
      </c>
      <c r="S19" s="3">
        <v>0.43</v>
      </c>
      <c r="T19" s="3">
        <v>3.47</v>
      </c>
      <c r="U19" s="3">
        <v>3.26</v>
      </c>
      <c r="V19" s="3">
        <v>3.75</v>
      </c>
      <c r="W19" s="3">
        <v>-1.28</v>
      </c>
      <c r="X19" s="3">
        <v>3.26</v>
      </c>
      <c r="Y19" s="3">
        <v>2.91</v>
      </c>
      <c r="Z19" s="3">
        <v>3.52</v>
      </c>
      <c r="AA19" s="3">
        <v>-7.0000000000000007E-2</v>
      </c>
      <c r="AB19" s="3">
        <v>0.03</v>
      </c>
      <c r="AC19" s="3">
        <v>0.44</v>
      </c>
      <c r="AD19" s="3">
        <v>2.23</v>
      </c>
      <c r="AE19" s="3">
        <v>-1.5</v>
      </c>
      <c r="AF19" s="3">
        <v>3.88</v>
      </c>
      <c r="AG19" s="3">
        <v>3.31</v>
      </c>
      <c r="AH19" s="3">
        <v>4.1100000000000003</v>
      </c>
      <c r="AI19" s="3">
        <v>3.89</v>
      </c>
      <c r="AJ19" s="3">
        <v>0.9</v>
      </c>
      <c r="AK19" s="3">
        <v>1.1399999999999999</v>
      </c>
      <c r="AL19" s="3">
        <v>1.36</v>
      </c>
      <c r="AM19" s="3">
        <v>1.67</v>
      </c>
      <c r="AN19" s="3">
        <v>-0.92</v>
      </c>
      <c r="AO19" s="29">
        <v>-0.59</v>
      </c>
      <c r="AP19" s="29">
        <v>3.93</v>
      </c>
      <c r="AQ19" s="29">
        <v>3.95</v>
      </c>
      <c r="AR19" s="3">
        <v>4.28</v>
      </c>
      <c r="AS19" s="29">
        <v>0.92</v>
      </c>
      <c r="AT19" s="3">
        <v>1.22</v>
      </c>
      <c r="AU19" s="29">
        <v>2.35</v>
      </c>
      <c r="AV19" s="29">
        <v>-1.52</v>
      </c>
      <c r="AW19" s="3">
        <v>-0.8</v>
      </c>
      <c r="AX19" s="29">
        <v>0.11</v>
      </c>
      <c r="AY19" s="29">
        <v>3.83</v>
      </c>
      <c r="AZ19" s="29">
        <v>0.57999999999999996</v>
      </c>
      <c r="BA19" s="29"/>
      <c r="BB19" s="29"/>
    </row>
    <row r="20" spans="1:54" x14ac:dyDescent="0.4">
      <c r="A20" s="42" t="s">
        <v>30</v>
      </c>
      <c r="B20" s="2" t="s">
        <v>10</v>
      </c>
      <c r="C20" s="7">
        <v>3.03</v>
      </c>
      <c r="D20" s="7">
        <v>3.42</v>
      </c>
      <c r="E20" s="7">
        <v>3.32</v>
      </c>
      <c r="F20" s="7">
        <v>3.18</v>
      </c>
      <c r="G20" s="7">
        <v>3.27</v>
      </c>
      <c r="H20" s="7">
        <v>3.24</v>
      </c>
      <c r="I20" s="7"/>
      <c r="J20" s="7">
        <v>3.71</v>
      </c>
      <c r="K20" s="7">
        <v>3.66</v>
      </c>
      <c r="L20" s="7">
        <v>3.42</v>
      </c>
      <c r="M20" s="7">
        <v>3.47</v>
      </c>
      <c r="N20" s="7">
        <v>3.39</v>
      </c>
      <c r="O20" s="7">
        <v>3.68</v>
      </c>
      <c r="P20" s="7">
        <v>3.71</v>
      </c>
      <c r="Q20" s="7">
        <v>3.48</v>
      </c>
      <c r="R20" s="7">
        <v>3.52</v>
      </c>
      <c r="S20" s="7">
        <v>3.46</v>
      </c>
      <c r="T20" s="7">
        <v>3.75</v>
      </c>
      <c r="U20" s="7">
        <v>3.73</v>
      </c>
      <c r="V20" s="7">
        <v>3.78</v>
      </c>
      <c r="W20" s="7">
        <v>3.28</v>
      </c>
      <c r="X20" s="7">
        <v>3.74</v>
      </c>
      <c r="Y20" s="7">
        <v>3.72</v>
      </c>
      <c r="Z20" s="7">
        <v>3.77</v>
      </c>
      <c r="AA20" s="7">
        <v>3.41</v>
      </c>
      <c r="AB20" s="7">
        <v>3.42</v>
      </c>
      <c r="AC20" s="2">
        <v>3.46</v>
      </c>
      <c r="AD20" s="7">
        <v>3.63</v>
      </c>
      <c r="AE20" s="2">
        <v>3.27</v>
      </c>
      <c r="AF20" s="7">
        <v>3.82</v>
      </c>
      <c r="AG20" s="7">
        <v>3.76</v>
      </c>
      <c r="AH20" s="2">
        <v>3.8</v>
      </c>
      <c r="AI20" s="7">
        <v>3.79</v>
      </c>
      <c r="AJ20" s="7">
        <v>3.5</v>
      </c>
      <c r="AK20" s="7">
        <v>3.52</v>
      </c>
      <c r="AL20" s="7">
        <v>3.56</v>
      </c>
      <c r="AM20" s="7">
        <v>3.59</v>
      </c>
      <c r="AN20" s="7">
        <v>3.34</v>
      </c>
      <c r="AO20" s="28">
        <v>3.36</v>
      </c>
      <c r="AP20" s="28">
        <v>3.8</v>
      </c>
      <c r="AQ20" s="28">
        <v>3.82</v>
      </c>
      <c r="AR20" s="7">
        <v>3.85</v>
      </c>
      <c r="AS20" s="28">
        <v>3.51</v>
      </c>
      <c r="AT20" s="7">
        <v>3.54</v>
      </c>
      <c r="AU20" s="28">
        <v>3.65</v>
      </c>
      <c r="AV20" s="28">
        <v>3.28</v>
      </c>
      <c r="AW20" s="7">
        <v>3.34</v>
      </c>
      <c r="AX20" s="28">
        <v>3.42</v>
      </c>
      <c r="AY20" s="28">
        <v>3.8</v>
      </c>
      <c r="AZ20" s="28">
        <v>3.49</v>
      </c>
      <c r="BA20" s="28"/>
      <c r="BB20" s="28"/>
    </row>
    <row r="21" spans="1:54" x14ac:dyDescent="0.4">
      <c r="A21" s="43"/>
      <c r="B21" s="2" t="s">
        <v>36</v>
      </c>
      <c r="C21" s="7">
        <v>7.85</v>
      </c>
      <c r="D21" s="7">
        <v>8.51</v>
      </c>
      <c r="E21" s="7">
        <v>8.59</v>
      </c>
      <c r="F21" s="7">
        <v>8.6199999999999992</v>
      </c>
      <c r="G21" s="7">
        <v>9.0500000000000007</v>
      </c>
      <c r="H21" s="7">
        <v>9.14</v>
      </c>
      <c r="I21" s="7"/>
      <c r="J21" s="7">
        <v>9.1199999999999992</v>
      </c>
      <c r="K21" s="7">
        <v>9.2799999999999994</v>
      </c>
      <c r="L21" s="7">
        <v>9.2799999999999994</v>
      </c>
      <c r="M21" s="7">
        <v>9.1</v>
      </c>
      <c r="N21" s="7">
        <v>9.4</v>
      </c>
      <c r="O21" s="7">
        <v>9.2200000000000006</v>
      </c>
      <c r="P21" s="7">
        <v>8.6</v>
      </c>
      <c r="Q21" s="7">
        <v>9.27</v>
      </c>
      <c r="R21" s="7">
        <v>9.1199999999999992</v>
      </c>
      <c r="S21" s="7">
        <v>9.3699999999999992</v>
      </c>
      <c r="T21" s="7">
        <v>9.23</v>
      </c>
      <c r="U21" s="7">
        <v>9.3800000000000008</v>
      </c>
      <c r="V21" s="7">
        <v>9.06</v>
      </c>
      <c r="W21" s="7">
        <v>9.08</v>
      </c>
      <c r="X21" s="7">
        <v>9.2200000000000006</v>
      </c>
      <c r="Y21" s="7">
        <v>9.3800000000000008</v>
      </c>
      <c r="Z21" s="7">
        <v>9.0500000000000007</v>
      </c>
      <c r="AA21" s="7">
        <v>9.56</v>
      </c>
      <c r="AB21" s="7">
        <v>9.39</v>
      </c>
      <c r="AC21" s="2">
        <v>9.1999999999999993</v>
      </c>
      <c r="AD21" s="7">
        <v>8.73</v>
      </c>
      <c r="AE21" s="2">
        <v>9.06</v>
      </c>
      <c r="AF21" s="7">
        <v>8.94</v>
      </c>
      <c r="AG21" s="7">
        <v>9.19</v>
      </c>
      <c r="AH21" s="2">
        <v>9.4</v>
      </c>
      <c r="AI21" s="7">
        <v>9.58</v>
      </c>
      <c r="AJ21" s="7">
        <v>9.58</v>
      </c>
      <c r="AK21" s="7">
        <v>9.39</v>
      </c>
      <c r="AL21" s="7">
        <v>9.1999999999999993</v>
      </c>
      <c r="AM21" s="7">
        <v>9.06</v>
      </c>
      <c r="AN21" s="7">
        <v>9.1199999999999992</v>
      </c>
      <c r="AO21" s="7">
        <v>9.02</v>
      </c>
      <c r="AP21" s="7">
        <v>9.4600000000000009</v>
      </c>
      <c r="AQ21" s="7">
        <v>9.2200000000000006</v>
      </c>
      <c r="AR21" s="7">
        <v>9.01</v>
      </c>
      <c r="AS21" s="7">
        <v>9.43</v>
      </c>
      <c r="AT21" s="7">
        <v>9.2100000000000009</v>
      </c>
      <c r="AU21" s="7">
        <v>8.9</v>
      </c>
      <c r="AV21" s="7">
        <v>9.43</v>
      </c>
      <c r="AW21" s="7">
        <v>9.2100000000000009</v>
      </c>
      <c r="AX21" s="7">
        <v>9.01</v>
      </c>
      <c r="AY21" s="7">
        <v>8.6999999999999993</v>
      </c>
      <c r="AZ21" s="7">
        <v>9.6300000000000008</v>
      </c>
      <c r="BA21" s="7"/>
      <c r="BB21" s="7"/>
    </row>
    <row r="22" spans="1:54" x14ac:dyDescent="0.4">
      <c r="A22" s="43"/>
      <c r="B22" s="2" t="s">
        <v>37</v>
      </c>
      <c r="C22" s="7">
        <v>7.7590000000000003</v>
      </c>
      <c r="D22" s="7">
        <v>8.4130000000000003</v>
      </c>
      <c r="E22" s="7">
        <v>8.375</v>
      </c>
      <c r="F22" s="7">
        <v>8.3130000000000006</v>
      </c>
      <c r="G22" s="7">
        <v>8.7230000000000008</v>
      </c>
      <c r="H22" s="7">
        <v>8.8610000000000007</v>
      </c>
      <c r="I22" s="7"/>
      <c r="J22" s="7">
        <v>9.0039999999999996</v>
      </c>
      <c r="K22" s="7">
        <v>9.1850000000000005</v>
      </c>
      <c r="L22" s="7">
        <v>9.0850000000000009</v>
      </c>
      <c r="M22" s="7">
        <v>8.8689999999999998</v>
      </c>
      <c r="N22" s="7">
        <v>9.2249999999999996</v>
      </c>
      <c r="O22" s="7">
        <v>9.125</v>
      </c>
      <c r="P22" s="7">
        <v>8.2210000000000001</v>
      </c>
      <c r="Q22" s="7">
        <v>9.0609999999999999</v>
      </c>
      <c r="R22" s="7">
        <v>8.8960000000000008</v>
      </c>
      <c r="S22" s="7">
        <v>9.1739999999999995</v>
      </c>
      <c r="T22" s="7">
        <v>9.0980000000000008</v>
      </c>
      <c r="U22" s="7">
        <v>9.26</v>
      </c>
      <c r="V22" s="7">
        <v>8.9309999999999992</v>
      </c>
      <c r="W22" s="7">
        <v>8.7829999999999995</v>
      </c>
      <c r="X22" s="7">
        <v>9.1039999999999992</v>
      </c>
      <c r="Y22" s="7">
        <v>9.2769999999999992</v>
      </c>
      <c r="Z22" s="7">
        <v>8.907</v>
      </c>
      <c r="AA22" s="7">
        <v>9.3930000000000007</v>
      </c>
      <c r="AB22" s="7">
        <v>9.2089999999999996</v>
      </c>
      <c r="AC22" s="2">
        <v>9.0009999999999994</v>
      </c>
      <c r="AD22" s="7">
        <v>8.359</v>
      </c>
      <c r="AE22" s="2">
        <v>8.7690000000000001</v>
      </c>
      <c r="AF22" s="7">
        <v>8.7959999999999994</v>
      </c>
      <c r="AG22" s="7">
        <v>9.08</v>
      </c>
      <c r="AH22" s="2">
        <v>9.2929999999999993</v>
      </c>
      <c r="AI22" s="7">
        <v>9.4949999999999992</v>
      </c>
      <c r="AJ22" s="7">
        <v>9.4250000000000007</v>
      </c>
      <c r="AK22" s="7">
        <v>9.2059999999999995</v>
      </c>
      <c r="AL22" s="7">
        <v>8.9990000000000006</v>
      </c>
      <c r="AM22" s="7">
        <v>8.8339999999999996</v>
      </c>
      <c r="AN22" s="7">
        <v>8.8420000000000005</v>
      </c>
      <c r="AO22" s="7">
        <v>8.7479999999999993</v>
      </c>
      <c r="AP22" s="7">
        <v>9.3550000000000004</v>
      </c>
      <c r="AQ22" s="7">
        <v>9.1069999999999993</v>
      </c>
      <c r="AR22" s="7">
        <v>8.8740000000000006</v>
      </c>
      <c r="AS22" s="7">
        <v>9.2520000000000007</v>
      </c>
      <c r="AT22" s="7">
        <v>9.0150000000000006</v>
      </c>
      <c r="AU22" s="7">
        <v>8.6340000000000003</v>
      </c>
      <c r="AV22" s="7">
        <v>9.1929999999999996</v>
      </c>
      <c r="AW22" s="7">
        <v>8.9149999999999991</v>
      </c>
      <c r="AX22" s="7">
        <v>8.6389999999999993</v>
      </c>
      <c r="AY22" s="7">
        <v>8.3290000000000006</v>
      </c>
      <c r="AZ22" s="7">
        <v>9.4930000000000003</v>
      </c>
      <c r="BA22" s="7"/>
      <c r="BB22" s="7"/>
    </row>
    <row r="23" spans="1:54" x14ac:dyDescent="0.4">
      <c r="A23" s="43"/>
      <c r="B23" s="2" t="s">
        <v>38</v>
      </c>
      <c r="C23" s="16">
        <v>3.4049999999999998</v>
      </c>
      <c r="D23" s="7">
        <v>3.8410000000000002</v>
      </c>
      <c r="E23" s="7">
        <v>3.956</v>
      </c>
      <c r="F23" s="7">
        <v>4.0449999999999999</v>
      </c>
      <c r="G23" s="7">
        <v>4.0179999999999998</v>
      </c>
      <c r="H23" s="7">
        <v>3.9529999999999998</v>
      </c>
      <c r="I23" s="7"/>
      <c r="J23" s="7">
        <v>4.1070000000000002</v>
      </c>
      <c r="K23" s="7">
        <v>3.9449999999999998</v>
      </c>
      <c r="L23" s="7">
        <v>3.964</v>
      </c>
      <c r="M23" s="7">
        <v>4.048</v>
      </c>
      <c r="N23" s="7">
        <v>3.9260000000000002</v>
      </c>
      <c r="O23" s="7">
        <v>4.0289999999999999</v>
      </c>
      <c r="P23" s="7">
        <v>4.351</v>
      </c>
      <c r="Q23" s="7">
        <v>3.98</v>
      </c>
      <c r="R23" s="7">
        <v>4.04</v>
      </c>
      <c r="S23" s="7">
        <v>3.722</v>
      </c>
      <c r="T23" s="7">
        <v>4.1150000000000002</v>
      </c>
      <c r="U23" s="7">
        <v>4.0830000000000002</v>
      </c>
      <c r="V23" s="7">
        <v>4.1639999999999997</v>
      </c>
      <c r="W23" s="7">
        <v>3.964</v>
      </c>
      <c r="X23" s="7">
        <v>4.0060000000000002</v>
      </c>
      <c r="Y23" s="7">
        <v>4.0720000000000001</v>
      </c>
      <c r="Z23" s="7">
        <v>4.181</v>
      </c>
      <c r="AA23" s="7">
        <v>3.923</v>
      </c>
      <c r="AB23" s="7">
        <v>3.9580000000000002</v>
      </c>
      <c r="AC23" s="2">
        <v>3.9279999999999999</v>
      </c>
      <c r="AD23" s="7">
        <v>4.2619999999999996</v>
      </c>
      <c r="AE23" s="2">
        <v>4.01</v>
      </c>
      <c r="AF23" s="7">
        <v>4.2779999999999996</v>
      </c>
      <c r="AG23" s="7">
        <v>4.2190000000000003</v>
      </c>
      <c r="AH23" s="2">
        <v>4.1399999999999997</v>
      </c>
      <c r="AI23" s="7">
        <v>4.1180000000000003</v>
      </c>
      <c r="AJ23" s="7">
        <v>3.9529999999999998</v>
      </c>
      <c r="AK23" s="7">
        <v>3.988</v>
      </c>
      <c r="AL23" s="7">
        <v>4.056</v>
      </c>
      <c r="AM23" s="7">
        <v>4.0010000000000003</v>
      </c>
      <c r="AN23" s="7">
        <v>3.988</v>
      </c>
      <c r="AO23" s="7">
        <v>4.0259999999999998</v>
      </c>
      <c r="AP23" s="7">
        <v>4.1319999999999997</v>
      </c>
      <c r="AQ23" s="7">
        <v>4.1559999999999997</v>
      </c>
      <c r="AR23" s="7">
        <v>4.1970000000000001</v>
      </c>
      <c r="AS23" s="7">
        <v>3.988</v>
      </c>
      <c r="AT23" s="7">
        <v>4.04</v>
      </c>
      <c r="AU23" s="7">
        <v>4.2</v>
      </c>
      <c r="AV23" s="7">
        <v>3.9089999999999998</v>
      </c>
      <c r="AW23" s="7">
        <v>4.0259999999999998</v>
      </c>
      <c r="AX23" s="7">
        <v>4.1619999999999999</v>
      </c>
      <c r="AY23" s="7">
        <v>4.46</v>
      </c>
      <c r="AZ23" s="7">
        <v>3.9849999999999999</v>
      </c>
      <c r="BA23" s="7"/>
      <c r="BB23" s="7"/>
    </row>
    <row r="24" spans="1:54" x14ac:dyDescent="0.4">
      <c r="A24" s="43"/>
      <c r="B24" s="2" t="s">
        <v>73</v>
      </c>
      <c r="C24" s="7">
        <v>3.1819999999999999</v>
      </c>
      <c r="D24" s="7">
        <v>3.5939999999999999</v>
      </c>
      <c r="E24" s="7">
        <v>3.6160000000000001</v>
      </c>
      <c r="F24" s="7">
        <v>3.5939999999999999</v>
      </c>
      <c r="G24" s="7">
        <v>3.6840000000000002</v>
      </c>
      <c r="H24" s="7">
        <v>3.6379999999999999</v>
      </c>
      <c r="I24" s="7"/>
      <c r="J24" s="7">
        <v>3.9009999999999998</v>
      </c>
      <c r="K24" s="7">
        <v>3.855</v>
      </c>
      <c r="L24" s="7">
        <v>3.6920000000000002</v>
      </c>
      <c r="M24" s="7">
        <v>3.7679999999999998</v>
      </c>
      <c r="N24" s="7">
        <v>3.6619999999999999</v>
      </c>
      <c r="O24" s="7">
        <v>3.86</v>
      </c>
      <c r="P24" s="7">
        <v>4.0529999999999999</v>
      </c>
      <c r="Q24" s="7">
        <v>3.7549999999999999</v>
      </c>
      <c r="R24" s="7">
        <v>3.7930000000000001</v>
      </c>
      <c r="S24" s="7">
        <v>3.964</v>
      </c>
      <c r="T24" s="7">
        <v>3.9420000000000002</v>
      </c>
      <c r="U24" s="7">
        <v>3.9260000000000002</v>
      </c>
      <c r="V24" s="7">
        <v>3.972</v>
      </c>
      <c r="W24" s="7">
        <v>3.9689999999999999</v>
      </c>
      <c r="X24" s="7">
        <v>3.9449999999999998</v>
      </c>
      <c r="Y24" s="7">
        <v>3.9340000000000002</v>
      </c>
      <c r="Z24" s="7">
        <v>4.0019999999999998</v>
      </c>
      <c r="AA24" s="7">
        <v>3.7</v>
      </c>
      <c r="AB24" s="7">
        <v>3.722</v>
      </c>
      <c r="AC24" s="2">
        <v>3.79</v>
      </c>
      <c r="AD24" s="7">
        <v>3.996</v>
      </c>
      <c r="AE24" s="2">
        <v>3.7080000000000002</v>
      </c>
      <c r="AF24" s="7">
        <v>4.1020000000000003</v>
      </c>
      <c r="AG24" s="7">
        <v>4.069</v>
      </c>
      <c r="AH24" s="2">
        <v>3.9769999999999999</v>
      </c>
      <c r="AI24" s="7">
        <v>3.9660000000000002</v>
      </c>
      <c r="AJ24" s="7">
        <v>3.738</v>
      </c>
      <c r="AK24" s="7">
        <v>3.782</v>
      </c>
      <c r="AL24" s="7">
        <v>3.8250000000000002</v>
      </c>
      <c r="AM24" s="7">
        <v>3.863</v>
      </c>
      <c r="AN24" s="7">
        <v>3.6949999999999998</v>
      </c>
      <c r="AO24" s="7">
        <v>3.7189999999999999</v>
      </c>
      <c r="AP24" s="7">
        <v>3.9769999999999999</v>
      </c>
      <c r="AQ24" s="7">
        <v>4.0119999999999996</v>
      </c>
      <c r="AR24" s="7">
        <v>4.048</v>
      </c>
      <c r="AS24" s="7">
        <v>3.7789999999999999</v>
      </c>
      <c r="AT24" s="7">
        <v>3.8279999999999998</v>
      </c>
      <c r="AU24" s="7">
        <v>3.98</v>
      </c>
      <c r="AV24" s="7">
        <v>3.6680000000000001</v>
      </c>
      <c r="AW24" s="7">
        <v>3.76</v>
      </c>
      <c r="AX24" s="7">
        <v>3.8660000000000001</v>
      </c>
      <c r="AY24" s="7">
        <v>4.194</v>
      </c>
      <c r="AZ24" s="7">
        <v>3.7930000000000001</v>
      </c>
      <c r="BA24" s="7"/>
      <c r="BB24" s="7"/>
    </row>
    <row r="25" spans="1:54" s="7" customFormat="1" x14ac:dyDescent="0.4">
      <c r="A25" s="44" t="s">
        <v>34</v>
      </c>
      <c r="B25" s="10" t="s">
        <v>39</v>
      </c>
      <c r="C25" s="10">
        <v>345</v>
      </c>
      <c r="D25" s="10">
        <v>345</v>
      </c>
      <c r="E25" s="10">
        <v>345</v>
      </c>
      <c r="F25" s="10">
        <v>345</v>
      </c>
      <c r="G25" s="10">
        <v>345</v>
      </c>
      <c r="H25" s="10">
        <v>345</v>
      </c>
      <c r="I25" s="10"/>
      <c r="J25" s="10">
        <v>345</v>
      </c>
      <c r="K25" s="10">
        <v>345</v>
      </c>
      <c r="L25" s="10">
        <v>345</v>
      </c>
      <c r="M25" s="10">
        <v>345</v>
      </c>
      <c r="N25" s="10">
        <v>345</v>
      </c>
      <c r="O25" s="10">
        <v>345</v>
      </c>
      <c r="P25" s="10">
        <v>345</v>
      </c>
      <c r="Q25" s="10">
        <v>345</v>
      </c>
      <c r="R25" s="10">
        <v>345</v>
      </c>
      <c r="S25" s="10">
        <v>345</v>
      </c>
      <c r="T25" s="10">
        <v>345</v>
      </c>
      <c r="U25" s="10">
        <v>345</v>
      </c>
      <c r="V25" s="10">
        <v>345</v>
      </c>
      <c r="W25" s="10">
        <v>345</v>
      </c>
      <c r="X25" s="10">
        <v>345</v>
      </c>
      <c r="Y25" s="10">
        <v>345</v>
      </c>
      <c r="Z25" s="10">
        <v>345</v>
      </c>
      <c r="AA25" s="10">
        <v>345</v>
      </c>
      <c r="AB25" s="10">
        <v>345</v>
      </c>
      <c r="AC25" s="10">
        <v>345</v>
      </c>
      <c r="AD25" s="10">
        <v>345</v>
      </c>
      <c r="AE25" s="10">
        <v>345</v>
      </c>
      <c r="AF25" s="10">
        <v>345</v>
      </c>
      <c r="AG25" s="10">
        <v>345</v>
      </c>
      <c r="AH25" s="10">
        <v>345</v>
      </c>
      <c r="AI25" s="10">
        <v>345</v>
      </c>
      <c r="AJ25" s="10">
        <v>345</v>
      </c>
      <c r="AK25" s="10">
        <v>345</v>
      </c>
      <c r="AL25" s="10">
        <v>345</v>
      </c>
      <c r="AM25" s="10">
        <v>345</v>
      </c>
      <c r="AN25" s="10">
        <v>345</v>
      </c>
      <c r="AO25" s="10">
        <v>345</v>
      </c>
      <c r="AP25" s="10">
        <v>345</v>
      </c>
      <c r="AQ25" s="10">
        <v>345</v>
      </c>
      <c r="AR25" s="10">
        <v>345</v>
      </c>
      <c r="AS25" s="10">
        <v>345</v>
      </c>
      <c r="AT25" s="10">
        <v>345</v>
      </c>
      <c r="AU25" s="10">
        <v>345</v>
      </c>
      <c r="AV25" s="10">
        <v>345</v>
      </c>
      <c r="AW25" s="10">
        <v>345</v>
      </c>
      <c r="AX25" s="10">
        <v>345</v>
      </c>
      <c r="AY25" s="10">
        <v>345</v>
      </c>
      <c r="AZ25" s="10">
        <v>345</v>
      </c>
      <c r="BA25" s="10">
        <v>345</v>
      </c>
      <c r="BB25" s="10"/>
    </row>
    <row r="26" spans="1:54" x14ac:dyDescent="0.4">
      <c r="A26" s="44"/>
      <c r="B26" s="10" t="s">
        <v>40</v>
      </c>
      <c r="C26" s="10">
        <v>5</v>
      </c>
      <c r="D26" s="10">
        <v>5.4</v>
      </c>
      <c r="E26" s="10">
        <v>7</v>
      </c>
      <c r="F26" s="10">
        <v>8.6999999999999993</v>
      </c>
      <c r="G26" s="10">
        <v>9.1999999999999993</v>
      </c>
      <c r="H26" s="10">
        <v>9.25</v>
      </c>
      <c r="I26" s="10"/>
      <c r="J26" s="10">
        <v>5.85</v>
      </c>
      <c r="K26" s="10">
        <v>6</v>
      </c>
      <c r="L26" s="10">
        <v>7.6</v>
      </c>
      <c r="M26" s="10">
        <v>7.5</v>
      </c>
      <c r="N26" s="10">
        <v>7.75</v>
      </c>
      <c r="O26" s="10">
        <v>5.9</v>
      </c>
      <c r="P26" s="10">
        <v>6.95</v>
      </c>
      <c r="Q26" s="10">
        <v>7.6</v>
      </c>
      <c r="R26" s="10">
        <v>7.5</v>
      </c>
      <c r="S26" s="10">
        <v>7.7</v>
      </c>
      <c r="T26" s="10">
        <v>5.9</v>
      </c>
      <c r="U26" s="10">
        <v>6.05</v>
      </c>
      <c r="V26" s="10">
        <v>5.8</v>
      </c>
      <c r="W26" s="10">
        <v>9.1999999999999993</v>
      </c>
      <c r="X26" s="10">
        <v>5.9</v>
      </c>
      <c r="Y26" s="10">
        <v>6.05</v>
      </c>
      <c r="Z26" s="10">
        <v>5.8</v>
      </c>
      <c r="AA26" s="10">
        <v>7.9</v>
      </c>
      <c r="AB26" s="10">
        <v>7.8</v>
      </c>
      <c r="AC26" s="10">
        <v>7.6</v>
      </c>
      <c r="AD26" s="10">
        <v>7.1</v>
      </c>
      <c r="AE26" s="10">
        <v>9.1999999999999993</v>
      </c>
      <c r="AF26" s="10">
        <v>5.7</v>
      </c>
      <c r="AG26" s="10">
        <v>5.9</v>
      </c>
      <c r="AH26" s="10">
        <v>6</v>
      </c>
      <c r="AI26" s="10">
        <v>6.2</v>
      </c>
      <c r="AJ26" s="10">
        <v>7.9</v>
      </c>
      <c r="AK26" s="10">
        <v>7.7</v>
      </c>
      <c r="AL26" s="10">
        <v>7.5</v>
      </c>
      <c r="AM26" s="10">
        <v>7.4</v>
      </c>
      <c r="AN26" s="10">
        <v>9.1999999999999993</v>
      </c>
      <c r="AO26" s="10">
        <v>9.1</v>
      </c>
      <c r="AP26" s="10">
        <v>6.1</v>
      </c>
      <c r="AQ26" s="10">
        <v>5.9</v>
      </c>
      <c r="AR26" s="10">
        <v>5.7</v>
      </c>
      <c r="AS26" s="10">
        <v>7.8</v>
      </c>
      <c r="AT26" s="10">
        <v>7.6</v>
      </c>
      <c r="AU26" s="10">
        <v>7.3</v>
      </c>
      <c r="AV26" s="10">
        <v>9.5</v>
      </c>
      <c r="AW26" s="10">
        <v>9.3000000000000007</v>
      </c>
      <c r="AX26" s="10">
        <v>9.1</v>
      </c>
      <c r="AY26" s="10">
        <v>7.1</v>
      </c>
      <c r="AZ26" s="10">
        <v>8</v>
      </c>
      <c r="BA26" s="10"/>
      <c r="BB26" s="10"/>
    </row>
    <row r="27" spans="1:54" x14ac:dyDescent="0.4">
      <c r="A27" s="44"/>
      <c r="B27" s="12" t="s">
        <v>31</v>
      </c>
      <c r="C27" s="10">
        <v>300</v>
      </c>
      <c r="D27" s="12">
        <v>400</v>
      </c>
      <c r="E27" s="12">
        <v>400</v>
      </c>
      <c r="F27" s="12">
        <v>400</v>
      </c>
      <c r="G27" s="10">
        <v>500</v>
      </c>
      <c r="H27" s="12">
        <v>500</v>
      </c>
      <c r="I27" s="10"/>
      <c r="J27" s="10">
        <v>500</v>
      </c>
      <c r="K27" s="10">
        <v>500</v>
      </c>
      <c r="L27" s="12">
        <v>500</v>
      </c>
      <c r="M27" s="12">
        <v>500</v>
      </c>
      <c r="N27" s="12">
        <v>500</v>
      </c>
      <c r="O27" s="12">
        <v>500</v>
      </c>
      <c r="P27" s="12">
        <v>500</v>
      </c>
      <c r="Q27" s="12">
        <v>600</v>
      </c>
      <c r="R27" s="10">
        <v>600</v>
      </c>
      <c r="S27" s="10">
        <v>600</v>
      </c>
      <c r="T27" s="12">
        <v>600</v>
      </c>
      <c r="U27" s="10">
        <v>600</v>
      </c>
      <c r="V27" s="10">
        <v>600</v>
      </c>
      <c r="W27" s="12">
        <v>600</v>
      </c>
      <c r="X27" s="12">
        <v>700</v>
      </c>
      <c r="Y27" s="10">
        <v>700</v>
      </c>
      <c r="Z27" s="10">
        <v>700</v>
      </c>
      <c r="AA27" s="12">
        <v>700</v>
      </c>
      <c r="AB27" s="12">
        <v>700</v>
      </c>
      <c r="AC27" s="12">
        <v>700</v>
      </c>
      <c r="AD27" s="12">
        <v>700</v>
      </c>
      <c r="AE27" s="12">
        <v>700</v>
      </c>
      <c r="AF27" s="10">
        <v>800</v>
      </c>
      <c r="AG27" s="10">
        <v>800</v>
      </c>
      <c r="AH27" s="12">
        <v>800</v>
      </c>
      <c r="AI27" s="10">
        <v>800</v>
      </c>
      <c r="AJ27" s="12">
        <v>800</v>
      </c>
      <c r="AK27" s="12">
        <v>800</v>
      </c>
      <c r="AL27" s="12">
        <v>800</v>
      </c>
      <c r="AM27" s="12">
        <v>800</v>
      </c>
      <c r="AN27" s="12">
        <v>800</v>
      </c>
      <c r="AO27" s="10">
        <v>800</v>
      </c>
      <c r="AP27" s="10">
        <v>900</v>
      </c>
      <c r="AQ27" s="10">
        <v>900</v>
      </c>
      <c r="AR27" s="12">
        <v>900</v>
      </c>
      <c r="AS27" s="12">
        <v>900</v>
      </c>
      <c r="AT27" s="12">
        <v>900</v>
      </c>
      <c r="AU27" s="12">
        <v>900</v>
      </c>
      <c r="AV27" s="10">
        <v>900</v>
      </c>
      <c r="AW27" s="12">
        <v>900</v>
      </c>
      <c r="AX27" s="10">
        <v>900</v>
      </c>
      <c r="AY27" s="12">
        <v>900</v>
      </c>
      <c r="AZ27" s="12">
        <v>900</v>
      </c>
      <c r="BA27" s="10">
        <v>900</v>
      </c>
      <c r="BB27" s="10"/>
    </row>
    <row r="28" spans="1:54" s="21" customFormat="1" x14ac:dyDescent="0.4">
      <c r="A28" s="44"/>
      <c r="B28" s="20" t="s">
        <v>41</v>
      </c>
      <c r="C28" s="20">
        <v>4000</v>
      </c>
      <c r="D28" s="12">
        <v>4000</v>
      </c>
      <c r="E28" s="12">
        <v>5000</v>
      </c>
      <c r="F28" s="12">
        <v>6000</v>
      </c>
      <c r="G28" s="20">
        <v>6000</v>
      </c>
      <c r="H28" s="12">
        <v>6000</v>
      </c>
      <c r="I28" s="20"/>
      <c r="J28" s="20">
        <v>4000</v>
      </c>
      <c r="K28" s="20">
        <v>4000</v>
      </c>
      <c r="L28" s="12">
        <v>5000</v>
      </c>
      <c r="M28" s="12">
        <v>5000</v>
      </c>
      <c r="N28" s="12">
        <v>5000</v>
      </c>
      <c r="O28" s="12">
        <v>4000</v>
      </c>
      <c r="P28" s="12">
        <v>5000</v>
      </c>
      <c r="Q28" s="12">
        <v>5000</v>
      </c>
      <c r="R28" s="20">
        <v>5000</v>
      </c>
      <c r="S28" s="20">
        <v>5000</v>
      </c>
      <c r="T28" s="12">
        <v>4000</v>
      </c>
      <c r="U28" s="20">
        <v>4000</v>
      </c>
      <c r="V28" s="20">
        <v>4000</v>
      </c>
      <c r="W28" s="12">
        <v>6000</v>
      </c>
      <c r="X28" s="12">
        <v>4000</v>
      </c>
      <c r="Y28" s="20">
        <v>4000</v>
      </c>
      <c r="Z28" s="20">
        <v>4000</v>
      </c>
      <c r="AA28" s="12">
        <v>5000</v>
      </c>
      <c r="AB28" s="12">
        <v>5000</v>
      </c>
      <c r="AC28" s="20">
        <v>5000</v>
      </c>
      <c r="AD28" s="12">
        <v>5000</v>
      </c>
      <c r="AE28" s="20">
        <v>6000</v>
      </c>
      <c r="AF28" s="20">
        <v>4000</v>
      </c>
      <c r="AG28" s="20">
        <v>4000</v>
      </c>
      <c r="AH28" s="20">
        <v>4000</v>
      </c>
      <c r="AI28" s="20">
        <v>4000</v>
      </c>
      <c r="AJ28" s="12">
        <v>5000</v>
      </c>
      <c r="AK28" s="12">
        <v>5000</v>
      </c>
      <c r="AL28" s="12">
        <v>5000</v>
      </c>
      <c r="AM28" s="12">
        <v>5000</v>
      </c>
      <c r="AN28" s="12">
        <v>6000</v>
      </c>
      <c r="AO28" s="20">
        <v>6000</v>
      </c>
      <c r="AP28" s="20">
        <v>4000</v>
      </c>
      <c r="AQ28" s="20">
        <v>4000</v>
      </c>
      <c r="AR28" s="12">
        <v>4000</v>
      </c>
      <c r="AS28" s="12">
        <v>5000</v>
      </c>
      <c r="AT28" s="12">
        <v>5000</v>
      </c>
      <c r="AU28" s="12">
        <v>5000</v>
      </c>
      <c r="AV28" s="20">
        <v>6000</v>
      </c>
      <c r="AW28" s="12">
        <v>6000</v>
      </c>
      <c r="AX28" s="20">
        <v>6000</v>
      </c>
      <c r="AY28" s="12">
        <v>5000</v>
      </c>
      <c r="AZ28" s="12">
        <v>5000</v>
      </c>
      <c r="BA28" s="20">
        <v>5000</v>
      </c>
      <c r="BB28" s="20"/>
    </row>
    <row r="29" spans="1:54" x14ac:dyDescent="0.4">
      <c r="A29" s="44"/>
      <c r="B29" s="10" t="s">
        <v>42</v>
      </c>
      <c r="C29" s="10">
        <v>365</v>
      </c>
      <c r="D29" s="10">
        <v>320</v>
      </c>
      <c r="E29" s="10">
        <v>440</v>
      </c>
      <c r="F29" s="10">
        <v>576</v>
      </c>
      <c r="G29" s="10">
        <v>350</v>
      </c>
      <c r="H29" s="10">
        <v>310</v>
      </c>
      <c r="I29" s="10"/>
      <c r="J29" s="10">
        <v>274</v>
      </c>
      <c r="K29" s="10">
        <v>269</v>
      </c>
      <c r="L29" s="10">
        <v>277</v>
      </c>
      <c r="M29" s="10">
        <v>284</v>
      </c>
      <c r="N29" s="10">
        <v>273</v>
      </c>
      <c r="O29" s="10">
        <v>280</v>
      </c>
      <c r="P29" s="10">
        <v>576</v>
      </c>
      <c r="Q29" s="10">
        <v>273</v>
      </c>
      <c r="R29" s="10">
        <v>279</v>
      </c>
      <c r="S29" s="10">
        <v>270</v>
      </c>
      <c r="T29" s="10">
        <v>266</v>
      </c>
      <c r="U29" s="10">
        <v>263</v>
      </c>
      <c r="V29" s="10">
        <v>270</v>
      </c>
      <c r="W29" s="10">
        <v>325</v>
      </c>
      <c r="X29" s="10">
        <v>265</v>
      </c>
      <c r="Y29" s="10">
        <v>262</v>
      </c>
      <c r="Z29" s="10">
        <v>270</v>
      </c>
      <c r="AA29" s="10">
        <v>265</v>
      </c>
      <c r="AB29" s="10">
        <v>268</v>
      </c>
      <c r="AC29" s="10">
        <v>273</v>
      </c>
      <c r="AD29" s="10">
        <v>450</v>
      </c>
      <c r="AE29" s="10">
        <v>308</v>
      </c>
      <c r="AF29" s="10">
        <v>273</v>
      </c>
      <c r="AG29" s="10">
        <v>265</v>
      </c>
      <c r="AH29" s="10">
        <v>263</v>
      </c>
      <c r="AI29" s="10">
        <v>260</v>
      </c>
      <c r="AJ29" s="10">
        <v>266</v>
      </c>
      <c r="AK29" s="10">
        <v>269</v>
      </c>
      <c r="AL29" s="10">
        <v>274</v>
      </c>
      <c r="AM29" s="10">
        <v>280</v>
      </c>
      <c r="AN29" s="10">
        <v>308</v>
      </c>
      <c r="AO29" s="10"/>
      <c r="AP29" s="10">
        <v>261</v>
      </c>
      <c r="AQ29" s="10">
        <v>264</v>
      </c>
      <c r="AR29" s="10">
        <v>268</v>
      </c>
      <c r="AS29" s="10">
        <v>266</v>
      </c>
      <c r="AT29" s="10">
        <v>270</v>
      </c>
      <c r="AU29" s="10">
        <v>280</v>
      </c>
      <c r="AV29" s="10">
        <v>270</v>
      </c>
      <c r="AW29" s="10">
        <v>276</v>
      </c>
      <c r="AX29" s="10">
        <v>287</v>
      </c>
      <c r="AY29" s="10">
        <v>400</v>
      </c>
      <c r="AZ29" s="10">
        <v>263</v>
      </c>
      <c r="BA29" s="10"/>
      <c r="BB29" s="10"/>
    </row>
    <row r="30" spans="1:54" ht="16.149999999999999" x14ac:dyDescent="0.4">
      <c r="A30" s="44"/>
      <c r="B30" s="10" t="s">
        <v>43</v>
      </c>
      <c r="C30" s="10">
        <v>68.599999999999994</v>
      </c>
      <c r="D30" s="10">
        <v>83</v>
      </c>
      <c r="E30" s="10">
        <v>101.2</v>
      </c>
      <c r="F30" s="10">
        <v>119.6</v>
      </c>
      <c r="G30" s="10">
        <v>127</v>
      </c>
      <c r="H30" s="10">
        <v>124.5</v>
      </c>
      <c r="I30" s="10"/>
      <c r="J30" s="10">
        <v>95.2</v>
      </c>
      <c r="K30" s="10">
        <v>92.8</v>
      </c>
      <c r="L30" s="10">
        <v>109.6</v>
      </c>
      <c r="M30" s="10">
        <v>113.2</v>
      </c>
      <c r="N30" s="10">
        <v>107.3</v>
      </c>
      <c r="O30" s="10">
        <v>93.2</v>
      </c>
      <c r="P30" s="10">
        <v>128.4</v>
      </c>
      <c r="Q30" s="10">
        <v>112</v>
      </c>
      <c r="R30" s="10">
        <v>114.1</v>
      </c>
      <c r="S30" s="10">
        <v>111.2</v>
      </c>
      <c r="T30" s="10">
        <v>98.6</v>
      </c>
      <c r="U30" s="10">
        <v>98.1</v>
      </c>
      <c r="V30" s="10">
        <v>100.1</v>
      </c>
      <c r="W30" s="10">
        <v>126.8</v>
      </c>
      <c r="X30" s="10">
        <v>98.2</v>
      </c>
      <c r="Y30" s="10">
        <v>96.7</v>
      </c>
      <c r="Z30" s="10">
        <v>100</v>
      </c>
      <c r="AA30" s="10">
        <v>107.7</v>
      </c>
      <c r="AB30" s="10">
        <v>109.2</v>
      </c>
      <c r="AC30" s="10">
        <v>111.2</v>
      </c>
      <c r="AD30" s="10">
        <v>122.2</v>
      </c>
      <c r="AE30" s="10">
        <v>125.4</v>
      </c>
      <c r="AF30" s="10">
        <v>100.5</v>
      </c>
      <c r="AG30" s="10">
        <v>97.1</v>
      </c>
      <c r="AH30" s="10">
        <v>98.8</v>
      </c>
      <c r="AI30" s="10">
        <v>96</v>
      </c>
      <c r="AJ30" s="10">
        <v>109.2</v>
      </c>
      <c r="AK30" s="10">
        <v>111.1</v>
      </c>
      <c r="AL30" s="10">
        <v>113.4</v>
      </c>
      <c r="AM30" s="10">
        <v>115.6</v>
      </c>
      <c r="AN30" s="10">
        <v>126.9</v>
      </c>
      <c r="AO30" s="10">
        <v>129</v>
      </c>
      <c r="AP30" s="10">
        <v>96.6</v>
      </c>
      <c r="AQ30" s="10">
        <v>99.1</v>
      </c>
      <c r="AR30" s="10">
        <v>102.5</v>
      </c>
      <c r="AS30" s="10">
        <v>111.8</v>
      </c>
      <c r="AT30" s="10">
        <v>116.7</v>
      </c>
      <c r="AU30" s="10">
        <v>128.30000000000001</v>
      </c>
      <c r="AV30" s="10">
        <v>125.1</v>
      </c>
      <c r="AW30" s="10">
        <v>134.5</v>
      </c>
      <c r="AX30" s="10">
        <v>145.19999999999999</v>
      </c>
      <c r="AY30" s="10">
        <v>143.30000000000001</v>
      </c>
      <c r="AZ30" s="10">
        <v>107.9</v>
      </c>
      <c r="BA30" s="10"/>
      <c r="BB30" s="10"/>
    </row>
    <row r="31" spans="1:54" ht="16.149999999999999" x14ac:dyDescent="0.4">
      <c r="A31" s="44"/>
      <c r="B31" s="10" t="s">
        <v>44</v>
      </c>
      <c r="C31" s="10">
        <v>484.226</v>
      </c>
      <c r="D31" s="10">
        <v>478.71499999999997</v>
      </c>
      <c r="E31" s="10">
        <v>479.09500000000003</v>
      </c>
      <c r="F31" s="10">
        <v>479.09300000000002</v>
      </c>
      <c r="G31" s="10">
        <v>477.81700000000001</v>
      </c>
      <c r="H31" s="10">
        <v>477.642</v>
      </c>
      <c r="I31" s="10"/>
      <c r="J31" s="10">
        <v>479.64499999999998</v>
      </c>
      <c r="K31" s="10">
        <v>478.73</v>
      </c>
      <c r="L31" s="10">
        <v>477.13499999999999</v>
      </c>
      <c r="M31" s="10">
        <v>477.51799999999997</v>
      </c>
      <c r="N31" s="10">
        <v>477.90499999999997</v>
      </c>
      <c r="O31" s="10">
        <v>478.63200000000001</v>
      </c>
      <c r="P31" s="10">
        <v>478.50599999999997</v>
      </c>
      <c r="Q31" s="10">
        <v>478.01499999999999</v>
      </c>
      <c r="R31" s="10">
        <v>479.70400000000001</v>
      </c>
      <c r="S31" s="10">
        <v>477.25599999999997</v>
      </c>
      <c r="T31" s="10">
        <v>478.06200000000001</v>
      </c>
      <c r="U31" s="10">
        <v>478.577</v>
      </c>
      <c r="V31" s="10">
        <v>477.54</v>
      </c>
      <c r="W31" s="10">
        <v>477.52800000000002</v>
      </c>
      <c r="X31" s="10">
        <v>478.41</v>
      </c>
      <c r="Y31" s="10">
        <v>477.47899999999998</v>
      </c>
      <c r="Z31" s="10">
        <v>479.95</v>
      </c>
      <c r="AA31" s="10">
        <v>477.96499999999997</v>
      </c>
      <c r="AB31" s="10">
        <v>477.23200000000003</v>
      </c>
      <c r="AC31" s="10">
        <v>478.94499999999999</v>
      </c>
      <c r="AD31" s="10">
        <v>479.04</v>
      </c>
      <c r="AE31" s="10">
        <v>479.351</v>
      </c>
      <c r="AF31" s="10">
        <v>478.54</v>
      </c>
      <c r="AG31" s="10">
        <v>479.09</v>
      </c>
      <c r="AH31" s="10">
        <v>478.863</v>
      </c>
      <c r="AI31" s="10">
        <v>479.55700000000002</v>
      </c>
      <c r="AJ31" s="10">
        <v>477.27600000000001</v>
      </c>
      <c r="AK31" s="10">
        <v>479.01799999999997</v>
      </c>
      <c r="AL31" s="10">
        <v>478.38299999999998</v>
      </c>
      <c r="AM31" s="10">
        <v>478.83600000000001</v>
      </c>
      <c r="AN31" s="10">
        <v>477.99299999999999</v>
      </c>
      <c r="AO31" s="10">
        <v>476.59300000000002</v>
      </c>
      <c r="AP31" s="10">
        <v>478.983</v>
      </c>
      <c r="AQ31" s="10">
        <v>478.149</v>
      </c>
      <c r="AR31" s="10">
        <v>478.44099999999997</v>
      </c>
      <c r="AS31" s="10">
        <v>477.14699999999999</v>
      </c>
      <c r="AT31" s="10">
        <v>478.03500000000003</v>
      </c>
      <c r="AU31" s="10">
        <v>480.07</v>
      </c>
      <c r="AV31" s="10">
        <v>475.56099999999998</v>
      </c>
      <c r="AW31" s="10">
        <v>477.38600000000002</v>
      </c>
      <c r="AX31" s="10">
        <v>479.16899999999998</v>
      </c>
      <c r="AY31" s="10">
        <v>478.97800000000001</v>
      </c>
      <c r="AZ31" s="10">
        <v>475.774</v>
      </c>
      <c r="BA31" s="10"/>
      <c r="BB31" s="10"/>
    </row>
    <row r="32" spans="1:54" x14ac:dyDescent="0.4">
      <c r="A32" s="44"/>
      <c r="B32" s="10" t="s">
        <v>45</v>
      </c>
      <c r="C32" s="10">
        <v>4474.7</v>
      </c>
      <c r="D32" s="10">
        <v>4497.87</v>
      </c>
      <c r="E32" s="10">
        <v>4507</v>
      </c>
      <c r="F32" s="10">
        <v>4510.97</v>
      </c>
      <c r="G32" s="10">
        <v>4512.87</v>
      </c>
      <c r="H32" s="10">
        <v>4512.93</v>
      </c>
      <c r="I32" s="10"/>
      <c r="J32" s="10">
        <v>4502.71</v>
      </c>
      <c r="K32" s="10">
        <v>4499.24</v>
      </c>
      <c r="L32" s="10">
        <v>4514.51</v>
      </c>
      <c r="M32" s="10">
        <v>4516.18</v>
      </c>
      <c r="N32" s="10">
        <v>4521.88</v>
      </c>
      <c r="O32" s="10">
        <v>4509.1099999999997</v>
      </c>
      <c r="P32" s="10">
        <v>4511.8999999999996</v>
      </c>
      <c r="Q32" s="10">
        <v>4502.8999999999996</v>
      </c>
      <c r="R32" s="10">
        <v>4496.59</v>
      </c>
      <c r="S32" s="10">
        <v>4503.45</v>
      </c>
      <c r="T32" s="10">
        <v>4509.82</v>
      </c>
      <c r="U32" s="10">
        <v>4505.0200000000004</v>
      </c>
      <c r="V32" s="10">
        <v>4498.6000000000004</v>
      </c>
      <c r="W32" s="10">
        <v>4509.3900000000003</v>
      </c>
      <c r="X32" s="10">
        <v>4520.26</v>
      </c>
      <c r="Y32" s="10">
        <v>4508.33</v>
      </c>
      <c r="Z32" s="10">
        <v>4507.25</v>
      </c>
      <c r="AA32" s="10">
        <v>4505.83</v>
      </c>
      <c r="AB32" s="10">
        <v>4503.66</v>
      </c>
      <c r="AC32" s="10">
        <v>4514.8100000000004</v>
      </c>
      <c r="AD32" s="10">
        <v>4496.6899999999996</v>
      </c>
      <c r="AE32" s="10">
        <v>4505.42</v>
      </c>
      <c r="AF32" s="10">
        <v>4492.74</v>
      </c>
      <c r="AG32" s="10">
        <v>4492.17</v>
      </c>
      <c r="AH32" s="10">
        <v>4496.03</v>
      </c>
      <c r="AI32" s="10">
        <v>4501.8100000000004</v>
      </c>
      <c r="AJ32" s="10">
        <v>4494.16</v>
      </c>
      <c r="AK32" s="10">
        <v>4511.6499999999996</v>
      </c>
      <c r="AL32" s="10">
        <v>4510.24</v>
      </c>
      <c r="AM32" s="10">
        <v>4511.33</v>
      </c>
      <c r="AN32" s="10">
        <v>4508.55</v>
      </c>
      <c r="AO32" s="10">
        <v>4506.57</v>
      </c>
      <c r="AP32" s="10">
        <v>4498.55</v>
      </c>
      <c r="AQ32" s="10">
        <v>4507.63</v>
      </c>
      <c r="AR32" s="10">
        <v>4495.4799999999996</v>
      </c>
      <c r="AS32" s="10">
        <v>4504.3900000000003</v>
      </c>
      <c r="AT32" s="10">
        <v>4507.9399999999996</v>
      </c>
      <c r="AU32" s="10">
        <v>4501.2</v>
      </c>
      <c r="AV32" s="10">
        <v>4504.95</v>
      </c>
      <c r="AW32" s="10">
        <v>4498.03</v>
      </c>
      <c r="AX32" s="10">
        <v>4499.34</v>
      </c>
      <c r="AY32" s="10">
        <v>4494.3500000000004</v>
      </c>
      <c r="AZ32" s="10">
        <v>4496.72</v>
      </c>
      <c r="BA32" s="10"/>
      <c r="BB32" s="10"/>
    </row>
    <row r="33" spans="1:54" x14ac:dyDescent="0.4">
      <c r="A33" s="44"/>
      <c r="B33" s="10" t="s">
        <v>46</v>
      </c>
      <c r="C33" s="10">
        <v>1734.53</v>
      </c>
      <c r="D33" s="10">
        <v>3007.16</v>
      </c>
      <c r="E33" s="10">
        <v>3555.44</v>
      </c>
      <c r="F33" s="10">
        <v>4003.4</v>
      </c>
      <c r="G33" s="10">
        <v>4598.3599999999997</v>
      </c>
      <c r="H33" s="10">
        <v>4681.75</v>
      </c>
      <c r="I33" s="10"/>
      <c r="J33" s="10">
        <v>3943.5</v>
      </c>
      <c r="K33" s="10">
        <v>3999.96</v>
      </c>
      <c r="L33" s="10">
        <v>4482.12</v>
      </c>
      <c r="M33" s="10">
        <v>4362.53</v>
      </c>
      <c r="N33" s="10">
        <v>4537.34</v>
      </c>
      <c r="O33" s="10">
        <v>3993.59</v>
      </c>
      <c r="P33" s="10">
        <v>3781.65</v>
      </c>
      <c r="Q33" s="10">
        <v>4470.9399999999996</v>
      </c>
      <c r="R33" s="10">
        <v>4380.79</v>
      </c>
      <c r="S33" s="10">
        <v>4521.17</v>
      </c>
      <c r="T33" s="10">
        <v>4030.83</v>
      </c>
      <c r="U33" s="10">
        <v>4084.85</v>
      </c>
      <c r="V33" s="10">
        <v>3929.5</v>
      </c>
      <c r="W33" s="10">
        <v>4680.43</v>
      </c>
      <c r="X33" s="10">
        <v>3995.45</v>
      </c>
      <c r="Y33" s="10">
        <v>4034.74</v>
      </c>
      <c r="Z33" s="10">
        <v>3922.08</v>
      </c>
      <c r="AA33" s="10">
        <v>4571.91</v>
      </c>
      <c r="AB33" s="10">
        <v>4533.51</v>
      </c>
      <c r="AC33" s="10">
        <v>4445.21</v>
      </c>
      <c r="AD33" s="10">
        <v>3965.24</v>
      </c>
      <c r="AE33" s="10">
        <v>4646.3100000000004</v>
      </c>
      <c r="AF33" s="10">
        <v>3784.55</v>
      </c>
      <c r="AG33" s="10">
        <v>3920.46</v>
      </c>
      <c r="AH33" s="10">
        <v>4004.95</v>
      </c>
      <c r="AI33" s="10">
        <v>4034.13</v>
      </c>
      <c r="AJ33" s="10">
        <v>4523.3</v>
      </c>
      <c r="AK33" s="10">
        <v>4490.54</v>
      </c>
      <c r="AL33" s="10">
        <v>4388.3599999999997</v>
      </c>
      <c r="AM33" s="10">
        <v>4297.22</v>
      </c>
      <c r="AN33" s="10">
        <v>4626.3900000000003</v>
      </c>
      <c r="AO33" s="10">
        <v>4551.49</v>
      </c>
      <c r="AP33" s="10">
        <v>3909.42</v>
      </c>
      <c r="AQ33" s="10">
        <v>3895.15</v>
      </c>
      <c r="AR33" s="10">
        <v>3809.51</v>
      </c>
      <c r="AS33" s="10">
        <v>4375.3999999999996</v>
      </c>
      <c r="AT33" s="10">
        <v>4366.04</v>
      </c>
      <c r="AU33" s="10">
        <v>4177.9399999999996</v>
      </c>
      <c r="AV33" s="10">
        <v>4772.76</v>
      </c>
      <c r="AW33" s="10">
        <v>4696.42</v>
      </c>
      <c r="AX33" s="10">
        <v>4461.62</v>
      </c>
      <c r="AY33" s="10">
        <v>3690.32</v>
      </c>
      <c r="AZ33" s="10">
        <v>4487.2</v>
      </c>
      <c r="BA33" s="10"/>
      <c r="BB33" s="10"/>
    </row>
    <row r="34" spans="1:54" x14ac:dyDescent="0.4">
      <c r="A34" s="44"/>
      <c r="B34" s="10" t="s">
        <v>47</v>
      </c>
      <c r="C34" s="10">
        <f>C25*C26</f>
        <v>1725</v>
      </c>
      <c r="D34" s="10">
        <f>D25*D26</f>
        <v>1863.0000000000002</v>
      </c>
      <c r="E34" s="10">
        <f>E25*E26</f>
        <v>2415</v>
      </c>
      <c r="F34" s="10">
        <f>F25*F26</f>
        <v>3001.4999999999995</v>
      </c>
      <c r="G34" s="10">
        <f>G25*G26</f>
        <v>3173.9999999999995</v>
      </c>
      <c r="H34" s="10">
        <f>H25*H26</f>
        <v>3191.25</v>
      </c>
      <c r="I34" s="10"/>
      <c r="J34" s="10">
        <f>J25*J26</f>
        <v>2018.2499999999998</v>
      </c>
      <c r="K34" s="10">
        <f>K25*K26</f>
        <v>2070</v>
      </c>
      <c r="L34" s="10">
        <f>L25*L26</f>
        <v>2622</v>
      </c>
      <c r="M34" s="10">
        <f>M25*M26</f>
        <v>2587.5</v>
      </c>
      <c r="N34" s="10">
        <f>N25*N26</f>
        <v>2673.75</v>
      </c>
      <c r="O34" s="10">
        <f>O25*O26</f>
        <v>2035.5000000000002</v>
      </c>
      <c r="P34" s="10">
        <f>P25*P26</f>
        <v>2397.75</v>
      </c>
      <c r="Q34" s="10">
        <f>Q25*Q26</f>
        <v>2622</v>
      </c>
      <c r="R34" s="10">
        <f>R25*R26</f>
        <v>2587.5</v>
      </c>
      <c r="S34" s="10">
        <f>S25*S26</f>
        <v>2656.5</v>
      </c>
      <c r="T34" s="10">
        <f>T25*T26</f>
        <v>2035.5000000000002</v>
      </c>
      <c r="U34" s="10">
        <f>U25*U26</f>
        <v>2087.25</v>
      </c>
      <c r="V34" s="10">
        <f>V25*V26</f>
        <v>2001</v>
      </c>
      <c r="W34" s="10">
        <f>W25*W26</f>
        <v>3173.9999999999995</v>
      </c>
      <c r="X34" s="10">
        <f>X25*X26</f>
        <v>2035.5000000000002</v>
      </c>
      <c r="Y34" s="10">
        <f>Y25*Y26</f>
        <v>2087.25</v>
      </c>
      <c r="Z34" s="10">
        <f>Z25*Z26</f>
        <v>2001</v>
      </c>
      <c r="AA34" s="10">
        <f>AA25*AA26</f>
        <v>2725.5</v>
      </c>
      <c r="AB34" s="10">
        <f>AB25*AB26</f>
        <v>2691</v>
      </c>
      <c r="AC34" s="10">
        <f>AC25*AC26</f>
        <v>2622</v>
      </c>
      <c r="AD34" s="10">
        <f>AD25*AD26</f>
        <v>2449.5</v>
      </c>
      <c r="AE34" s="10">
        <f>AE25*AE26</f>
        <v>3173.9999999999995</v>
      </c>
      <c r="AF34" s="10">
        <f>AF25*AF26</f>
        <v>1966.5</v>
      </c>
      <c r="AG34" s="10">
        <f>AG25*AG26</f>
        <v>2035.5000000000002</v>
      </c>
      <c r="AH34" s="10">
        <f>AH25*AH26</f>
        <v>2070</v>
      </c>
      <c r="AI34" s="10">
        <f>AI25*AI26</f>
        <v>2139</v>
      </c>
      <c r="AJ34" s="10">
        <f>AJ25*AJ26</f>
        <v>2725.5</v>
      </c>
      <c r="AK34" s="10">
        <f>AK25*AK26</f>
        <v>2656.5</v>
      </c>
      <c r="AL34" s="10">
        <f>AL25*AL26</f>
        <v>2587.5</v>
      </c>
      <c r="AM34" s="10">
        <f>AM25*AM26</f>
        <v>2553</v>
      </c>
      <c r="AN34" s="10">
        <f>AN25*AN26</f>
        <v>3173.9999999999995</v>
      </c>
      <c r="AO34" s="10">
        <f>AO25*AO26</f>
        <v>3139.5</v>
      </c>
      <c r="AP34" s="10">
        <f>AP25*AP26</f>
        <v>2104.5</v>
      </c>
      <c r="AQ34" s="10">
        <f>AQ25*AQ26</f>
        <v>2035.5000000000002</v>
      </c>
      <c r="AR34" s="10">
        <f>AR25*AR26</f>
        <v>1966.5</v>
      </c>
      <c r="AS34" s="10">
        <f>AS25*AS26</f>
        <v>2691</v>
      </c>
      <c r="AT34" s="10">
        <f>AT25*AT26</f>
        <v>2622</v>
      </c>
      <c r="AU34" s="10">
        <f>AU25*AU26</f>
        <v>2518.5</v>
      </c>
      <c r="AV34" s="10">
        <f>AV25*AV26</f>
        <v>3277.5</v>
      </c>
      <c r="AW34" s="10">
        <f>AW25*AW26</f>
        <v>3208.5000000000005</v>
      </c>
      <c r="AX34" s="10">
        <f>AX25*AX26</f>
        <v>3139.5</v>
      </c>
      <c r="AY34" s="10">
        <f>AY25*AY26</f>
        <v>2449.5</v>
      </c>
      <c r="AZ34" s="10">
        <f>AZ25*AZ26</f>
        <v>2760</v>
      </c>
      <c r="BA34" s="10">
        <f>BA25*BA26</f>
        <v>0</v>
      </c>
      <c r="BB34" s="10">
        <f>BB25*BB26</f>
        <v>0</v>
      </c>
    </row>
    <row r="35" spans="1:54" x14ac:dyDescent="0.4">
      <c r="A35" s="44"/>
      <c r="B35" s="12" t="s">
        <v>48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2"/>
      <c r="AD35" s="10"/>
      <c r="AE35" s="12"/>
      <c r="AF35" s="10"/>
      <c r="AG35" s="10"/>
      <c r="AH35" s="12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</row>
    <row r="36" spans="1:54" x14ac:dyDescent="0.4">
      <c r="A36" s="44"/>
      <c r="B36" s="10" t="s">
        <v>49</v>
      </c>
      <c r="C36" s="10">
        <f>C33/C34</f>
        <v>1.0055246376811593</v>
      </c>
      <c r="D36" s="10">
        <f>D33/D34</f>
        <v>1.6141492216854534</v>
      </c>
      <c r="E36" s="10">
        <f>E33/E34</f>
        <v>1.4722318840579711</v>
      </c>
      <c r="F36" s="10">
        <f>F33/F34</f>
        <v>1.3337997667832753</v>
      </c>
      <c r="G36" s="10">
        <f>G33/G34</f>
        <v>1.4487586641461878</v>
      </c>
      <c r="H36" s="10">
        <f>H33/H34</f>
        <v>1.4670583627105367</v>
      </c>
      <c r="I36" s="10"/>
      <c r="J36" s="10">
        <f>J33/J34</f>
        <v>1.9539204756596062</v>
      </c>
      <c r="K36" s="10">
        <f>K33/K34</f>
        <v>1.9323478260869564</v>
      </c>
      <c r="L36" s="10">
        <f>L33/L34</f>
        <v>1.7094279176201372</v>
      </c>
      <c r="M36" s="10">
        <f>M33/M34</f>
        <v>1.6860019323671496</v>
      </c>
      <c r="N36" s="10">
        <f>N33/N34</f>
        <v>1.6969948574100047</v>
      </c>
      <c r="O36" s="10">
        <f>O33/O34</f>
        <v>1.9619700319331859</v>
      </c>
      <c r="P36" s="10">
        <f>P33/P34</f>
        <v>1.5771660932123865</v>
      </c>
      <c r="Q36" s="10">
        <f>Q33/Q34</f>
        <v>1.7051639969488939</v>
      </c>
      <c r="R36" s="10">
        <f>R33/R34</f>
        <v>1.6930589371980675</v>
      </c>
      <c r="S36" s="10">
        <f>S33/S34</f>
        <v>1.7019273480143045</v>
      </c>
      <c r="T36" s="10">
        <f>T33/T34</f>
        <v>1.9802652910832717</v>
      </c>
      <c r="U36" s="10">
        <f>U33/U34</f>
        <v>1.9570487483530961</v>
      </c>
      <c r="V36" s="10">
        <f>V33/V34</f>
        <v>1.963768115942029</v>
      </c>
      <c r="W36" s="10">
        <f>W33/W34</f>
        <v>1.4746156269691244</v>
      </c>
      <c r="X36" s="10">
        <f>X33/X34</f>
        <v>1.9628838123311223</v>
      </c>
      <c r="Y36" s="10">
        <f>Y33/Y34</f>
        <v>1.9330410827644029</v>
      </c>
      <c r="Z36" s="10">
        <f>Z33/Z34</f>
        <v>1.9600599700149925</v>
      </c>
      <c r="AA36" s="10">
        <f>AA33/AA34</f>
        <v>1.6774573472757293</v>
      </c>
      <c r="AB36" s="10">
        <f>AB33/AB34</f>
        <v>1.6846934225195096</v>
      </c>
      <c r="AC36" s="10">
        <f>AC33/AC34</f>
        <v>1.6953508771929824</v>
      </c>
      <c r="AD36" s="10">
        <f>AD33/AD34</f>
        <v>1.618795672586242</v>
      </c>
      <c r="AE36" s="10">
        <f>AE33/AE34</f>
        <v>1.4638657844990552</v>
      </c>
      <c r="AF36" s="12">
        <f>AF33/AF34</f>
        <v>1.9245105517416732</v>
      </c>
      <c r="AG36" s="10">
        <f>AG33/AG34</f>
        <v>1.9260427413411936</v>
      </c>
      <c r="AH36" s="10">
        <f>AH33/AH34</f>
        <v>1.9347584541062801</v>
      </c>
      <c r="AI36" s="10">
        <f>AI33/AI34</f>
        <v>1.8859887798036465</v>
      </c>
      <c r="AJ36" s="10">
        <f>AJ33/AJ34</f>
        <v>1.659622087690332</v>
      </c>
      <c r="AK36" s="10">
        <f>AK33/AK34</f>
        <v>1.6903971390927912</v>
      </c>
      <c r="AL36" s="10">
        <f>AL33/AL34</f>
        <v>1.6959845410628018</v>
      </c>
      <c r="AM36" s="10">
        <f>AM33/AM34</f>
        <v>1.6832040736388563</v>
      </c>
      <c r="AN36" s="10">
        <f>AN33/AN34</f>
        <v>1.4575897920604919</v>
      </c>
      <c r="AO36" s="10">
        <f>AO33/AO34</f>
        <v>1.4497499601847428</v>
      </c>
      <c r="AP36" s="10">
        <f>AP33/AP34</f>
        <v>1.8576478973627941</v>
      </c>
      <c r="AQ36" s="10">
        <f>AQ33/AQ34</f>
        <v>1.9136084500122819</v>
      </c>
      <c r="AR36" s="10">
        <f>AR33/AR34</f>
        <v>1.9372031528095603</v>
      </c>
      <c r="AS36" s="30">
        <f>AS33/AS34</f>
        <v>1.6259383128948346</v>
      </c>
      <c r="AT36" s="10">
        <f>AT33/AT34</f>
        <v>1.6651563691838291</v>
      </c>
      <c r="AU36" s="30">
        <f>AU33/AU34</f>
        <v>1.6589001389716098</v>
      </c>
      <c r="AV36" s="10">
        <f>AV33/AV34</f>
        <v>1.4562196796338673</v>
      </c>
      <c r="AW36" s="10">
        <f>AW33/AW34</f>
        <v>1.4637431821723546</v>
      </c>
      <c r="AX36" s="10">
        <f>AX33/AX34</f>
        <v>1.4211243828635132</v>
      </c>
      <c r="AY36" s="10">
        <f>AY33/AY34</f>
        <v>1.5065605225556236</v>
      </c>
      <c r="AZ36" s="10">
        <f>AZ33/AZ34</f>
        <v>1.6257971014492754</v>
      </c>
      <c r="BA36" s="10" t="e">
        <f>BA33/BA34</f>
        <v>#DIV/0!</v>
      </c>
      <c r="BB36" s="10" t="e">
        <f>BB33/BB34</f>
        <v>#DIV/0!</v>
      </c>
    </row>
    <row r="37" spans="1:54" x14ac:dyDescent="0.4">
      <c r="A37" s="44"/>
      <c r="B37" s="10" t="s">
        <v>32</v>
      </c>
      <c r="C37" s="10">
        <v>17.64</v>
      </c>
      <c r="D37" s="10">
        <v>13.83</v>
      </c>
      <c r="E37" s="10">
        <v>12.12</v>
      </c>
      <c r="F37" s="10">
        <v>10.81</v>
      </c>
      <c r="G37" s="10">
        <v>9.26</v>
      </c>
      <c r="H37" s="10">
        <v>9</v>
      </c>
      <c r="I37" s="10"/>
      <c r="J37" s="10">
        <v>10.87</v>
      </c>
      <c r="K37" s="10">
        <v>10.79</v>
      </c>
      <c r="L37" s="10">
        <v>9.41</v>
      </c>
      <c r="M37" s="10">
        <v>9.73</v>
      </c>
      <c r="N37" s="10">
        <v>9.23</v>
      </c>
      <c r="O37" s="10">
        <v>10.71</v>
      </c>
      <c r="P37" s="10">
        <v>11.29</v>
      </c>
      <c r="Q37" s="10">
        <v>9.57</v>
      </c>
      <c r="R37" s="10">
        <v>9.85</v>
      </c>
      <c r="S37" s="10">
        <v>9.4</v>
      </c>
      <c r="T37" s="10">
        <v>10.81</v>
      </c>
      <c r="U37" s="10">
        <v>10.69</v>
      </c>
      <c r="V37" s="10">
        <v>11.03</v>
      </c>
      <c r="W37" s="10">
        <v>8.98</v>
      </c>
      <c r="X37" s="10">
        <v>11.04</v>
      </c>
      <c r="Y37" s="10">
        <v>10.93</v>
      </c>
      <c r="Z37" s="10">
        <v>11.27</v>
      </c>
      <c r="AA37" s="10">
        <v>9.44</v>
      </c>
      <c r="AB37" s="10">
        <v>9.49</v>
      </c>
      <c r="AC37" s="10">
        <v>9.76</v>
      </c>
      <c r="AD37" s="10">
        <v>11.05</v>
      </c>
      <c r="AE37" s="10">
        <v>9.23</v>
      </c>
      <c r="AF37" s="10">
        <v>11.66</v>
      </c>
      <c r="AG37" s="10">
        <v>11.33</v>
      </c>
      <c r="AH37" s="10">
        <v>10.74</v>
      </c>
      <c r="AI37" s="10">
        <v>10.65</v>
      </c>
      <c r="AJ37" s="10">
        <v>9.18</v>
      </c>
      <c r="AK37" s="10">
        <v>9.32</v>
      </c>
      <c r="AL37" s="10">
        <v>9.58</v>
      </c>
      <c r="AM37" s="10">
        <v>9.83</v>
      </c>
      <c r="AN37" s="10">
        <v>8.8699999999999992</v>
      </c>
      <c r="AO37" s="10">
        <v>9.07</v>
      </c>
      <c r="AP37" s="10">
        <v>10.7</v>
      </c>
      <c r="AQ37" s="10">
        <v>10.8</v>
      </c>
      <c r="AR37" s="10">
        <v>11.03</v>
      </c>
      <c r="AS37" s="10">
        <v>9.18</v>
      </c>
      <c r="AT37" s="10">
        <v>9.39</v>
      </c>
      <c r="AU37" s="10">
        <v>10.199999999999999</v>
      </c>
      <c r="AV37" s="10">
        <v>8.0399999999999991</v>
      </c>
      <c r="AW37" s="10">
        <v>8.57</v>
      </c>
      <c r="AX37" s="10">
        <v>9.35</v>
      </c>
      <c r="AY37" s="10">
        <v>11.43</v>
      </c>
      <c r="AZ37" s="10">
        <v>8.9</v>
      </c>
      <c r="BA37" s="10"/>
      <c r="BB37" s="10"/>
    </row>
    <row r="38" spans="1:54" x14ac:dyDescent="0.4">
      <c r="A38" s="44"/>
      <c r="B38" s="10" t="s">
        <v>50</v>
      </c>
      <c r="C38" s="10">
        <v>15.91</v>
      </c>
      <c r="D38" s="10">
        <v>13.08</v>
      </c>
      <c r="E38" s="10">
        <v>11.62</v>
      </c>
      <c r="F38" s="10">
        <v>10.47</v>
      </c>
      <c r="G38" s="10">
        <v>8.8800000000000008</v>
      </c>
      <c r="H38" s="10">
        <v>8.65</v>
      </c>
      <c r="I38" s="10"/>
      <c r="J38" s="10">
        <v>10.65</v>
      </c>
      <c r="K38" s="10">
        <v>10.5</v>
      </c>
      <c r="L38" s="10">
        <v>9.19</v>
      </c>
      <c r="M38" s="10">
        <v>9.51</v>
      </c>
      <c r="N38" s="10">
        <v>9.0500000000000007</v>
      </c>
      <c r="O38" s="10">
        <v>10.52</v>
      </c>
      <c r="P38" s="10">
        <v>11.06</v>
      </c>
      <c r="Q38" s="10">
        <v>9.24</v>
      </c>
      <c r="R38" s="10">
        <v>9.52</v>
      </c>
      <c r="S38" s="10">
        <v>9.08</v>
      </c>
      <c r="T38" s="10">
        <v>10.41</v>
      </c>
      <c r="U38" s="10">
        <v>10.29</v>
      </c>
      <c r="V38" s="10">
        <v>10.65</v>
      </c>
      <c r="W38" s="10">
        <v>8.68</v>
      </c>
      <c r="X38" s="10">
        <v>10.53</v>
      </c>
      <c r="Y38" s="10">
        <v>10.38</v>
      </c>
      <c r="Z38" s="10">
        <v>10.75</v>
      </c>
      <c r="AA38" s="10">
        <v>8.99</v>
      </c>
      <c r="AB38" s="10">
        <v>9.0500000000000007</v>
      </c>
      <c r="AC38" s="10">
        <v>9.33</v>
      </c>
      <c r="AD38" s="10">
        <v>10.62</v>
      </c>
      <c r="AE38" s="10">
        <v>8.81</v>
      </c>
      <c r="AF38" s="10">
        <v>11.05</v>
      </c>
      <c r="AG38" s="10">
        <v>10.72</v>
      </c>
      <c r="AH38" s="10">
        <v>10.48</v>
      </c>
      <c r="AI38" s="10">
        <v>10.44</v>
      </c>
      <c r="AJ38" s="10">
        <v>9.09</v>
      </c>
      <c r="AK38" s="10">
        <v>9.1999999999999993</v>
      </c>
      <c r="AL38" s="10">
        <v>9.48</v>
      </c>
      <c r="AM38" s="10">
        <v>9.74</v>
      </c>
      <c r="AN38" s="10">
        <v>8.83</v>
      </c>
      <c r="AO38" s="10">
        <v>9</v>
      </c>
      <c r="AP38" s="10">
        <v>10.75</v>
      </c>
      <c r="AQ38" s="10">
        <v>10.78</v>
      </c>
      <c r="AR38" s="10">
        <v>10.98</v>
      </c>
      <c r="AS38" s="10">
        <v>9.51</v>
      </c>
      <c r="AT38" s="10">
        <v>9.56</v>
      </c>
      <c r="AU38" s="10">
        <v>10.1</v>
      </c>
      <c r="AV38" s="10">
        <v>8.41</v>
      </c>
      <c r="AW38" s="10">
        <v>8.67</v>
      </c>
      <c r="AX38" s="10">
        <v>9.33</v>
      </c>
      <c r="AY38" s="10">
        <v>11.32</v>
      </c>
      <c r="AZ38" s="10">
        <v>9.19</v>
      </c>
      <c r="BA38" s="10"/>
      <c r="BB38" s="10"/>
    </row>
    <row r="39" spans="1:54" x14ac:dyDescent="0.4">
      <c r="A39" s="44"/>
      <c r="B39" s="10" t="s">
        <v>51</v>
      </c>
      <c r="C39" s="10">
        <v>38.56</v>
      </c>
      <c r="D39" s="10">
        <v>39.64</v>
      </c>
      <c r="E39" s="10">
        <v>40.380000000000003</v>
      </c>
      <c r="F39" s="10">
        <v>41.13</v>
      </c>
      <c r="G39" s="10">
        <v>41.67</v>
      </c>
      <c r="H39" s="10">
        <v>41.8</v>
      </c>
      <c r="I39" s="10"/>
      <c r="J39" s="10">
        <v>40.42</v>
      </c>
      <c r="K39" s="10">
        <v>40.56</v>
      </c>
      <c r="L39" s="10">
        <v>41.29</v>
      </c>
      <c r="M39" s="10">
        <v>41.15</v>
      </c>
      <c r="N39" s="10">
        <v>41.35</v>
      </c>
      <c r="O39" s="10">
        <v>40.47</v>
      </c>
      <c r="P39" s="10">
        <v>40.61</v>
      </c>
      <c r="Q39" s="10">
        <v>41.25</v>
      </c>
      <c r="R39" s="10">
        <v>41.12</v>
      </c>
      <c r="S39" s="10">
        <v>41.28</v>
      </c>
      <c r="T39" s="10">
        <v>40.49</v>
      </c>
      <c r="U39" s="10">
        <v>40.520000000000003</v>
      </c>
      <c r="V39" s="10">
        <v>40.409999999999997</v>
      </c>
      <c r="W39" s="10">
        <v>41.74</v>
      </c>
      <c r="X39" s="10">
        <v>40.46</v>
      </c>
      <c r="Y39" s="10">
        <v>40.5</v>
      </c>
      <c r="Z39" s="10">
        <v>40.35</v>
      </c>
      <c r="AA39" s="10">
        <v>41.33</v>
      </c>
      <c r="AB39" s="10">
        <v>41.25</v>
      </c>
      <c r="AC39" s="10">
        <v>41.13</v>
      </c>
      <c r="AD39" s="10">
        <v>40.659999999999997</v>
      </c>
      <c r="AE39" s="10">
        <v>41.62</v>
      </c>
      <c r="AF39" s="10">
        <v>40.24</v>
      </c>
      <c r="AG39" s="10">
        <v>40.369999999999997</v>
      </c>
      <c r="AH39" s="10">
        <v>40.49</v>
      </c>
      <c r="AI39" s="10">
        <v>40.630000000000003</v>
      </c>
      <c r="AJ39" s="10">
        <v>41.39</v>
      </c>
      <c r="AK39" s="10">
        <v>41.3</v>
      </c>
      <c r="AL39" s="10">
        <v>41.1</v>
      </c>
      <c r="AM39" s="10">
        <v>41</v>
      </c>
      <c r="AN39" s="10">
        <v>41.78</v>
      </c>
      <c r="AO39" s="10">
        <v>41.52</v>
      </c>
      <c r="AP39" s="10">
        <v>39.53</v>
      </c>
      <c r="AQ39" s="10">
        <v>39.369999999999997</v>
      </c>
      <c r="AR39" s="10">
        <v>39.21</v>
      </c>
      <c r="AS39" s="10">
        <v>40.119999999999997</v>
      </c>
      <c r="AT39" s="10">
        <v>39.9</v>
      </c>
      <c r="AU39" s="10">
        <v>39.57</v>
      </c>
      <c r="AV39" s="10">
        <v>40.549999999999997</v>
      </c>
      <c r="AW39" s="10">
        <v>40.4</v>
      </c>
      <c r="AX39" s="10">
        <v>40.130000000000003</v>
      </c>
      <c r="AY39" s="10">
        <v>39.44</v>
      </c>
      <c r="AZ39" s="10">
        <v>40.03</v>
      </c>
      <c r="BA39" s="10"/>
      <c r="BB39" s="10"/>
    </row>
    <row r="40" spans="1:54" x14ac:dyDescent="0.4">
      <c r="A40" s="44"/>
      <c r="B40" s="10" t="s">
        <v>52</v>
      </c>
      <c r="C40" s="10">
        <v>28.87</v>
      </c>
      <c r="D40" s="10">
        <v>28.77</v>
      </c>
      <c r="E40" s="10">
        <v>29.06</v>
      </c>
      <c r="F40" s="10">
        <v>29.36</v>
      </c>
      <c r="G40" s="10">
        <v>29.5</v>
      </c>
      <c r="H40" s="10">
        <v>29.57</v>
      </c>
      <c r="I40" s="10"/>
      <c r="J40" s="10">
        <v>28.64</v>
      </c>
      <c r="K40" s="10">
        <v>29.13</v>
      </c>
      <c r="L40" s="10">
        <v>29.08</v>
      </c>
      <c r="M40" s="10">
        <v>28.96</v>
      </c>
      <c r="N40" s="10">
        <v>29</v>
      </c>
      <c r="O40" s="10">
        <v>28.71</v>
      </c>
      <c r="P40" s="10">
        <v>28.7</v>
      </c>
      <c r="Q40" s="10">
        <v>28.86</v>
      </c>
      <c r="R40" s="10">
        <v>28.76</v>
      </c>
      <c r="S40" s="10">
        <v>28.77</v>
      </c>
      <c r="T40" s="10">
        <v>31.26</v>
      </c>
      <c r="U40" s="10">
        <v>31.82</v>
      </c>
      <c r="V40" s="10">
        <v>30.8</v>
      </c>
      <c r="W40" s="10">
        <v>31.23</v>
      </c>
      <c r="X40" s="10">
        <v>30.06</v>
      </c>
      <c r="Y40" s="10">
        <v>29.94</v>
      </c>
      <c r="Z40" s="10">
        <v>29.81</v>
      </c>
      <c r="AA40" s="10">
        <v>30.13</v>
      </c>
      <c r="AB40" s="10">
        <v>29.68</v>
      </c>
      <c r="AC40" s="10">
        <v>29.57</v>
      </c>
      <c r="AD40" s="10">
        <v>29.77</v>
      </c>
      <c r="AE40" s="10">
        <v>29.7</v>
      </c>
      <c r="AF40" s="10">
        <v>29.22</v>
      </c>
      <c r="AG40" s="10">
        <v>29.04</v>
      </c>
      <c r="AH40" s="10">
        <v>30.35</v>
      </c>
      <c r="AI40" s="10">
        <v>29.95</v>
      </c>
      <c r="AJ40" s="10">
        <v>29.31</v>
      </c>
      <c r="AK40" s="10">
        <v>29.06</v>
      </c>
      <c r="AL40" s="10">
        <v>28.68</v>
      </c>
      <c r="AM40" s="10">
        <v>28.61</v>
      </c>
      <c r="AN40" s="10">
        <v>28.78</v>
      </c>
      <c r="AO40" s="10">
        <v>28.71</v>
      </c>
      <c r="AP40" s="10">
        <v>34.18</v>
      </c>
      <c r="AQ40" s="10">
        <v>34.119999999999997</v>
      </c>
      <c r="AR40" s="10">
        <v>33.81</v>
      </c>
      <c r="AS40" s="10">
        <v>33.549999999999997</v>
      </c>
      <c r="AT40" s="10">
        <v>33.43</v>
      </c>
      <c r="AU40" s="10">
        <v>33.22</v>
      </c>
      <c r="AV40" s="10">
        <v>33.4</v>
      </c>
      <c r="AW40" s="10">
        <v>33.21</v>
      </c>
      <c r="AX40" s="10">
        <v>32.92</v>
      </c>
      <c r="AY40" s="10">
        <v>32.79</v>
      </c>
      <c r="AZ40" s="10">
        <v>32.68</v>
      </c>
      <c r="BA40" s="10"/>
      <c r="BB40" s="10"/>
    </row>
    <row r="41" spans="1:54" x14ac:dyDescent="0.4">
      <c r="C41"/>
    </row>
    <row r="42" spans="1:54" x14ac:dyDescent="0.4">
      <c r="C42"/>
    </row>
    <row r="43" spans="1:54" x14ac:dyDescent="0.4">
      <c r="C43"/>
    </row>
    <row r="44" spans="1:54" x14ac:dyDescent="0.4">
      <c r="C44"/>
    </row>
    <row r="45" spans="1:54" x14ac:dyDescent="0.4">
      <c r="C45"/>
    </row>
    <row r="46" spans="1:54" x14ac:dyDescent="0.4">
      <c r="C46"/>
    </row>
    <row r="47" spans="1:54" x14ac:dyDescent="0.4">
      <c r="C47"/>
    </row>
    <row r="48" spans="1:54" x14ac:dyDescent="0.4">
      <c r="C48"/>
    </row>
    <row r="49" spans="3:3" x14ac:dyDescent="0.4">
      <c r="C49"/>
    </row>
    <row r="50" spans="3:3" x14ac:dyDescent="0.4">
      <c r="C50"/>
    </row>
    <row r="51" spans="3:3" x14ac:dyDescent="0.4">
      <c r="C51"/>
    </row>
    <row r="52" spans="3:3" x14ac:dyDescent="0.4">
      <c r="C52"/>
    </row>
    <row r="53" spans="3:3" x14ac:dyDescent="0.4">
      <c r="C53"/>
    </row>
    <row r="54" spans="3:3" x14ac:dyDescent="0.4">
      <c r="C54"/>
    </row>
    <row r="55" spans="3:3" x14ac:dyDescent="0.4">
      <c r="C55"/>
    </row>
    <row r="56" spans="3:3" x14ac:dyDescent="0.4">
      <c r="C56"/>
    </row>
    <row r="57" spans="3:3" x14ac:dyDescent="0.4">
      <c r="C57"/>
    </row>
    <row r="58" spans="3:3" x14ac:dyDescent="0.4">
      <c r="C58"/>
    </row>
    <row r="59" spans="3:3" x14ac:dyDescent="0.4">
      <c r="C59"/>
    </row>
    <row r="60" spans="3:3" x14ac:dyDescent="0.4">
      <c r="C60"/>
    </row>
    <row r="61" spans="3:3" x14ac:dyDescent="0.4">
      <c r="C61"/>
    </row>
    <row r="62" spans="3:3" x14ac:dyDescent="0.4">
      <c r="C62"/>
    </row>
    <row r="63" spans="3:3" x14ac:dyDescent="0.4">
      <c r="C63"/>
    </row>
    <row r="64" spans="3:3" x14ac:dyDescent="0.4">
      <c r="C64"/>
    </row>
    <row r="65" spans="3:3" x14ac:dyDescent="0.4">
      <c r="C65"/>
    </row>
    <row r="66" spans="3:3" x14ac:dyDescent="0.4">
      <c r="C66"/>
    </row>
    <row r="67" spans="3:3" x14ac:dyDescent="0.4">
      <c r="C67"/>
    </row>
    <row r="68" spans="3:3" x14ac:dyDescent="0.4">
      <c r="C68"/>
    </row>
    <row r="69" spans="3:3" x14ac:dyDescent="0.4">
      <c r="C69"/>
    </row>
    <row r="70" spans="3:3" x14ac:dyDescent="0.4">
      <c r="C70"/>
    </row>
    <row r="71" spans="3:3" x14ac:dyDescent="0.4">
      <c r="C71"/>
    </row>
    <row r="72" spans="3:3" x14ac:dyDescent="0.4">
      <c r="C72"/>
    </row>
    <row r="73" spans="3:3" x14ac:dyDescent="0.4">
      <c r="C73"/>
    </row>
    <row r="74" spans="3:3" x14ac:dyDescent="0.4">
      <c r="C74"/>
    </row>
    <row r="75" spans="3:3" x14ac:dyDescent="0.4">
      <c r="C75"/>
    </row>
    <row r="76" spans="3:3" x14ac:dyDescent="0.4">
      <c r="C76"/>
    </row>
    <row r="77" spans="3:3" x14ac:dyDescent="0.4">
      <c r="C77"/>
    </row>
    <row r="78" spans="3:3" x14ac:dyDescent="0.4">
      <c r="C78"/>
    </row>
    <row r="79" spans="3:3" x14ac:dyDescent="0.4">
      <c r="C79"/>
    </row>
    <row r="80" spans="3:3" x14ac:dyDescent="0.4">
      <c r="C80"/>
    </row>
    <row r="81" spans="3:3" x14ac:dyDescent="0.4">
      <c r="C81"/>
    </row>
    <row r="82" spans="3:3" x14ac:dyDescent="0.4">
      <c r="C82"/>
    </row>
    <row r="83" spans="3:3" x14ac:dyDescent="0.4">
      <c r="C83"/>
    </row>
    <row r="84" spans="3:3" x14ac:dyDescent="0.4">
      <c r="C84"/>
    </row>
    <row r="85" spans="3:3" x14ac:dyDescent="0.4">
      <c r="C85"/>
    </row>
    <row r="86" spans="3:3" x14ac:dyDescent="0.4">
      <c r="C86"/>
    </row>
    <row r="87" spans="3:3" x14ac:dyDescent="0.4">
      <c r="C87"/>
    </row>
    <row r="88" spans="3:3" x14ac:dyDescent="0.4">
      <c r="C88"/>
    </row>
    <row r="89" spans="3:3" x14ac:dyDescent="0.4">
      <c r="C89"/>
    </row>
    <row r="90" spans="3:3" x14ac:dyDescent="0.4">
      <c r="C90"/>
    </row>
    <row r="91" spans="3:3" x14ac:dyDescent="0.4">
      <c r="C91"/>
    </row>
    <row r="92" spans="3:3" x14ac:dyDescent="0.4">
      <c r="C92"/>
    </row>
    <row r="93" spans="3:3" x14ac:dyDescent="0.4">
      <c r="C93"/>
    </row>
    <row r="94" spans="3:3" x14ac:dyDescent="0.4">
      <c r="C94"/>
    </row>
    <row r="95" spans="3:3" x14ac:dyDescent="0.4">
      <c r="C95"/>
    </row>
    <row r="96" spans="3:3" x14ac:dyDescent="0.4">
      <c r="C96"/>
    </row>
    <row r="97" spans="3:3" x14ac:dyDescent="0.4">
      <c r="C97"/>
    </row>
    <row r="98" spans="3:3" x14ac:dyDescent="0.4">
      <c r="C98"/>
    </row>
    <row r="99" spans="3:3" x14ac:dyDescent="0.4">
      <c r="C99"/>
    </row>
    <row r="100" spans="3:3" x14ac:dyDescent="0.4">
      <c r="C100"/>
    </row>
    <row r="101" spans="3:3" x14ac:dyDescent="0.4">
      <c r="C101"/>
    </row>
    <row r="102" spans="3:3" x14ac:dyDescent="0.4">
      <c r="C102"/>
    </row>
    <row r="103" spans="3:3" x14ac:dyDescent="0.4">
      <c r="C103"/>
    </row>
    <row r="104" spans="3:3" x14ac:dyDescent="0.4">
      <c r="C104"/>
    </row>
    <row r="105" spans="3:3" x14ac:dyDescent="0.4">
      <c r="C105"/>
    </row>
    <row r="106" spans="3:3" x14ac:dyDescent="0.4">
      <c r="C106"/>
    </row>
    <row r="107" spans="3:3" x14ac:dyDescent="0.4">
      <c r="C107"/>
    </row>
    <row r="108" spans="3:3" x14ac:dyDescent="0.4">
      <c r="C108"/>
    </row>
    <row r="109" spans="3:3" x14ac:dyDescent="0.4">
      <c r="C109"/>
    </row>
    <row r="110" spans="3:3" x14ac:dyDescent="0.4">
      <c r="C110"/>
    </row>
    <row r="111" spans="3:3" x14ac:dyDescent="0.4">
      <c r="C111"/>
    </row>
    <row r="112" spans="3:3" x14ac:dyDescent="0.4">
      <c r="C112"/>
    </row>
    <row r="113" spans="3:3" x14ac:dyDescent="0.4">
      <c r="C113"/>
    </row>
    <row r="114" spans="3:3" x14ac:dyDescent="0.4">
      <c r="C114"/>
    </row>
    <row r="115" spans="3:3" x14ac:dyDescent="0.4">
      <c r="C115"/>
    </row>
    <row r="116" spans="3:3" x14ac:dyDescent="0.4">
      <c r="C116"/>
    </row>
    <row r="117" spans="3:3" x14ac:dyDescent="0.4">
      <c r="C117"/>
    </row>
    <row r="118" spans="3:3" x14ac:dyDescent="0.4">
      <c r="C118"/>
    </row>
    <row r="119" spans="3:3" x14ac:dyDescent="0.4">
      <c r="C119"/>
    </row>
    <row r="120" spans="3:3" x14ac:dyDescent="0.4">
      <c r="C120"/>
    </row>
    <row r="121" spans="3:3" x14ac:dyDescent="0.4">
      <c r="C121"/>
    </row>
    <row r="122" spans="3:3" x14ac:dyDescent="0.4">
      <c r="C122"/>
    </row>
    <row r="123" spans="3:3" x14ac:dyDescent="0.4">
      <c r="C123"/>
    </row>
    <row r="124" spans="3:3" x14ac:dyDescent="0.4">
      <c r="C124"/>
    </row>
    <row r="125" spans="3:3" x14ac:dyDescent="0.4">
      <c r="C125"/>
    </row>
    <row r="126" spans="3:3" x14ac:dyDescent="0.4">
      <c r="C126"/>
    </row>
    <row r="127" spans="3:3" x14ac:dyDescent="0.4">
      <c r="C127"/>
    </row>
    <row r="128" spans="3:3" x14ac:dyDescent="0.4">
      <c r="C128"/>
    </row>
    <row r="129" spans="3:3" x14ac:dyDescent="0.4">
      <c r="C129"/>
    </row>
    <row r="130" spans="3:3" x14ac:dyDescent="0.4">
      <c r="C130"/>
    </row>
    <row r="131" spans="3:3" x14ac:dyDescent="0.4">
      <c r="C131"/>
    </row>
    <row r="132" spans="3:3" x14ac:dyDescent="0.4">
      <c r="C132"/>
    </row>
    <row r="133" spans="3:3" x14ac:dyDescent="0.4">
      <c r="C133"/>
    </row>
    <row r="134" spans="3:3" x14ac:dyDescent="0.4">
      <c r="C134"/>
    </row>
    <row r="135" spans="3:3" x14ac:dyDescent="0.4">
      <c r="C135"/>
    </row>
    <row r="136" spans="3:3" x14ac:dyDescent="0.4">
      <c r="C136"/>
    </row>
    <row r="137" spans="3:3" x14ac:dyDescent="0.4">
      <c r="C137"/>
    </row>
    <row r="138" spans="3:3" x14ac:dyDescent="0.4">
      <c r="C138"/>
    </row>
    <row r="139" spans="3:3" x14ac:dyDescent="0.4">
      <c r="C139"/>
    </row>
    <row r="140" spans="3:3" x14ac:dyDescent="0.4">
      <c r="C140"/>
    </row>
    <row r="141" spans="3:3" x14ac:dyDescent="0.4">
      <c r="C141"/>
    </row>
    <row r="142" spans="3:3" x14ac:dyDescent="0.4">
      <c r="C142"/>
    </row>
    <row r="143" spans="3:3" x14ac:dyDescent="0.4">
      <c r="C143"/>
    </row>
    <row r="144" spans="3:3" x14ac:dyDescent="0.4">
      <c r="C144"/>
    </row>
    <row r="145" spans="3:3" x14ac:dyDescent="0.4">
      <c r="C145"/>
    </row>
    <row r="146" spans="3:3" x14ac:dyDescent="0.4">
      <c r="C146"/>
    </row>
    <row r="147" spans="3:3" x14ac:dyDescent="0.4">
      <c r="C147"/>
    </row>
    <row r="148" spans="3:3" x14ac:dyDescent="0.4">
      <c r="C148"/>
    </row>
    <row r="149" spans="3:3" x14ac:dyDescent="0.4">
      <c r="C149"/>
    </row>
    <row r="150" spans="3:3" x14ac:dyDescent="0.4">
      <c r="C150"/>
    </row>
    <row r="151" spans="3:3" x14ac:dyDescent="0.4">
      <c r="C151"/>
    </row>
    <row r="152" spans="3:3" x14ac:dyDescent="0.4">
      <c r="C152"/>
    </row>
    <row r="153" spans="3:3" x14ac:dyDescent="0.4">
      <c r="C153"/>
    </row>
    <row r="154" spans="3:3" x14ac:dyDescent="0.4">
      <c r="C154"/>
    </row>
    <row r="155" spans="3:3" x14ac:dyDescent="0.4">
      <c r="C155"/>
    </row>
    <row r="156" spans="3:3" x14ac:dyDescent="0.4">
      <c r="C156"/>
    </row>
    <row r="157" spans="3:3" x14ac:dyDescent="0.4">
      <c r="C157"/>
    </row>
    <row r="158" spans="3:3" x14ac:dyDescent="0.4">
      <c r="C158"/>
    </row>
  </sheetData>
  <mergeCells count="4">
    <mergeCell ref="A4:A7"/>
    <mergeCell ref="A8:A19"/>
    <mergeCell ref="A20:A24"/>
    <mergeCell ref="A25:A40"/>
  </mergeCells>
  <phoneticPr fontId="5" type="noConversion"/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G33"/>
  <sheetViews>
    <sheetView workbookViewId="0">
      <selection activeCell="C7" sqref="C7"/>
    </sheetView>
  </sheetViews>
  <sheetFormatPr defaultRowHeight="13.9" x14ac:dyDescent="0.4"/>
  <cols>
    <col min="2" max="2" width="11.1328125" customWidth="1"/>
  </cols>
  <sheetData>
    <row r="1" spans="1:3" x14ac:dyDescent="0.4">
      <c r="B1" t="s">
        <v>53</v>
      </c>
      <c r="C1">
        <f>Sheet2!C30</f>
        <v>68.599999999999994</v>
      </c>
    </row>
    <row r="2" spans="1:3" x14ac:dyDescent="0.4">
      <c r="A2" s="45" t="s">
        <v>54</v>
      </c>
      <c r="B2" t="s">
        <v>55</v>
      </c>
      <c r="C2" t="e">
        <f>Sheet2!C24-Sheet2!#REF!</f>
        <v>#REF!</v>
      </c>
    </row>
    <row r="3" spans="1:3" x14ac:dyDescent="0.4">
      <c r="A3" s="45"/>
      <c r="B3" t="s">
        <v>56</v>
      </c>
      <c r="C3" t="e">
        <f>Sheet2!#REF!-Sheet2!#REF!</f>
        <v>#REF!</v>
      </c>
    </row>
    <row r="4" spans="1:3" x14ac:dyDescent="0.4">
      <c r="A4" s="45"/>
      <c r="B4" t="s">
        <v>57</v>
      </c>
      <c r="C4" t="e">
        <f>Sheet2!#REF!-Sheet2!C20</f>
        <v>#REF!</v>
      </c>
    </row>
    <row r="5" spans="1:3" x14ac:dyDescent="0.4">
      <c r="A5" s="45"/>
      <c r="B5" t="s">
        <v>74</v>
      </c>
      <c r="C5" t="e">
        <f>Sheet2!C21-Sheet2!#REF!</f>
        <v>#REF!</v>
      </c>
    </row>
    <row r="6" spans="1:3" x14ac:dyDescent="0.4">
      <c r="A6" s="45"/>
      <c r="B6" t="s">
        <v>75</v>
      </c>
      <c r="C6" t="e">
        <f>Sheet2!#REF!-Sheet2!#REF!</f>
        <v>#REF!</v>
      </c>
    </row>
    <row r="7" spans="1:3" x14ac:dyDescent="0.4">
      <c r="A7" s="13"/>
    </row>
    <row r="28" spans="1:7" x14ac:dyDescent="0.4">
      <c r="A28" s="46" t="s">
        <v>61</v>
      </c>
      <c r="B28" s="46" t="s">
        <v>58</v>
      </c>
      <c r="C28" s="46"/>
      <c r="D28" s="46" t="s">
        <v>59</v>
      </c>
      <c r="E28" s="46"/>
      <c r="F28" s="46" t="s">
        <v>60</v>
      </c>
      <c r="G28" s="46"/>
    </row>
    <row r="29" spans="1:7" x14ac:dyDescent="0.4">
      <c r="A29" s="46"/>
      <c r="B29" s="14" t="s">
        <v>63</v>
      </c>
      <c r="C29" s="14" t="s">
        <v>54</v>
      </c>
      <c r="D29" s="14" t="s">
        <v>62</v>
      </c>
      <c r="E29" s="14" t="s">
        <v>54</v>
      </c>
      <c r="F29" s="14" t="s">
        <v>63</v>
      </c>
      <c r="G29" s="14" t="s">
        <v>54</v>
      </c>
    </row>
    <row r="30" spans="1:7" x14ac:dyDescent="0.4">
      <c r="A30" s="46"/>
      <c r="B30" s="14"/>
      <c r="C30" s="14"/>
      <c r="D30" s="14">
        <v>100.3</v>
      </c>
      <c r="E30" s="14">
        <v>0.29199999999999982</v>
      </c>
      <c r="F30" s="14"/>
      <c r="G30" s="14"/>
    </row>
    <row r="31" spans="1:7" x14ac:dyDescent="0.4">
      <c r="A31" s="46"/>
      <c r="B31" s="14">
        <v>99</v>
      </c>
      <c r="C31" s="14">
        <v>0.53900000000000015</v>
      </c>
      <c r="D31" s="14">
        <v>104.7</v>
      </c>
      <c r="E31" s="14">
        <v>0.32200000000000006</v>
      </c>
      <c r="F31" s="14"/>
      <c r="G31" s="14"/>
    </row>
    <row r="32" spans="1:7" x14ac:dyDescent="0.4">
      <c r="A32" s="46"/>
      <c r="B32" s="14">
        <v>105.2</v>
      </c>
      <c r="C32" s="14">
        <v>0.5950000000000002</v>
      </c>
      <c r="D32" s="14">
        <v>106.3</v>
      </c>
      <c r="E32" s="14">
        <v>0.33599999999999985</v>
      </c>
      <c r="F32" s="14">
        <v>106.19</v>
      </c>
      <c r="G32" s="14">
        <v>0.26400000000000001</v>
      </c>
    </row>
    <row r="33" spans="1:7" x14ac:dyDescent="0.4">
      <c r="A33" s="46"/>
      <c r="B33" s="14">
        <v>128.1</v>
      </c>
      <c r="C33" s="14">
        <v>0.82499999999999973</v>
      </c>
      <c r="D33" s="14">
        <v>131.19999999999999</v>
      </c>
      <c r="E33" s="14">
        <v>0.5089999999999999</v>
      </c>
      <c r="F33" s="14">
        <v>118.92</v>
      </c>
      <c r="G33" s="14">
        <v>0.32400000000000001</v>
      </c>
    </row>
  </sheetData>
  <mergeCells count="5">
    <mergeCell ref="A2:A6"/>
    <mergeCell ref="B28:C28"/>
    <mergeCell ref="D28:E28"/>
    <mergeCell ref="F28:G28"/>
    <mergeCell ref="A28:A33"/>
  </mergeCells>
  <phoneticPr fontId="5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B1:N9"/>
  <sheetViews>
    <sheetView zoomScale="130" zoomScaleNormal="130" workbookViewId="0">
      <selection activeCell="B1" sqref="B1:L6"/>
    </sheetView>
  </sheetViews>
  <sheetFormatPr defaultRowHeight="13.9" x14ac:dyDescent="0.4"/>
  <sheetData>
    <row r="1" spans="2:14" x14ac:dyDescent="0.4">
      <c r="B1" s="48" t="s">
        <v>64</v>
      </c>
      <c r="C1" s="49"/>
      <c r="D1" s="49"/>
      <c r="E1" s="50"/>
      <c r="F1" s="47" t="s">
        <v>68</v>
      </c>
      <c r="G1" s="47"/>
      <c r="H1" s="47"/>
      <c r="I1" s="47"/>
      <c r="J1" s="48" t="s">
        <v>69</v>
      </c>
      <c r="K1" s="49"/>
      <c r="L1" s="50"/>
      <c r="M1" s="15"/>
      <c r="N1" s="11"/>
    </row>
    <row r="2" spans="2:14" x14ac:dyDescent="0.4">
      <c r="B2" s="14" t="s">
        <v>65</v>
      </c>
      <c r="C2" s="14" t="s">
        <v>70</v>
      </c>
      <c r="D2" s="14" t="s">
        <v>66</v>
      </c>
      <c r="E2" s="14" t="s">
        <v>67</v>
      </c>
      <c r="F2" s="8" t="s">
        <v>65</v>
      </c>
      <c r="G2" s="8" t="s">
        <v>71</v>
      </c>
      <c r="H2" s="8" t="s">
        <v>66</v>
      </c>
      <c r="I2" s="8" t="s">
        <v>67</v>
      </c>
      <c r="J2" s="14" t="s">
        <v>65</v>
      </c>
      <c r="K2" s="14" t="s">
        <v>72</v>
      </c>
      <c r="L2" s="14" t="s">
        <v>66</v>
      </c>
      <c r="M2" s="11"/>
    </row>
    <row r="3" spans="2:14" x14ac:dyDescent="0.4">
      <c r="B3" s="14">
        <v>302.07900000000001</v>
      </c>
      <c r="C3" s="14">
        <v>113</v>
      </c>
      <c r="D3" s="14">
        <v>2632.99</v>
      </c>
      <c r="E3" s="14">
        <v>0.61547218326320707</v>
      </c>
      <c r="F3" s="8">
        <v>297.30399999999997</v>
      </c>
      <c r="G3" s="8">
        <v>100.3</v>
      </c>
      <c r="H3" s="8">
        <v>3564.06</v>
      </c>
      <c r="I3" s="8">
        <v>1.2753837895866882</v>
      </c>
      <c r="J3" s="14">
        <v>200</v>
      </c>
      <c r="K3" s="14">
        <v>57.11</v>
      </c>
      <c r="L3" s="14">
        <v>2405</v>
      </c>
      <c r="M3" s="11"/>
    </row>
    <row r="4" spans="2:14" x14ac:dyDescent="0.4">
      <c r="B4" s="14">
        <v>420.173</v>
      </c>
      <c r="C4" s="14">
        <v>129.30000000000001</v>
      </c>
      <c r="D4" s="14">
        <v>4043.3</v>
      </c>
      <c r="E4" s="14">
        <v>1.0752046270442759</v>
      </c>
      <c r="F4" s="8">
        <v>421.09699999999998</v>
      </c>
      <c r="G4" s="8">
        <v>104.7</v>
      </c>
      <c r="H4" s="8">
        <v>4124.63</v>
      </c>
      <c r="I4" s="8">
        <v>1.4065234441602728</v>
      </c>
      <c r="J4" s="14">
        <v>340</v>
      </c>
      <c r="K4" s="14">
        <v>89.37</v>
      </c>
      <c r="L4" s="14">
        <v>3870</v>
      </c>
      <c r="M4" s="11"/>
    </row>
    <row r="5" spans="2:14" x14ac:dyDescent="0.4">
      <c r="B5" s="14">
        <v>420.57100000000003</v>
      </c>
      <c r="C5" s="14">
        <v>113.6</v>
      </c>
      <c r="D5" s="14">
        <v>3815.0230000000001</v>
      </c>
      <c r="E5" s="14">
        <v>1.3009456095481671</v>
      </c>
      <c r="F5" s="8">
        <v>503.90300000000002</v>
      </c>
      <c r="G5" s="8">
        <v>106.3</v>
      </c>
      <c r="H5" s="8">
        <v>4380.3999999999996</v>
      </c>
      <c r="I5" s="8">
        <v>1.4763734411863834</v>
      </c>
      <c r="J5" s="14">
        <v>420</v>
      </c>
      <c r="K5" s="14">
        <v>106.19</v>
      </c>
      <c r="L5" s="14">
        <v>4585</v>
      </c>
      <c r="M5" s="11"/>
    </row>
    <row r="6" spans="2:14" x14ac:dyDescent="0.4">
      <c r="B6" s="14"/>
      <c r="C6" s="14"/>
      <c r="D6" s="14"/>
      <c r="E6" s="14"/>
      <c r="F6" s="8">
        <v>505.52</v>
      </c>
      <c r="G6" s="8">
        <v>131.19999999999999</v>
      </c>
      <c r="H6" s="8">
        <v>5018.8</v>
      </c>
      <c r="I6" s="8">
        <v>1.3105627366496932</v>
      </c>
      <c r="J6" s="14">
        <v>500</v>
      </c>
      <c r="K6" s="14">
        <v>118.92</v>
      </c>
      <c r="L6" s="14">
        <v>5159</v>
      </c>
      <c r="M6" s="11"/>
    </row>
    <row r="7" spans="2:14" x14ac:dyDescent="0.4">
      <c r="B7" s="11"/>
      <c r="C7" s="11"/>
      <c r="D7" s="11"/>
      <c r="E7" s="11"/>
      <c r="F7" s="11"/>
      <c r="G7" s="11"/>
      <c r="I7" s="11"/>
      <c r="J7" s="11"/>
      <c r="L7" s="11"/>
      <c r="M7" s="11"/>
      <c r="N7" s="11"/>
    </row>
    <row r="8" spans="2:14" x14ac:dyDescent="0.4">
      <c r="B8" s="11"/>
      <c r="C8" s="11"/>
      <c r="D8" s="11"/>
      <c r="E8" s="11"/>
      <c r="F8" s="11"/>
      <c r="G8" s="11"/>
      <c r="I8" s="11"/>
      <c r="J8" s="11"/>
      <c r="L8" s="11"/>
      <c r="M8" s="11"/>
      <c r="N8" s="11"/>
    </row>
    <row r="9" spans="2:14" x14ac:dyDescent="0.4">
      <c r="B9" s="11"/>
      <c r="C9" s="11"/>
      <c r="D9" s="11"/>
      <c r="E9" s="11"/>
      <c r="F9" s="11"/>
      <c r="G9" s="11"/>
      <c r="I9" s="11"/>
      <c r="J9" s="11"/>
      <c r="L9" s="11"/>
      <c r="M9" s="11"/>
      <c r="N9" s="11"/>
    </row>
  </sheetData>
  <mergeCells count="3">
    <mergeCell ref="F1:I1"/>
    <mergeCell ref="B1:E1"/>
    <mergeCell ref="J1:L1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Sheet2</vt:lpstr>
      <vt:lpstr>压降分析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方健珉</dc:creator>
  <cp:lastModifiedBy>qhr</cp:lastModifiedBy>
  <dcterms:created xsi:type="dcterms:W3CDTF">2019-03-22T02:59:42Z</dcterms:created>
  <dcterms:modified xsi:type="dcterms:W3CDTF">2019-12-19T01:29:03Z</dcterms:modified>
</cp:coreProperties>
</file>