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发给东风\"/>
    </mc:Choice>
  </mc:AlternateContent>
  <xr:revisionPtr revIDLastSave="101" documentId="11_6C4280409EFEF61C08EF0C236CDDA078855012A6" xr6:coauthVersionLast="45" xr6:coauthVersionMax="45" xr10:uidLastSave="{5076B77C-F53C-4400-B909-4121CBD4D170}"/>
  <bookViews>
    <workbookView xWindow="-98" yWindow="-98" windowWidth="19396" windowHeight="10395" xr2:uid="{00000000-000D-0000-FFFF-FFFF00000000}"/>
  </bookViews>
  <sheets>
    <sheet name="Sheet2" sheetId="2" r:id="rId1"/>
    <sheet name="压降分析" sheetId="7" r:id="rId2"/>
    <sheet name="Sheet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34" i="2" l="1"/>
  <c r="AR35" i="2" s="1"/>
  <c r="AQ34" i="2"/>
  <c r="AQ35" i="2" s="1"/>
  <c r="AP34" i="2"/>
  <c r="AP35" i="2" s="1"/>
  <c r="AO34" i="2"/>
  <c r="AO35" i="2" s="1"/>
  <c r="AN34" i="2"/>
  <c r="AN35" i="2" s="1"/>
  <c r="AM34" i="2"/>
  <c r="AL34" i="2"/>
  <c r="AL35" i="2" s="1"/>
  <c r="AK34" i="2"/>
  <c r="AK35" i="2" s="1"/>
  <c r="AJ34" i="2"/>
  <c r="AJ35" i="2" s="1"/>
  <c r="AM35" i="2" l="1"/>
  <c r="AG34" i="2" l="1"/>
  <c r="AH34" i="2"/>
  <c r="AI34" i="2"/>
  <c r="AF34" i="2"/>
  <c r="AE34" i="2"/>
  <c r="AD34" i="2"/>
  <c r="AC34" i="2"/>
  <c r="AB34" i="2"/>
  <c r="X34" i="2"/>
  <c r="Y34" i="2"/>
  <c r="Z34" i="2"/>
  <c r="S34" i="2"/>
  <c r="S35" i="2" s="1"/>
  <c r="T34" i="2"/>
  <c r="U34" i="2"/>
  <c r="V34" i="2"/>
  <c r="W34" i="2"/>
  <c r="P34" i="2"/>
  <c r="P35" i="2" s="1"/>
  <c r="Q34" i="2"/>
  <c r="Q35" i="2" s="1"/>
  <c r="R34" i="2"/>
  <c r="R35" i="2" s="1"/>
  <c r="O34" i="2"/>
  <c r="O35" i="2" s="1"/>
  <c r="Z35" i="2" l="1"/>
  <c r="U35" i="2"/>
  <c r="Y35" i="2"/>
  <c r="X35" i="2"/>
  <c r="AB35" i="2"/>
  <c r="AI35" i="2"/>
  <c r="AF35" i="2"/>
  <c r="W35" i="2"/>
  <c r="AC35" i="2"/>
  <c r="AH35" i="2"/>
  <c r="T35" i="2"/>
  <c r="AE35" i="2"/>
  <c r="V35" i="2"/>
  <c r="AD35" i="2"/>
  <c r="AG35" i="2"/>
  <c r="N34" i="2"/>
  <c r="N35" i="2" s="1"/>
  <c r="M34" i="2"/>
  <c r="M35" i="2" s="1"/>
  <c r="L34" i="2"/>
  <c r="L35" i="2" s="1"/>
  <c r="K34" i="2"/>
  <c r="K35" i="2" s="1"/>
  <c r="J34" i="2"/>
  <c r="J35" i="2" s="1"/>
  <c r="I34" i="2"/>
  <c r="I35" i="2" s="1"/>
  <c r="H34" i="2" l="1"/>
  <c r="G34" i="2"/>
  <c r="G35" i="2" s="1"/>
  <c r="H35" i="2" l="1"/>
  <c r="C6" i="7"/>
  <c r="C5" i="7"/>
  <c r="C4" i="7"/>
  <c r="C3" i="7"/>
  <c r="C2" i="7"/>
  <c r="C1" i="7"/>
  <c r="F34" i="2" l="1"/>
  <c r="F35" i="2" s="1"/>
  <c r="D34" i="2" l="1"/>
  <c r="E34" i="2"/>
  <c r="C34" i="2"/>
  <c r="D35" i="2" l="1"/>
  <c r="E35" i="2"/>
  <c r="C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AP32" authorId="0" shapeId="0" xr:uid="{3AAFCC7D-1CF7-410A-891B-0E16013DFBD2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增大风量降低气冷出口温度</t>
        </r>
      </text>
    </comment>
  </commentList>
</comments>
</file>

<file path=xl/sharedStrings.xml><?xml version="1.0" encoding="utf-8"?>
<sst xmlns="http://schemas.openxmlformats.org/spreadsheetml/2006/main" count="211" uniqueCount="165">
  <si>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</si>
  <si>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</si>
  <si>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</si>
  <si>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</si>
  <si>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</si>
  <si>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</si>
  <si>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</si>
  <si>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</si>
  <si>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</si>
  <si>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</si>
  <si>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列9</t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</si>
  <si>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</si>
  <si>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</si>
  <si>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</si>
  <si>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</si>
  <si>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</si>
  <si>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</si>
  <si>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</si>
  <si>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</si>
  <si>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列11</t>
  </si>
  <si>
    <t>列12</t>
  </si>
  <si>
    <t>列13</t>
  </si>
  <si>
    <t>列14</t>
  </si>
  <si>
    <t>列15</t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</si>
  <si>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</si>
  <si>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组1</t>
    <phoneticPr fontId="5" type="noConversion"/>
  </si>
  <si>
    <t>组3</t>
    <phoneticPr fontId="5" type="noConversion"/>
  </si>
  <si>
    <t>组2</t>
    <phoneticPr fontId="5" type="noConversion"/>
  </si>
  <si>
    <t>组4</t>
    <phoneticPr fontId="5" type="noConversion"/>
  </si>
  <si>
    <t>组6</t>
  </si>
  <si>
    <t>组7</t>
  </si>
  <si>
    <t>组8</t>
  </si>
  <si>
    <t>组9</t>
  </si>
  <si>
    <t>列10</t>
  </si>
  <si>
    <t>列0</t>
    <phoneticPr fontId="5" type="noConversion"/>
  </si>
  <si>
    <t>列1</t>
    <phoneticPr fontId="5" type="noConversion"/>
  </si>
  <si>
    <t>列2</t>
  </si>
  <si>
    <t>列3</t>
  </si>
  <si>
    <t>列4</t>
  </si>
  <si>
    <t>列5</t>
  </si>
  <si>
    <t>列6</t>
  </si>
  <si>
    <t>列7</t>
  </si>
  <si>
    <t>列8</t>
  </si>
  <si>
    <t>组11</t>
  </si>
  <si>
    <t>组12</t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</si>
  <si>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</si>
  <si>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</si>
  <si>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</si>
  <si>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室内出风干球/℃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</si>
  <si>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</si>
  <si>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性能</t>
    <phoneticPr fontId="5" type="noConversion"/>
  </si>
  <si>
    <t>列16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</si>
  <si>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</si>
  <si>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</si>
  <si>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</si>
  <si>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电压/V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</si>
  <si>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</si>
  <si>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</si>
  <si>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</si>
  <si>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</si>
  <si>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</si>
  <si>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</si>
  <si>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</si>
  <si>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</si>
  <si>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室内侧COP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</si>
  <si>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</si>
  <si>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</si>
  <si>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</si>
  <si>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</si>
  <si>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</si>
  <si>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</si>
  <si>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</si>
  <si>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</si>
  <si>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</si>
  <si>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</si>
  <si>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</si>
  <si>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</si>
  <si>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</si>
  <si>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</si>
  <si>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</si>
  <si>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</si>
  <si>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</si>
  <si>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</si>
  <si>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</si>
  <si>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</si>
  <si>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</si>
  <si>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</si>
  <si>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</si>
  <si>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主换热器出口</t>
    <phoneticPr fontId="5" type="noConversion"/>
  </si>
  <si>
    <t>排气至气冷</t>
    <phoneticPr fontId="5" type="noConversion"/>
  </si>
  <si>
    <t>气冷</t>
    <phoneticPr fontId="5" type="noConversion"/>
  </si>
  <si>
    <t>说明</t>
    <phoneticPr fontId="5" type="noConversion"/>
  </si>
  <si>
    <t>无回热，最大排温，最大制冷量</t>
    <phoneticPr fontId="5" type="noConversion"/>
  </si>
  <si>
    <t>全回热，最大制冷量</t>
    <phoneticPr fontId="5" type="noConversion"/>
  </si>
  <si>
    <t>全回热</t>
    <phoneticPr fontId="5" type="noConversion"/>
  </si>
  <si>
    <t>全回热</t>
    <phoneticPr fontId="5" type="noConversion"/>
  </si>
  <si>
    <t>不回热</t>
    <phoneticPr fontId="5" type="noConversion"/>
  </si>
  <si>
    <t>全回热</t>
    <phoneticPr fontId="5" type="noConversion"/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</si>
  <si>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</si>
  <si>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</si>
  <si>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</si>
  <si>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</si>
  <si>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</si>
  <si>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</si>
  <si>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</si>
  <si>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</si>
  <si>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800（带液）</t>
    <phoneticPr fontId="5" type="noConversion"/>
  </si>
  <si>
    <t>回热</t>
    <phoneticPr fontId="5" type="noConversion"/>
  </si>
  <si>
    <t>列25</t>
  </si>
  <si>
    <t>列26</t>
  </si>
  <si>
    <t>列27</t>
  </si>
  <si>
    <t>列28</t>
  </si>
  <si>
    <t>列29</t>
  </si>
  <si>
    <t>列30</t>
  </si>
  <si>
    <t>无效，图110123</t>
    <phoneticPr fontId="5" type="noConversion"/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</si>
  <si>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</si>
  <si>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</si>
  <si>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</si>
  <si>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</si>
  <si>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</si>
  <si>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</si>
  <si>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</si>
  <si>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</si>
  <si>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</si>
  <si>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</si>
  <si>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</si>
  <si>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</si>
  <si>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</si>
  <si>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</si>
  <si>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</si>
  <si>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组34</t>
  </si>
  <si>
    <t>组41</t>
  </si>
  <si>
    <t>组42</t>
  </si>
  <si>
    <t>组43</t>
  </si>
  <si>
    <t>组44</t>
  </si>
  <si>
    <t>组45</t>
  </si>
  <si>
    <t>组5</t>
    <phoneticPr fontId="5" type="noConversion"/>
  </si>
  <si>
    <t>组10</t>
    <phoneticPr fontId="5" type="noConversion"/>
  </si>
  <si>
    <t>组19</t>
    <phoneticPr fontId="5" type="noConversion"/>
  </si>
  <si>
    <t>组20</t>
    <phoneticPr fontId="5" type="noConversion"/>
  </si>
  <si>
    <t>组21</t>
    <phoneticPr fontId="5" type="noConversion"/>
  </si>
  <si>
    <t>组22</t>
    <phoneticPr fontId="5" type="noConversion"/>
  </si>
  <si>
    <t>组23</t>
    <phoneticPr fontId="5" type="noConversion"/>
  </si>
  <si>
    <t>组24</t>
    <phoneticPr fontId="5" type="noConversion"/>
  </si>
  <si>
    <t>组25</t>
    <phoneticPr fontId="5" type="noConversion"/>
  </si>
  <si>
    <t>组26</t>
    <phoneticPr fontId="5" type="noConversion"/>
  </si>
  <si>
    <t>组27</t>
    <phoneticPr fontId="5" type="noConversion"/>
  </si>
  <si>
    <t>组28</t>
    <phoneticPr fontId="5" type="noConversion"/>
  </si>
  <si>
    <t>组29</t>
    <phoneticPr fontId="5" type="noConversion"/>
  </si>
  <si>
    <t>组30</t>
    <phoneticPr fontId="5" type="noConversion"/>
  </si>
  <si>
    <t>组31</t>
    <phoneticPr fontId="5" type="noConversion"/>
  </si>
  <si>
    <t>组32</t>
    <phoneticPr fontId="5" type="noConversion"/>
  </si>
  <si>
    <t>组33</t>
    <phoneticPr fontId="5" type="noConversion"/>
  </si>
  <si>
    <t>组35</t>
    <phoneticPr fontId="5" type="noConversion"/>
  </si>
  <si>
    <t>组36</t>
    <phoneticPr fontId="5" type="noConversion"/>
  </si>
  <si>
    <t>组37</t>
    <phoneticPr fontId="5" type="noConversion"/>
  </si>
  <si>
    <t>组38</t>
    <phoneticPr fontId="5" type="noConversion"/>
  </si>
  <si>
    <t>组39</t>
    <phoneticPr fontId="5" type="noConversion"/>
  </si>
  <si>
    <t>组40</t>
    <phoneticPr fontId="5" type="noConversion"/>
  </si>
  <si>
    <t>组13</t>
    <phoneticPr fontId="5" type="noConversion"/>
  </si>
  <si>
    <t>组14</t>
    <phoneticPr fontId="5" type="noConversion"/>
  </si>
  <si>
    <t>组15</t>
    <phoneticPr fontId="5" type="noConversion"/>
  </si>
  <si>
    <t>组16</t>
    <phoneticPr fontId="5" type="noConversion"/>
  </si>
  <si>
    <t>组17</t>
    <phoneticPr fontId="5" type="noConversion"/>
  </si>
  <si>
    <t>组18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</si>
</sst>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9" fillId="4" borderId="2" applyNumberFormat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3" fillId="3" borderId="1" xfId="2" applyAlignment="1">
      <alignment horizontal="center" vertical="center"/>
    </xf>
    <xf numFmtId="0" fontId="6" fillId="0" borderId="0" xfId="0" applyFont="1">
      <alignment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" xfId="2" applyFill="1" applyAlignment="1">
      <alignment horizontal="center" vertical="center"/>
    </xf>
    <xf numFmtId="0" fontId="0" fillId="0" borderId="0" xfId="0" applyAlignment="1">
      <alignment vertical="center"/>
    </xf>
    <xf numFmtId="0" fontId="9" fillId="4" borderId="2" xfId="5" applyAlignment="1">
      <alignment horizontal="center" vertical="center"/>
    </xf>
    <xf numFmtId="0" fontId="9" fillId="4" borderId="2" xfId="5" applyAlignment="1">
      <alignment vertical="center"/>
    </xf>
    <xf numFmtId="0" fontId="4" fillId="4" borderId="1" xfId="3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7" borderId="15" xfId="0" applyFont="1" applyFill="1" applyBorder="1" applyAlignment="1">
      <alignment horizontal="center" vertical="center"/>
    </xf>
    <xf numFmtId="0" fontId="0" fillId="5" borderId="17" xfId="4" applyNumberFormat="1" applyFont="1" applyBorder="1" applyAlignment="1">
      <alignment horizontal="center" vertical="center"/>
    </xf>
    <xf numFmtId="0" fontId="2" fillId="2" borderId="16" xfId="1" applyBorder="1" applyAlignment="1">
      <alignment horizontal="center" vertical="center"/>
    </xf>
    <xf numFmtId="0" fontId="4" fillId="4" borderId="1" xfId="3" applyAlignment="1">
      <alignment horizontal="center" vertical="center"/>
    </xf>
    <xf numFmtId="0" fontId="2" fillId="2" borderId="15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4" fillId="4" borderId="7" xfId="3" applyBorder="1" applyAlignment="1">
      <alignment horizontal="center" vertical="center"/>
    </xf>
    <xf numFmtId="0" fontId="4" fillId="4" borderId="11" xfId="3" applyBorder="1" applyAlignment="1">
      <alignment horizontal="center" vertical="center"/>
    </xf>
    <xf numFmtId="0" fontId="2" fillId="2" borderId="8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0" fillId="5" borderId="9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0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9" fillId="4" borderId="12" xfId="5" applyBorder="1" applyAlignment="1">
      <alignment horizontal="center" vertical="center"/>
    </xf>
    <xf numFmtId="0" fontId="9" fillId="4" borderId="13" xfId="5" applyBorder="1" applyAlignment="1">
      <alignment horizontal="center" vertical="center"/>
    </xf>
    <xf numFmtId="0" fontId="9" fillId="4" borderId="14" xfId="5" applyBorder="1" applyAlignment="1">
      <alignment horizontal="center" vertical="center"/>
    </xf>
  </cellXfs>
  <cellStyles count="6">
    <cellStyle name="常规" xfId="0" builtinId="0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46"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95.4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95.4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95.4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95.4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95.4</c:v>
                </c:pt>
              </c:numCache>
            </c:numRef>
          </c:xVal>
          <c:yVal>
            <c:numRef>
              <c:f>压降分析!$C$6:$F$6</c:f>
              <c:numCache>
                <c:formatCode>General</c:formatCode>
                <c:ptCount val="4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(压降分析!$C$33,压降分析!$E$33,压降分析!$G$33)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Z39" totalsRowShown="0" dataDxfId="45">
  <autoFilter ref="B1:Z39" xr:uid="{00000000-0009-0000-0100-000003000000}"/>
  <tableColumns count="25">
    <tableColumn id="9" xr3:uid="{00000000-0010-0000-0000-000009000000}" name="列0" dataDxfId="44" totalsRowDxfId="43"/>
    <tableColumn id="4" xr3:uid="{00000000-0010-0000-0000-000004000000}" name="列1" dataDxfId="42" dataCellStyle="输入"/>
    <tableColumn id="16" xr3:uid="{00000000-0010-0000-0000-000010000000}" name="列2" dataDxfId="41" dataCellStyle="输入"/>
    <tableColumn id="18" xr3:uid="{00000000-0010-0000-0000-000012000000}" name="列3" dataDxfId="40" totalsRowDxfId="39"/>
    <tableColumn id="1" xr3:uid="{00000000-0010-0000-0000-000001000000}" name="列4" dataDxfId="38" totalsRowDxfId="37"/>
    <tableColumn id="17" xr3:uid="{00000000-0010-0000-0000-000011000000}" name="列5" dataDxfId="36" dataCellStyle="输入"/>
    <tableColumn id="21" xr3:uid="{00000000-0010-0000-0000-000015000000}" name="列6" dataDxfId="35" totalsRowDxfId="34"/>
    <tableColumn id="20" xr3:uid="{00000000-0010-0000-0000-000014000000}" name="列7" dataDxfId="33" totalsRowDxfId="32"/>
    <tableColumn id="19" xr3:uid="{00000000-0010-0000-0000-000013000000}" name="列8" dataDxfId="31" totalsRowDxfId="30"/>
    <tableColumn id="11" xr3:uid="{00000000-0010-0000-0000-00000B000000}" name="列9" dataDxfId="29" totalsRowDxfId="28"/>
    <tableColumn id="24" xr3:uid="{00000000-0010-0000-0000-000018000000}" name="列10" dataDxfId="27" totalsRowDxfId="26" dataCellStyle="输入"/>
    <tableColumn id="23" xr3:uid="{00000000-0010-0000-0000-000017000000}" name="列11" dataDxfId="25" totalsRowDxfId="24"/>
    <tableColumn id="22" xr3:uid="{00000000-0010-0000-0000-000016000000}" name="列12" dataDxfId="23" totalsRowDxfId="22"/>
    <tableColumn id="12" xr3:uid="{00000000-0010-0000-0000-00000C000000}" name="列13" dataDxfId="21" totalsRowDxfId="20" dataCellStyle="输入"/>
    <tableColumn id="13" xr3:uid="{00000000-0010-0000-0000-00000D000000}" name="列14" dataDxfId="19" totalsRowDxfId="18" dataCellStyle="输入"/>
    <tableColumn id="14" xr3:uid="{00000000-0010-0000-0000-00000E000000}" name="列15" dataDxfId="17" dataCellStyle="输入"/>
    <tableColumn id="15" xr3:uid="{00000000-0010-0000-0000-00000F000000}" name="列16" dataDxfId="16" totalsRowDxfId="15" dataCellStyle="输入"/>
    <tableColumn id="2" xr3:uid="{00000000-0010-0000-0000-000002000000}" name="列17" dataDxfId="14" totalsRowDxfId="13" dataCellStyle="输入"/>
    <tableColumn id="3" xr3:uid="{00000000-0010-0000-0000-000003000000}" name="列18" dataDxfId="12" totalsRowDxfId="11" dataCellStyle="输入"/>
    <tableColumn id="5" xr3:uid="{00000000-0010-0000-0000-000005000000}" name="列19" dataDxfId="10" totalsRowDxfId="9" dataCellStyle="输入"/>
    <tableColumn id="6" xr3:uid="{00000000-0010-0000-0000-000006000000}" name="列20" dataDxfId="8" totalsRowDxfId="7" dataCellStyle="输入"/>
    <tableColumn id="7" xr3:uid="{00000000-0010-0000-0000-000007000000}" name="列21" dataDxfId="6" totalsRowDxfId="5" dataCellStyle="输入"/>
    <tableColumn id="8" xr3:uid="{00000000-0010-0000-0000-000008000000}" name="列22" dataDxfId="4" totalsRowDxfId="3" dataCellStyle="输入"/>
    <tableColumn id="10" xr3:uid="{00000000-0010-0000-0000-00000A000000}" name="列23" dataDxfId="2" dataCellStyle="输入"/>
    <tableColumn id="25" xr3:uid="{00000000-0010-0000-0000-000019000000}" name="列24" dataDxfId="1" totalsRowDxfId="0" dataCellStyle="输入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39"/>
  <sheetViews>
    <sheetView tabSelected="1" workbookViewId="0">
      <selection activeCell="B34" sqref="A34:XFD34"/>
    </sheetView>
  </sheetViews>
  <sheetFormatPr defaultRowHeight="13.9" x14ac:dyDescent="0.4"/>
  <cols>
    <col min="2" max="2" width="29.19921875" customWidth="1"/>
    <col min="3" max="3" width="11.1328125" customWidth="1"/>
    <col min="4" max="4" width="15.796875" customWidth="1"/>
    <col min="5" max="5" width="11.1328125" customWidth="1"/>
    <col min="6" max="6" width="15.796875" customWidth="1"/>
    <col min="7" max="7" width="11.1328125" customWidth="1"/>
    <col min="8" max="8" width="12.1328125" customWidth="1"/>
    <col min="9" max="9" width="13.1328125" customWidth="1"/>
    <col min="12" max="12" width="11.1328125" customWidth="1"/>
    <col min="13" max="14" width="9.1328125" customWidth="1"/>
    <col min="15" max="15" width="11.1328125" customWidth="1"/>
    <col min="16" max="16" width="15.796875" customWidth="1"/>
    <col min="17" max="17" width="11.1328125" customWidth="1"/>
    <col min="18" max="18" width="15.796875" customWidth="1"/>
    <col min="19" max="19" width="11.1328125" customWidth="1"/>
    <col min="20" max="20" width="15.796875" customWidth="1"/>
    <col min="21" max="21" width="11.1328125" customWidth="1"/>
    <col min="22" max="22" width="15.796875" customWidth="1"/>
    <col min="23" max="23" width="11.1328125" customWidth="1"/>
    <col min="24" max="24" width="15.796875" customWidth="1"/>
    <col min="25" max="25" width="11.1328125" customWidth="1"/>
    <col min="26" max="26" width="15.796875" customWidth="1"/>
    <col min="27" max="27" width="11.1328125" customWidth="1"/>
    <col min="28" max="28" width="15.796875" customWidth="1"/>
    <col min="29" max="29" width="11.1328125" customWidth="1"/>
    <col min="30" max="30" width="15.796875" customWidth="1"/>
    <col min="31" max="31" width="11.1328125" customWidth="1"/>
    <col min="32" max="32" width="15.796875" customWidth="1"/>
    <col min="33" max="33" width="11.1328125" customWidth="1"/>
    <col min="34" max="34" width="15.796875" customWidth="1"/>
    <col min="35" max="35" width="11.1328125" customWidth="1"/>
    <col min="37" max="37" width="11.1328125" customWidth="1"/>
    <col min="38" max="38" width="15.796875" customWidth="1"/>
    <col min="39" max="39" width="11.1328125" customWidth="1"/>
    <col min="40" max="40" width="15.796875" customWidth="1"/>
    <col min="41" max="41" width="11.1328125" customWidth="1"/>
    <col min="42" max="42" width="15.796875" customWidth="1"/>
  </cols>
  <sheetData>
    <row r="1" spans="1:47" x14ac:dyDescent="0.4"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10</v>
      </c>
      <c r="L1" s="7" t="s">
        <v>33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7" t="s">
        <v>51</v>
      </c>
      <c r="S1" s="7" t="s">
        <v>98</v>
      </c>
      <c r="T1" s="7" t="s">
        <v>99</v>
      </c>
      <c r="U1" s="7" t="s">
        <v>100</v>
      </c>
      <c r="V1" s="7" t="s">
        <v>101</v>
      </c>
      <c r="W1" s="7" t="s">
        <v>102</v>
      </c>
      <c r="X1" s="7" t="s">
        <v>103</v>
      </c>
      <c r="Y1" s="7" t="s">
        <v>104</v>
      </c>
      <c r="Z1" s="7" t="s">
        <v>105</v>
      </c>
      <c r="AA1" s="7" t="s">
        <v>108</v>
      </c>
      <c r="AB1" s="7" t="s">
        <v>109</v>
      </c>
      <c r="AC1" s="7" t="s">
        <v>110</v>
      </c>
      <c r="AD1" s="7" t="s">
        <v>111</v>
      </c>
      <c r="AE1" s="7" t="s">
        <v>112</v>
      </c>
      <c r="AF1" s="7" t="s">
        <v>113</v>
      </c>
      <c r="AG1" s="7" t="s">
        <v>115</v>
      </c>
      <c r="AH1" s="7" t="s">
        <v>116</v>
      </c>
      <c r="AI1" s="7" t="s">
        <v>117</v>
      </c>
      <c r="AJ1" t="s">
        <v>118</v>
      </c>
      <c r="AK1" s="7" t="s">
        <v>119</v>
      </c>
      <c r="AL1" s="7" t="s">
        <v>120</v>
      </c>
      <c r="AM1" s="7" t="s">
        <v>121</v>
      </c>
      <c r="AN1" s="7" t="s">
        <v>122</v>
      </c>
      <c r="AO1" s="7" t="s">
        <v>123</v>
      </c>
      <c r="AP1" s="7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</row>
    <row r="2" spans="1:47" ht="17.45" customHeight="1" x14ac:dyDescent="0.4">
      <c r="B2" s="1" t="s">
        <v>91</v>
      </c>
      <c r="C2" s="13" t="s">
        <v>93</v>
      </c>
      <c r="D2" s="13" t="s">
        <v>92</v>
      </c>
      <c r="E2" s="5" t="s">
        <v>94</v>
      </c>
      <c r="F2" s="11" t="s">
        <v>95</v>
      </c>
      <c r="G2" s="13" t="s">
        <v>94</v>
      </c>
      <c r="H2" s="5" t="s">
        <v>96</v>
      </c>
      <c r="I2" s="13" t="s">
        <v>96</v>
      </c>
      <c r="J2" s="13" t="s">
        <v>96</v>
      </c>
      <c r="K2" s="13" t="s">
        <v>96</v>
      </c>
      <c r="L2" s="13" t="s">
        <v>96</v>
      </c>
      <c r="M2" s="13" t="s">
        <v>96</v>
      </c>
      <c r="N2" s="1" t="s">
        <v>97</v>
      </c>
      <c r="O2" s="13" t="s">
        <v>94</v>
      </c>
      <c r="P2" s="13" t="s">
        <v>94</v>
      </c>
      <c r="Q2" s="13" t="s">
        <v>94</v>
      </c>
      <c r="R2" s="13" t="s">
        <v>96</v>
      </c>
      <c r="S2" s="13" t="s">
        <v>96</v>
      </c>
      <c r="T2" s="13" t="s">
        <v>96</v>
      </c>
      <c r="U2" s="13" t="s">
        <v>96</v>
      </c>
      <c r="V2" s="13" t="s">
        <v>96</v>
      </c>
      <c r="W2" s="13" t="s">
        <v>94</v>
      </c>
      <c r="X2" s="13" t="s">
        <v>94</v>
      </c>
      <c r="Y2" s="13" t="s">
        <v>94</v>
      </c>
      <c r="Z2" s="13" t="s">
        <v>94</v>
      </c>
      <c r="AA2" s="13" t="s">
        <v>114</v>
      </c>
      <c r="AB2" s="13" t="s">
        <v>96</v>
      </c>
      <c r="AC2" s="13" t="s">
        <v>96</v>
      </c>
      <c r="AD2" s="13" t="s">
        <v>96</v>
      </c>
      <c r="AE2" s="13" t="s">
        <v>96</v>
      </c>
      <c r="AF2" s="13" t="s">
        <v>107</v>
      </c>
      <c r="AG2" s="13" t="s">
        <v>107</v>
      </c>
      <c r="AH2" s="13" t="s">
        <v>107</v>
      </c>
      <c r="AI2" s="13" t="s">
        <v>107</v>
      </c>
      <c r="AJ2" s="23" t="s">
        <v>107</v>
      </c>
      <c r="AK2" s="13" t="s">
        <v>107</v>
      </c>
      <c r="AL2" s="13" t="s">
        <v>107</v>
      </c>
      <c r="AM2" s="13" t="s">
        <v>107</v>
      </c>
      <c r="AN2" s="13" t="s">
        <v>107</v>
      </c>
      <c r="AO2" s="13" t="s">
        <v>107</v>
      </c>
      <c r="AP2" s="13" t="s">
        <v>107</v>
      </c>
      <c r="AQ2" s="23" t="s">
        <v>107</v>
      </c>
      <c r="AR2" s="23" t="s">
        <v>107</v>
      </c>
      <c r="AS2" s="23" t="s">
        <v>107</v>
      </c>
      <c r="AT2" s="23" t="s">
        <v>107</v>
      </c>
      <c r="AU2" s="23" t="s">
        <v>107</v>
      </c>
    </row>
    <row r="3" spans="1:47" x14ac:dyDescent="0.4">
      <c r="A3" t="s">
        <v>16</v>
      </c>
      <c r="B3" s="1" t="s">
        <v>17</v>
      </c>
      <c r="C3" s="28" t="s">
        <v>25</v>
      </c>
      <c r="D3" s="28" t="s">
        <v>27</v>
      </c>
      <c r="E3" s="1" t="s">
        <v>26</v>
      </c>
      <c r="F3" s="12" t="s">
        <v>28</v>
      </c>
      <c r="G3" s="28" t="s">
        <v>136</v>
      </c>
      <c r="H3" s="12" t="s">
        <v>29</v>
      </c>
      <c r="I3" s="12" t="s">
        <v>30</v>
      </c>
      <c r="J3" s="12" t="s">
        <v>31</v>
      </c>
      <c r="K3" s="12" t="s">
        <v>32</v>
      </c>
      <c r="L3" s="28" t="s">
        <v>137</v>
      </c>
      <c r="M3" s="12" t="s">
        <v>43</v>
      </c>
      <c r="N3" s="12" t="s">
        <v>44</v>
      </c>
      <c r="O3" s="28" t="s">
        <v>159</v>
      </c>
      <c r="P3" s="28" t="s">
        <v>160</v>
      </c>
      <c r="Q3" s="28" t="s">
        <v>161</v>
      </c>
      <c r="R3" s="28" t="s">
        <v>162</v>
      </c>
      <c r="S3" s="28" t="s">
        <v>163</v>
      </c>
      <c r="T3" s="28" t="s">
        <v>164</v>
      </c>
      <c r="U3" s="28" t="s">
        <v>138</v>
      </c>
      <c r="V3" s="28" t="s">
        <v>139</v>
      </c>
      <c r="W3" s="28" t="s">
        <v>140</v>
      </c>
      <c r="X3" s="28" t="s">
        <v>141</v>
      </c>
      <c r="Y3" s="28" t="s">
        <v>142</v>
      </c>
      <c r="Z3" s="28" t="s">
        <v>143</v>
      </c>
      <c r="AA3" s="28" t="s">
        <v>144</v>
      </c>
      <c r="AB3" s="28" t="s">
        <v>145</v>
      </c>
      <c r="AC3" s="28" t="s">
        <v>146</v>
      </c>
      <c r="AD3" s="28" t="s">
        <v>147</v>
      </c>
      <c r="AE3" s="28" t="s">
        <v>148</v>
      </c>
      <c r="AF3" s="28" t="s">
        <v>149</v>
      </c>
      <c r="AG3" s="28" t="s">
        <v>150</v>
      </c>
      <c r="AH3" s="28" t="s">
        <v>151</v>
      </c>
      <c r="AI3" s="28" t="s">
        <v>152</v>
      </c>
      <c r="AJ3" s="21" t="s">
        <v>130</v>
      </c>
      <c r="AK3" s="28" t="s">
        <v>153</v>
      </c>
      <c r="AL3" s="28" t="s">
        <v>154</v>
      </c>
      <c r="AM3" s="28" t="s">
        <v>155</v>
      </c>
      <c r="AN3" s="28" t="s">
        <v>156</v>
      </c>
      <c r="AO3" s="28" t="s">
        <v>157</v>
      </c>
      <c r="AP3" s="28" t="s">
        <v>158</v>
      </c>
      <c r="AQ3" s="21" t="s">
        <v>131</v>
      </c>
      <c r="AR3" s="21" t="s">
        <v>132</v>
      </c>
      <c r="AS3" s="21" t="s">
        <v>133</v>
      </c>
      <c r="AT3" s="21" t="s">
        <v>134</v>
      </c>
      <c r="AU3" s="21" t="s">
        <v>135</v>
      </c>
    </row>
    <row r="4" spans="1:47" ht="13.5" customHeight="1" x14ac:dyDescent="0.4">
      <c r="A4" s="30" t="s">
        <v>18</v>
      </c>
      <c r="B4" s="8" t="s">
        <v>12</v>
      </c>
      <c r="C4" s="29">
        <v>26.9</v>
      </c>
      <c r="D4" s="29">
        <v>27.1</v>
      </c>
      <c r="E4" s="8">
        <v>27</v>
      </c>
      <c r="F4" s="10">
        <v>27</v>
      </c>
      <c r="G4" s="29">
        <v>27</v>
      </c>
      <c r="H4" s="19">
        <v>26.9</v>
      </c>
      <c r="I4" s="8">
        <v>26.9</v>
      </c>
      <c r="J4" s="8">
        <v>27</v>
      </c>
      <c r="K4" s="8">
        <v>27</v>
      </c>
      <c r="L4" s="29">
        <v>27</v>
      </c>
      <c r="M4" s="8">
        <v>26.9</v>
      </c>
      <c r="N4" s="8">
        <v>27</v>
      </c>
      <c r="O4" s="29">
        <v>27</v>
      </c>
      <c r="P4" s="29">
        <v>27</v>
      </c>
      <c r="Q4" s="29">
        <v>27</v>
      </c>
      <c r="R4" s="29">
        <v>27</v>
      </c>
      <c r="S4" s="29">
        <v>27</v>
      </c>
      <c r="T4" s="29">
        <v>27</v>
      </c>
      <c r="U4" s="29">
        <v>27</v>
      </c>
      <c r="V4" s="29">
        <v>26.9</v>
      </c>
      <c r="W4" s="29">
        <v>27</v>
      </c>
      <c r="X4" s="29">
        <v>27</v>
      </c>
      <c r="Y4" s="29">
        <v>27</v>
      </c>
      <c r="Z4" s="29">
        <v>27</v>
      </c>
      <c r="AA4" s="29"/>
      <c r="AB4" s="29">
        <v>27</v>
      </c>
      <c r="AC4" s="29">
        <v>27</v>
      </c>
      <c r="AD4" s="29">
        <v>27</v>
      </c>
      <c r="AE4" s="29">
        <v>26.9</v>
      </c>
      <c r="AF4" s="29">
        <v>27</v>
      </c>
      <c r="AG4" s="29">
        <v>27</v>
      </c>
      <c r="AH4" s="29">
        <v>27</v>
      </c>
      <c r="AI4" s="29">
        <v>27</v>
      </c>
      <c r="AJ4" s="26">
        <v>27</v>
      </c>
      <c r="AK4" s="29">
        <v>27.1</v>
      </c>
      <c r="AL4" s="29">
        <v>27</v>
      </c>
      <c r="AM4" s="29">
        <v>27</v>
      </c>
      <c r="AN4" s="29">
        <v>26.9</v>
      </c>
      <c r="AO4" s="29">
        <v>27</v>
      </c>
      <c r="AP4" s="29">
        <v>27</v>
      </c>
      <c r="AQ4" s="26">
        <v>27</v>
      </c>
      <c r="AR4" s="26">
        <v>27</v>
      </c>
      <c r="AS4" s="22"/>
      <c r="AT4" s="22"/>
      <c r="AU4" s="22"/>
    </row>
    <row r="5" spans="1:47" ht="13.5" customHeight="1" x14ac:dyDescent="0.4">
      <c r="A5" s="31"/>
      <c r="B5" s="8" t="s">
        <v>13</v>
      </c>
      <c r="C5" s="29">
        <v>19.5</v>
      </c>
      <c r="D5" s="29">
        <v>19.5</v>
      </c>
      <c r="E5" s="8">
        <v>19.5</v>
      </c>
      <c r="F5" s="10">
        <v>19.5</v>
      </c>
      <c r="G5" s="29">
        <v>19.5</v>
      </c>
      <c r="H5" s="19">
        <v>19.5</v>
      </c>
      <c r="I5" s="8">
        <v>19.5</v>
      </c>
      <c r="J5" s="8">
        <v>19.5</v>
      </c>
      <c r="K5" s="8">
        <v>19.399999999999999</v>
      </c>
      <c r="L5" s="29">
        <v>19.5</v>
      </c>
      <c r="M5" s="8">
        <v>19.5</v>
      </c>
      <c r="N5" s="8">
        <v>19.5</v>
      </c>
      <c r="O5" s="29">
        <v>19.5</v>
      </c>
      <c r="P5" s="29">
        <v>19.5</v>
      </c>
      <c r="Q5" s="29">
        <v>19.5</v>
      </c>
      <c r="R5" s="29">
        <v>19.5</v>
      </c>
      <c r="S5" s="29">
        <v>19.5</v>
      </c>
      <c r="T5" s="29">
        <v>19.5</v>
      </c>
      <c r="U5" s="29">
        <v>19.5</v>
      </c>
      <c r="V5" s="29">
        <v>19.5</v>
      </c>
      <c r="W5" s="29">
        <v>19.5</v>
      </c>
      <c r="X5" s="29">
        <v>19.5</v>
      </c>
      <c r="Y5" s="29">
        <v>19.5</v>
      </c>
      <c r="Z5" s="29">
        <v>19.5</v>
      </c>
      <c r="AA5" s="29"/>
      <c r="AB5" s="29">
        <v>19.5</v>
      </c>
      <c r="AC5" s="29">
        <v>19.5</v>
      </c>
      <c r="AD5" s="29">
        <v>19.5</v>
      </c>
      <c r="AE5" s="29">
        <v>19.5</v>
      </c>
      <c r="AF5" s="29">
        <v>19.5</v>
      </c>
      <c r="AG5" s="29">
        <v>19.399999999999999</v>
      </c>
      <c r="AH5" s="29">
        <v>19.399999999999999</v>
      </c>
      <c r="AI5" s="29">
        <v>19.5</v>
      </c>
      <c r="AJ5" s="26">
        <v>19.5</v>
      </c>
      <c r="AK5" s="29">
        <v>19.5</v>
      </c>
      <c r="AL5" s="29">
        <v>19.5</v>
      </c>
      <c r="AM5" s="29">
        <v>19.5</v>
      </c>
      <c r="AN5" s="29">
        <v>19.5</v>
      </c>
      <c r="AO5" s="29">
        <v>19.5</v>
      </c>
      <c r="AP5" s="29">
        <v>19.5</v>
      </c>
      <c r="AQ5" s="26">
        <v>19.600000000000001</v>
      </c>
      <c r="AR5" s="26">
        <v>19.5</v>
      </c>
      <c r="AS5" s="22"/>
      <c r="AT5" s="22"/>
      <c r="AU5" s="22"/>
    </row>
    <row r="6" spans="1:47" ht="13.5" customHeight="1" x14ac:dyDescent="0.4">
      <c r="A6" s="31"/>
      <c r="B6" s="8" t="s">
        <v>14</v>
      </c>
      <c r="C6" s="29">
        <v>29.9</v>
      </c>
      <c r="D6" s="29">
        <v>30.1</v>
      </c>
      <c r="E6" s="8">
        <v>30</v>
      </c>
      <c r="F6" s="10">
        <v>30.1</v>
      </c>
      <c r="G6" s="29">
        <v>30.3</v>
      </c>
      <c r="H6" s="8">
        <v>30.1</v>
      </c>
      <c r="I6" s="8">
        <v>29.9</v>
      </c>
      <c r="J6" s="8">
        <v>29.7</v>
      </c>
      <c r="K6" s="8">
        <v>29.9</v>
      </c>
      <c r="L6" s="29">
        <v>29.9</v>
      </c>
      <c r="M6" s="8">
        <v>30</v>
      </c>
      <c r="N6" s="8">
        <v>30.1</v>
      </c>
      <c r="O6" s="29">
        <v>29.9</v>
      </c>
      <c r="P6" s="29">
        <v>30.1</v>
      </c>
      <c r="Q6" s="29">
        <v>30.1</v>
      </c>
      <c r="R6" s="29">
        <v>29.9</v>
      </c>
      <c r="S6" s="29">
        <v>29.9</v>
      </c>
      <c r="T6" s="29">
        <v>30</v>
      </c>
      <c r="U6" s="29">
        <v>29.8</v>
      </c>
      <c r="V6" s="29">
        <v>30.1</v>
      </c>
      <c r="W6" s="29">
        <v>30</v>
      </c>
      <c r="X6" s="29">
        <v>30</v>
      </c>
      <c r="Y6" s="29">
        <v>30</v>
      </c>
      <c r="Z6" s="29">
        <v>30</v>
      </c>
      <c r="AA6" s="29"/>
      <c r="AB6" s="29">
        <v>30.2</v>
      </c>
      <c r="AC6" s="29">
        <v>29.9</v>
      </c>
      <c r="AD6" s="29">
        <v>30</v>
      </c>
      <c r="AE6" s="29">
        <v>31.1</v>
      </c>
      <c r="AF6" s="29">
        <v>29.9</v>
      </c>
      <c r="AG6" s="29">
        <v>30.2</v>
      </c>
      <c r="AH6" s="29">
        <v>30</v>
      </c>
      <c r="AI6" s="29">
        <v>30</v>
      </c>
      <c r="AJ6" s="26">
        <v>30.3</v>
      </c>
      <c r="AK6" s="29">
        <v>29.8</v>
      </c>
      <c r="AL6" s="29">
        <v>29.8</v>
      </c>
      <c r="AM6" s="29">
        <v>29.8</v>
      </c>
      <c r="AN6" s="29">
        <v>30</v>
      </c>
      <c r="AO6" s="29">
        <v>30.2</v>
      </c>
      <c r="AP6" s="29">
        <v>30.2</v>
      </c>
      <c r="AQ6" s="26">
        <v>29.9</v>
      </c>
      <c r="AR6" s="26">
        <v>29.8</v>
      </c>
      <c r="AS6" s="22"/>
      <c r="AT6" s="22"/>
      <c r="AU6" s="22"/>
    </row>
    <row r="7" spans="1:47" ht="13.5" customHeight="1" x14ac:dyDescent="0.4">
      <c r="A7" s="32"/>
      <c r="B7" s="8" t="s">
        <v>15</v>
      </c>
      <c r="C7" s="29">
        <v>21.9</v>
      </c>
      <c r="D7" s="29">
        <v>21.8</v>
      </c>
      <c r="E7" s="8">
        <v>21.7</v>
      </c>
      <c r="F7" s="10">
        <v>22.1</v>
      </c>
      <c r="G7" s="29">
        <v>22.4</v>
      </c>
      <c r="H7" s="8">
        <v>21.9</v>
      </c>
      <c r="I7" s="8">
        <v>21.8</v>
      </c>
      <c r="J7" s="8">
        <v>21.6</v>
      </c>
      <c r="K7" s="8">
        <v>21.7</v>
      </c>
      <c r="L7" s="29">
        <v>21.7</v>
      </c>
      <c r="M7" s="8">
        <v>21.9</v>
      </c>
      <c r="N7" s="8">
        <v>21.9</v>
      </c>
      <c r="O7" s="29">
        <v>21.8</v>
      </c>
      <c r="P7" s="29">
        <v>22.1</v>
      </c>
      <c r="Q7" s="29">
        <v>21.9</v>
      </c>
      <c r="R7" s="29">
        <v>21.9</v>
      </c>
      <c r="S7" s="29">
        <v>21.8</v>
      </c>
      <c r="T7" s="29">
        <v>21.7</v>
      </c>
      <c r="U7" s="29">
        <v>21.8</v>
      </c>
      <c r="V7" s="29">
        <v>21.8</v>
      </c>
      <c r="W7" s="29">
        <v>21.9</v>
      </c>
      <c r="X7" s="29">
        <v>21.7</v>
      </c>
      <c r="Y7" s="29">
        <v>21.9</v>
      </c>
      <c r="Z7" s="29">
        <v>21.8</v>
      </c>
      <c r="AA7" s="29"/>
      <c r="AB7" s="29">
        <v>21.8</v>
      </c>
      <c r="AC7" s="29">
        <v>21.9</v>
      </c>
      <c r="AD7" s="29">
        <v>22.2</v>
      </c>
      <c r="AE7" s="29">
        <v>22.8</v>
      </c>
      <c r="AF7" s="29">
        <v>21.7</v>
      </c>
      <c r="AG7" s="29">
        <v>22.3</v>
      </c>
      <c r="AH7" s="29">
        <v>21.9</v>
      </c>
      <c r="AI7" s="29">
        <v>21.9</v>
      </c>
      <c r="AJ7" s="26">
        <v>22.4</v>
      </c>
      <c r="AK7" s="29">
        <v>21.7</v>
      </c>
      <c r="AL7" s="29">
        <v>21.7</v>
      </c>
      <c r="AM7" s="29">
        <v>21.5</v>
      </c>
      <c r="AN7" s="29">
        <v>22.6</v>
      </c>
      <c r="AO7" s="29">
        <v>22.2</v>
      </c>
      <c r="AP7" s="29">
        <v>22.2</v>
      </c>
      <c r="AQ7" s="26">
        <v>21.8</v>
      </c>
      <c r="AR7" s="26">
        <v>21.8</v>
      </c>
      <c r="AS7" s="20"/>
      <c r="AT7" s="20"/>
      <c r="AU7" s="20"/>
    </row>
    <row r="8" spans="1:47" x14ac:dyDescent="0.4">
      <c r="A8" s="33" t="s">
        <v>45</v>
      </c>
      <c r="B8" s="3" t="s">
        <v>0</v>
      </c>
      <c r="C8" s="3">
        <v>33</v>
      </c>
      <c r="D8" s="3">
        <v>17</v>
      </c>
      <c r="E8" s="3">
        <v>29.56</v>
      </c>
      <c r="F8" s="3">
        <v>29.68</v>
      </c>
      <c r="G8" s="3">
        <v>29.96</v>
      </c>
      <c r="H8" s="3">
        <v>9.75</v>
      </c>
      <c r="I8" s="3">
        <v>11.77</v>
      </c>
      <c r="J8" s="3">
        <v>8.0399999999999991</v>
      </c>
      <c r="K8" s="3">
        <v>5.53</v>
      </c>
      <c r="L8" s="3">
        <v>3.93</v>
      </c>
      <c r="M8" s="3">
        <v>2.0499999999999998</v>
      </c>
      <c r="N8" s="3">
        <v>27.14</v>
      </c>
      <c r="O8" s="3">
        <v>28.06</v>
      </c>
      <c r="P8" s="3">
        <v>26</v>
      </c>
      <c r="Q8" s="3">
        <v>26.6</v>
      </c>
      <c r="R8" s="3">
        <v>-2.86</v>
      </c>
      <c r="S8" s="3">
        <v>-3.16</v>
      </c>
      <c r="T8" s="3">
        <v>-3.2</v>
      </c>
      <c r="U8" s="3">
        <v>-3.14</v>
      </c>
      <c r="V8" s="3">
        <v>-2.92</v>
      </c>
      <c r="W8" s="3">
        <v>28.39</v>
      </c>
      <c r="X8" s="3">
        <v>27.27</v>
      </c>
      <c r="Y8" s="3">
        <v>26.34</v>
      </c>
      <c r="Z8" s="3">
        <v>25.73</v>
      </c>
      <c r="AA8" s="3"/>
      <c r="AB8" s="3">
        <v>-3.51</v>
      </c>
      <c r="AC8" s="3">
        <v>-3.56</v>
      </c>
      <c r="AD8" s="3">
        <v>-3.36</v>
      </c>
      <c r="AE8" s="3">
        <v>-2.89</v>
      </c>
      <c r="AF8" s="3">
        <v>27.62</v>
      </c>
      <c r="AG8" s="3">
        <v>26.93</v>
      </c>
      <c r="AH8" s="3">
        <v>26.27</v>
      </c>
      <c r="AI8" s="3">
        <v>25.51</v>
      </c>
      <c r="AJ8" s="27">
        <v>-2.5</v>
      </c>
      <c r="AK8" s="3">
        <v>25.92</v>
      </c>
      <c r="AL8" s="3">
        <v>25.16</v>
      </c>
      <c r="AM8" s="3">
        <v>26.6</v>
      </c>
      <c r="AN8" s="3">
        <v>15.63</v>
      </c>
      <c r="AO8" s="3">
        <v>17.96</v>
      </c>
      <c r="AP8" s="3">
        <v>18.84</v>
      </c>
      <c r="AQ8" s="27">
        <v>-0.65</v>
      </c>
      <c r="AR8" s="27">
        <v>0.65</v>
      </c>
      <c r="AS8" s="25"/>
      <c r="AT8" s="25"/>
      <c r="AU8" s="25"/>
    </row>
    <row r="9" spans="1:47" x14ac:dyDescent="0.4">
      <c r="A9" s="34"/>
      <c r="B9" s="3" t="s">
        <v>1</v>
      </c>
      <c r="C9" s="3">
        <v>134.13</v>
      </c>
      <c r="D9" s="3">
        <v>134.11000000000001</v>
      </c>
      <c r="E9" s="3">
        <v>121.68</v>
      </c>
      <c r="F9" s="3">
        <v>135.44999999999999</v>
      </c>
      <c r="G9" s="3">
        <v>130.44</v>
      </c>
      <c r="H9" s="3">
        <v>123.3</v>
      </c>
      <c r="I9" s="3">
        <v>130.85</v>
      </c>
      <c r="J9" s="3">
        <v>116.64</v>
      </c>
      <c r="K9" s="3">
        <v>107.21</v>
      </c>
      <c r="L9" s="3">
        <v>101.2</v>
      </c>
      <c r="M9" s="3">
        <v>93.06</v>
      </c>
      <c r="N9" s="3">
        <v>121.6</v>
      </c>
      <c r="O9" s="3">
        <v>116.98</v>
      </c>
      <c r="P9" s="3">
        <v>124.46</v>
      </c>
      <c r="Q9" s="3">
        <v>123.23</v>
      </c>
      <c r="R9" s="3">
        <v>100.24</v>
      </c>
      <c r="S9" s="3">
        <v>94.03</v>
      </c>
      <c r="T9" s="3">
        <v>89.63</v>
      </c>
      <c r="U9" s="3">
        <v>87.04</v>
      </c>
      <c r="V9" s="3">
        <v>84.84</v>
      </c>
      <c r="W9" s="3">
        <v>116.43</v>
      </c>
      <c r="X9" s="3">
        <v>121.58</v>
      </c>
      <c r="Y9" s="3">
        <v>124.5</v>
      </c>
      <c r="Z9" s="3">
        <v>126.31</v>
      </c>
      <c r="AA9" s="3"/>
      <c r="AB9" s="3">
        <v>90.89</v>
      </c>
      <c r="AC9" s="3">
        <v>88.72</v>
      </c>
      <c r="AD9" s="3">
        <v>87.11</v>
      </c>
      <c r="AE9" s="3">
        <v>85.67</v>
      </c>
      <c r="AF9" s="3">
        <v>115.23</v>
      </c>
      <c r="AG9" s="3">
        <v>120.69</v>
      </c>
      <c r="AH9" s="3">
        <v>123.43</v>
      </c>
      <c r="AI9" s="3">
        <v>125.76</v>
      </c>
      <c r="AJ9" s="27">
        <v>111.99</v>
      </c>
      <c r="AK9" s="3">
        <v>122.45</v>
      </c>
      <c r="AL9" s="3">
        <v>124.45</v>
      </c>
      <c r="AM9" s="3">
        <v>118.05</v>
      </c>
      <c r="AN9" s="3">
        <v>101.38</v>
      </c>
      <c r="AO9" s="3">
        <v>108.4</v>
      </c>
      <c r="AP9" s="3">
        <v>114.62</v>
      </c>
      <c r="AQ9" s="27">
        <v>86.36</v>
      </c>
      <c r="AR9" s="27">
        <v>95.09</v>
      </c>
      <c r="AS9" s="25"/>
      <c r="AT9" s="25"/>
      <c r="AU9" s="25"/>
    </row>
    <row r="10" spans="1:47" x14ac:dyDescent="0.4">
      <c r="A10" s="34"/>
      <c r="B10" s="3" t="s">
        <v>2</v>
      </c>
      <c r="C10" s="3">
        <v>127.88</v>
      </c>
      <c r="D10" s="3">
        <v>128.22999999999999</v>
      </c>
      <c r="E10" s="3">
        <v>117.83</v>
      </c>
      <c r="F10" s="3">
        <v>129.80000000000001</v>
      </c>
      <c r="G10" s="3">
        <v>125.14</v>
      </c>
      <c r="H10" s="3">
        <v>118.54</v>
      </c>
      <c r="I10" s="3">
        <v>125.82</v>
      </c>
      <c r="J10" s="3">
        <v>112.26</v>
      </c>
      <c r="K10" s="3">
        <v>103.56</v>
      </c>
      <c r="L10" s="3">
        <v>97.68</v>
      </c>
      <c r="M10" s="3">
        <v>90.47</v>
      </c>
      <c r="N10" s="3">
        <v>116.97</v>
      </c>
      <c r="O10" s="3">
        <v>112.58</v>
      </c>
      <c r="P10" s="3">
        <v>119.88</v>
      </c>
      <c r="Q10" s="3">
        <v>118.78</v>
      </c>
      <c r="R10" s="3">
        <v>97.47</v>
      </c>
      <c r="S10" s="3">
        <v>91.23</v>
      </c>
      <c r="T10" s="3">
        <v>87.31</v>
      </c>
      <c r="U10" s="3">
        <v>84.43</v>
      </c>
      <c r="V10" s="3">
        <v>82.29</v>
      </c>
      <c r="W10" s="3">
        <v>111.95</v>
      </c>
      <c r="X10" s="3">
        <v>117.24</v>
      </c>
      <c r="Y10" s="3">
        <v>119.58</v>
      </c>
      <c r="Z10" s="3">
        <v>121.28</v>
      </c>
      <c r="AA10" s="3"/>
      <c r="AB10" s="3">
        <v>88.07</v>
      </c>
      <c r="AC10" s="3">
        <v>86.1</v>
      </c>
      <c r="AD10" s="3">
        <v>84.48</v>
      </c>
      <c r="AE10" s="3">
        <v>83.17</v>
      </c>
      <c r="AF10" s="3">
        <v>110.91</v>
      </c>
      <c r="AG10" s="3">
        <v>116.08</v>
      </c>
      <c r="AH10" s="3">
        <v>118.63</v>
      </c>
      <c r="AI10" s="3">
        <v>121.31</v>
      </c>
      <c r="AJ10" s="27">
        <v>109.13</v>
      </c>
      <c r="AK10" s="3">
        <v>119.73</v>
      </c>
      <c r="AL10" s="3">
        <v>119.74</v>
      </c>
      <c r="AM10" s="3">
        <v>113.64</v>
      </c>
      <c r="AN10" s="3">
        <v>98.43</v>
      </c>
      <c r="AO10" s="3">
        <v>105.12</v>
      </c>
      <c r="AP10" s="3">
        <v>110.61</v>
      </c>
      <c r="AQ10" s="27">
        <v>84.26</v>
      </c>
      <c r="AR10" s="27">
        <v>92.58</v>
      </c>
      <c r="AS10" s="25"/>
      <c r="AT10" s="25"/>
      <c r="AU10" s="25"/>
    </row>
    <row r="11" spans="1:47" ht="14.25" customHeight="1" x14ac:dyDescent="0.4">
      <c r="A11" s="34"/>
      <c r="B11" s="3" t="s">
        <v>6</v>
      </c>
      <c r="C11" s="3">
        <v>34.380000000000003</v>
      </c>
      <c r="D11" s="3">
        <v>34.15</v>
      </c>
      <c r="E11" s="3">
        <v>35.49</v>
      </c>
      <c r="F11" s="3">
        <v>34.04</v>
      </c>
      <c r="G11" s="3">
        <v>35.03</v>
      </c>
      <c r="H11" s="3">
        <v>33.229999999999997</v>
      </c>
      <c r="I11" s="3">
        <v>32.619999999999997</v>
      </c>
      <c r="J11" s="3">
        <v>33.270000000000003</v>
      </c>
      <c r="K11" s="3">
        <v>34.119999999999997</v>
      </c>
      <c r="L11" s="3">
        <v>34.56</v>
      </c>
      <c r="M11" s="3">
        <v>35.25</v>
      </c>
      <c r="N11" s="3">
        <v>35.049999999999997</v>
      </c>
      <c r="O11" s="3">
        <v>35.020000000000003</v>
      </c>
      <c r="P11" s="3">
        <v>34.43</v>
      </c>
      <c r="Q11" s="3">
        <v>34.770000000000003</v>
      </c>
      <c r="R11" s="3">
        <v>32.83</v>
      </c>
      <c r="S11" s="3">
        <v>33.409999999999997</v>
      </c>
      <c r="T11" s="3">
        <v>33.9</v>
      </c>
      <c r="U11" s="3">
        <v>34.31</v>
      </c>
      <c r="V11" s="3">
        <v>34.880000000000003</v>
      </c>
      <c r="W11" s="3">
        <v>34.950000000000003</v>
      </c>
      <c r="X11" s="3">
        <v>34.92</v>
      </c>
      <c r="Y11" s="3">
        <v>34.479999999999997</v>
      </c>
      <c r="Z11" s="3">
        <v>34.130000000000003</v>
      </c>
      <c r="AA11" s="3"/>
      <c r="AB11" s="3">
        <v>34.159999999999997</v>
      </c>
      <c r="AC11" s="3">
        <v>34.130000000000003</v>
      </c>
      <c r="AD11" s="3">
        <v>34.65</v>
      </c>
      <c r="AE11" s="3">
        <v>35.26</v>
      </c>
      <c r="AF11" s="3">
        <v>34.92</v>
      </c>
      <c r="AG11" s="3">
        <v>34.85</v>
      </c>
      <c r="AH11" s="3">
        <v>34.590000000000003</v>
      </c>
      <c r="AI11" s="3">
        <v>34.119999999999997</v>
      </c>
      <c r="AJ11" s="27">
        <v>32.880000000000003</v>
      </c>
      <c r="AK11" s="3">
        <v>34.85</v>
      </c>
      <c r="AL11" s="3">
        <v>34.299999999999997</v>
      </c>
      <c r="AM11" s="3">
        <v>35.14</v>
      </c>
      <c r="AN11" s="3">
        <v>35.58</v>
      </c>
      <c r="AO11" s="3">
        <v>35.31</v>
      </c>
      <c r="AP11" s="3">
        <v>34.79</v>
      </c>
      <c r="AQ11" s="27">
        <v>34.79</v>
      </c>
      <c r="AR11" s="27">
        <v>33.840000000000003</v>
      </c>
      <c r="AS11" s="25"/>
      <c r="AT11" s="25"/>
      <c r="AU11" s="25"/>
    </row>
    <row r="12" spans="1:47" ht="12.4" customHeight="1" x14ac:dyDescent="0.4">
      <c r="A12" s="34"/>
      <c r="B12" s="3" t="s">
        <v>5</v>
      </c>
      <c r="C12" s="3">
        <v>32.83</v>
      </c>
      <c r="D12" s="3">
        <v>33.979999999999997</v>
      </c>
      <c r="E12" s="3">
        <v>28.7</v>
      </c>
      <c r="F12" s="3">
        <v>26.81</v>
      </c>
      <c r="G12" s="3">
        <v>27.5</v>
      </c>
      <c r="H12" s="3">
        <v>32.979999999999997</v>
      </c>
      <c r="I12" s="3">
        <v>32.44</v>
      </c>
      <c r="J12" s="3">
        <v>33.049999999999997</v>
      </c>
      <c r="K12" s="3">
        <v>33.82</v>
      </c>
      <c r="L12" s="3">
        <v>34.229999999999997</v>
      </c>
      <c r="M12" s="3">
        <v>34.840000000000003</v>
      </c>
      <c r="N12" s="3">
        <v>24.4</v>
      </c>
      <c r="O12" s="3">
        <v>27.08</v>
      </c>
      <c r="P12" s="3">
        <v>22.26</v>
      </c>
      <c r="Q12" s="3">
        <v>23.24</v>
      </c>
      <c r="R12" s="3">
        <v>32.54</v>
      </c>
      <c r="S12" s="3">
        <v>33.130000000000003</v>
      </c>
      <c r="T12" s="3">
        <v>33.619999999999997</v>
      </c>
      <c r="U12" s="3">
        <v>33.97</v>
      </c>
      <c r="V12" s="3">
        <v>34.479999999999997</v>
      </c>
      <c r="W12" s="3">
        <v>27.74</v>
      </c>
      <c r="X12" s="3">
        <v>24.2</v>
      </c>
      <c r="Y12" s="3">
        <v>22.3</v>
      </c>
      <c r="Z12" s="3">
        <v>21.29</v>
      </c>
      <c r="AA12" s="3"/>
      <c r="AB12" s="3">
        <v>33.83</v>
      </c>
      <c r="AC12" s="3">
        <v>33.81</v>
      </c>
      <c r="AD12" s="3">
        <v>35.29</v>
      </c>
      <c r="AE12" s="3">
        <v>34.909999999999997</v>
      </c>
      <c r="AF12" s="3">
        <v>26.43</v>
      </c>
      <c r="AG12" s="3">
        <v>23.77</v>
      </c>
      <c r="AH12" s="3">
        <v>22.28</v>
      </c>
      <c r="AI12" s="3">
        <v>21</v>
      </c>
      <c r="AJ12" s="27">
        <v>32.6</v>
      </c>
      <c r="AK12" s="3">
        <v>22.56</v>
      </c>
      <c r="AL12" s="3">
        <v>221.07</v>
      </c>
      <c r="AM12" s="3">
        <v>24.59</v>
      </c>
      <c r="AN12" s="3">
        <v>19.920000000000002</v>
      </c>
      <c r="AO12" s="3">
        <v>18.5</v>
      </c>
      <c r="AP12" s="3">
        <v>16.89</v>
      </c>
      <c r="AQ12" s="27">
        <v>12.32</v>
      </c>
      <c r="AR12" s="27">
        <v>10.66</v>
      </c>
      <c r="AS12" s="25"/>
      <c r="AT12" s="25"/>
      <c r="AU12" s="25"/>
    </row>
    <row r="13" spans="1:47" x14ac:dyDescent="0.4">
      <c r="A13" s="34"/>
      <c r="B13" s="4" t="s">
        <v>3</v>
      </c>
      <c r="C13" s="3">
        <v>32.21</v>
      </c>
      <c r="D13" s="3">
        <v>33.380000000000003</v>
      </c>
      <c r="E13" s="3">
        <v>28.18</v>
      </c>
      <c r="F13" s="3">
        <v>26.05</v>
      </c>
      <c r="G13" s="3">
        <v>27.15</v>
      </c>
      <c r="H13" s="3">
        <v>32.21</v>
      </c>
      <c r="I13" s="3">
        <v>31.61</v>
      </c>
      <c r="J13" s="3">
        <v>32.42</v>
      </c>
      <c r="K13" s="3">
        <v>33.159999999999997</v>
      </c>
      <c r="L13" s="3">
        <v>33.65</v>
      </c>
      <c r="M13" s="3">
        <v>34.67</v>
      </c>
      <c r="N13" s="3">
        <v>24.43</v>
      </c>
      <c r="O13" s="3">
        <v>26.92</v>
      </c>
      <c r="P13" s="3">
        <v>22.18</v>
      </c>
      <c r="Q13" s="3">
        <v>23.21</v>
      </c>
      <c r="R13" s="3">
        <v>32.26</v>
      </c>
      <c r="S13" s="3">
        <v>32.68</v>
      </c>
      <c r="T13" s="3">
        <v>33.11</v>
      </c>
      <c r="U13" s="3">
        <v>33.72</v>
      </c>
      <c r="V13" s="3">
        <v>34.020000000000003</v>
      </c>
      <c r="W13" s="3">
        <v>27.5</v>
      </c>
      <c r="X13" s="3">
        <v>24.01</v>
      </c>
      <c r="Y13" s="3">
        <v>22.05</v>
      </c>
      <c r="Z13" s="3">
        <v>21.29</v>
      </c>
      <c r="AA13" s="3"/>
      <c r="AB13" s="3">
        <v>33.25</v>
      </c>
      <c r="AC13" s="3">
        <v>33.17</v>
      </c>
      <c r="AD13" s="3">
        <v>33.79</v>
      </c>
      <c r="AE13" s="3">
        <v>34.11</v>
      </c>
      <c r="AF13" s="3">
        <v>26.49</v>
      </c>
      <c r="AG13" s="3">
        <v>23.36</v>
      </c>
      <c r="AH13" s="3">
        <v>22.41</v>
      </c>
      <c r="AI13" s="3">
        <v>20.9</v>
      </c>
      <c r="AJ13" s="27">
        <v>32.08</v>
      </c>
      <c r="AK13" s="3">
        <v>22.2</v>
      </c>
      <c r="AL13" s="3">
        <v>20.97</v>
      </c>
      <c r="AM13" s="3">
        <v>24.53</v>
      </c>
      <c r="AN13" s="3">
        <v>19.78</v>
      </c>
      <c r="AO13" s="3">
        <v>18.420000000000002</v>
      </c>
      <c r="AP13" s="3">
        <v>16.72</v>
      </c>
      <c r="AQ13" s="27">
        <v>12.53</v>
      </c>
      <c r="AR13" s="27">
        <v>10.94</v>
      </c>
      <c r="AS13" s="25"/>
      <c r="AT13" s="25"/>
      <c r="AU13" s="25"/>
    </row>
    <row r="14" spans="1:47" x14ac:dyDescent="0.4">
      <c r="A14" s="34"/>
      <c r="B14" s="4" t="s">
        <v>4</v>
      </c>
      <c r="C14" s="3">
        <v>2.2000000000000002</v>
      </c>
      <c r="D14" s="3">
        <v>-1.49</v>
      </c>
      <c r="E14" s="3">
        <v>4.3899999999999997</v>
      </c>
      <c r="F14" s="3">
        <v>2.36</v>
      </c>
      <c r="G14" s="3">
        <v>3.06</v>
      </c>
      <c r="H14" s="3">
        <v>2.67</v>
      </c>
      <c r="I14" s="3">
        <v>2.02</v>
      </c>
      <c r="J14" s="3">
        <v>3.16</v>
      </c>
      <c r="K14" s="3">
        <v>4.09</v>
      </c>
      <c r="L14" s="3">
        <v>4.7300000000000004</v>
      </c>
      <c r="M14" s="3">
        <v>5.87</v>
      </c>
      <c r="N14" s="3">
        <v>3.64</v>
      </c>
      <c r="O14" s="3">
        <v>4.68</v>
      </c>
      <c r="P14" s="3">
        <v>3.08</v>
      </c>
      <c r="Q14" s="3">
        <v>3.32</v>
      </c>
      <c r="R14" s="3">
        <v>4.76</v>
      </c>
      <c r="S14" s="3">
        <v>5.08</v>
      </c>
      <c r="T14" s="3">
        <v>5.49</v>
      </c>
      <c r="U14" s="3">
        <v>5.76</v>
      </c>
      <c r="V14" s="3">
        <v>6.28</v>
      </c>
      <c r="W14" s="3">
        <v>4.7</v>
      </c>
      <c r="X14" s="3">
        <v>3.27</v>
      </c>
      <c r="Y14" s="3">
        <v>2.72</v>
      </c>
      <c r="Z14" s="3">
        <v>2.42</v>
      </c>
      <c r="AA14" s="3"/>
      <c r="AB14" s="3">
        <v>5.0599999999999996</v>
      </c>
      <c r="AC14" s="3">
        <v>5.23</v>
      </c>
      <c r="AD14" s="3">
        <v>5.6</v>
      </c>
      <c r="AE14" s="3">
        <v>6.06</v>
      </c>
      <c r="AF14" s="3">
        <v>4.9000000000000004</v>
      </c>
      <c r="AG14" s="3">
        <v>3.7</v>
      </c>
      <c r="AH14" s="3">
        <v>3.22</v>
      </c>
      <c r="AI14" s="3">
        <v>2.2799999999999998</v>
      </c>
      <c r="AJ14" s="27">
        <v>5.12</v>
      </c>
      <c r="AK14" s="3">
        <v>3.35</v>
      </c>
      <c r="AL14" s="3">
        <v>2.89</v>
      </c>
      <c r="AM14" s="3">
        <v>4.25</v>
      </c>
      <c r="AN14" s="3">
        <v>5.05</v>
      </c>
      <c r="AO14" s="3">
        <v>3.98</v>
      </c>
      <c r="AP14" s="3">
        <v>3.15</v>
      </c>
      <c r="AQ14" s="27">
        <v>4.37</v>
      </c>
      <c r="AR14" s="27">
        <v>3.24</v>
      </c>
      <c r="AS14" s="25"/>
      <c r="AT14" s="25"/>
      <c r="AU14" s="25"/>
    </row>
    <row r="15" spans="1:47" x14ac:dyDescent="0.4">
      <c r="A15" s="34"/>
      <c r="B15" s="4" t="s">
        <v>49</v>
      </c>
      <c r="C15" s="3">
        <v>2.16</v>
      </c>
      <c r="D15" s="3">
        <v>-1.42</v>
      </c>
      <c r="E15" s="3">
        <v>4.26</v>
      </c>
      <c r="F15" s="3">
        <v>2.31</v>
      </c>
      <c r="G15" s="3">
        <v>3.05</v>
      </c>
      <c r="H15" s="3">
        <v>2.66</v>
      </c>
      <c r="I15" s="3">
        <v>2.04</v>
      </c>
      <c r="J15" s="3">
        <v>3.06</v>
      </c>
      <c r="K15" s="3">
        <v>4.01</v>
      </c>
      <c r="L15" s="3">
        <v>4.6399999999999997</v>
      </c>
      <c r="M15" s="3">
        <v>5.74</v>
      </c>
      <c r="N15" s="3">
        <v>3.76</v>
      </c>
      <c r="O15" s="3">
        <v>4.67</v>
      </c>
      <c r="P15" s="3">
        <v>3.2</v>
      </c>
      <c r="Q15" s="3">
        <v>3.41</v>
      </c>
      <c r="R15" s="3">
        <v>4.71</v>
      </c>
      <c r="S15" s="3">
        <v>4.99</v>
      </c>
      <c r="T15" s="3">
        <v>5.32</v>
      </c>
      <c r="U15" s="3">
        <v>5.62</v>
      </c>
      <c r="V15" s="3">
        <v>6.11</v>
      </c>
      <c r="W15" s="3">
        <v>4.68</v>
      </c>
      <c r="X15" s="3">
        <v>3.32</v>
      </c>
      <c r="Y15" s="3">
        <v>2.78</v>
      </c>
      <c r="Z15" s="3">
        <v>2.5499999999999998</v>
      </c>
      <c r="AA15" s="3"/>
      <c r="AB15" s="3">
        <v>4.93</v>
      </c>
      <c r="AC15" s="3">
        <v>5.09</v>
      </c>
      <c r="AD15" s="3">
        <v>5.44</v>
      </c>
      <c r="AE15" s="3">
        <v>5.92</v>
      </c>
      <c r="AF15" s="3">
        <v>4.87</v>
      </c>
      <c r="AG15" s="3">
        <v>3.78</v>
      </c>
      <c r="AH15" s="3">
        <v>3.37</v>
      </c>
      <c r="AI15" s="3">
        <v>3.02</v>
      </c>
      <c r="AJ15" s="27">
        <v>4.8899999999999997</v>
      </c>
      <c r="AK15" s="3">
        <v>3.22</v>
      </c>
      <c r="AL15" s="3">
        <v>2.79</v>
      </c>
      <c r="AM15" s="3">
        <v>4.1399999999999997</v>
      </c>
      <c r="AN15" s="3">
        <v>5.0199999999999996</v>
      </c>
      <c r="AO15" s="3">
        <v>4.01</v>
      </c>
      <c r="AP15" s="3">
        <v>3.23</v>
      </c>
      <c r="AQ15" s="27">
        <v>4.51</v>
      </c>
      <c r="AR15" s="27">
        <v>3.37</v>
      </c>
      <c r="AS15" s="25"/>
      <c r="AT15" s="25"/>
      <c r="AU15" s="25"/>
    </row>
    <row r="16" spans="1:47" x14ac:dyDescent="0.4">
      <c r="A16" s="34"/>
      <c r="B16" s="4" t="s">
        <v>24</v>
      </c>
      <c r="C16" s="3">
        <v>18.190000000000001</v>
      </c>
      <c r="D16" s="3">
        <v>18.91</v>
      </c>
      <c r="E16" s="3">
        <v>3.92</v>
      </c>
      <c r="F16" s="3">
        <v>9.49</v>
      </c>
      <c r="G16" s="3">
        <v>6.86</v>
      </c>
      <c r="H16" s="3">
        <v>11.61</v>
      </c>
      <c r="I16" s="3">
        <v>13.37</v>
      </c>
      <c r="J16" s="3">
        <v>10.19</v>
      </c>
      <c r="K16" s="3">
        <v>8.1999999999999993</v>
      </c>
      <c r="L16" s="3">
        <v>6.86</v>
      </c>
      <c r="M16" s="3">
        <v>5.52</v>
      </c>
      <c r="N16" s="3">
        <v>0.8</v>
      </c>
      <c r="O16" s="3">
        <v>1.55</v>
      </c>
      <c r="P16" s="3">
        <v>0.39</v>
      </c>
      <c r="Q16" s="3">
        <v>0.55000000000000004</v>
      </c>
      <c r="R16" s="3">
        <v>0.49</v>
      </c>
      <c r="S16" s="3">
        <v>0.53</v>
      </c>
      <c r="T16" s="3">
        <v>0.68</v>
      </c>
      <c r="U16" s="3">
        <v>0.9</v>
      </c>
      <c r="V16" s="3">
        <v>1.21</v>
      </c>
      <c r="W16" s="3">
        <v>1.71</v>
      </c>
      <c r="X16" s="3">
        <v>0.56999999999999995</v>
      </c>
      <c r="Y16" s="3">
        <v>0.16</v>
      </c>
      <c r="Z16" s="3">
        <v>-0.04</v>
      </c>
      <c r="AA16" s="3"/>
      <c r="AB16" s="3">
        <v>0.47</v>
      </c>
      <c r="AC16" s="3">
        <v>0.55000000000000004</v>
      </c>
      <c r="AD16" s="3">
        <v>0.82</v>
      </c>
      <c r="AE16" s="3">
        <v>1.47</v>
      </c>
      <c r="AF16" s="3">
        <v>2.08</v>
      </c>
      <c r="AG16" s="3">
        <v>1.1499999999999999</v>
      </c>
      <c r="AH16" s="3">
        <v>0.83</v>
      </c>
      <c r="AI16" s="3">
        <v>0.59</v>
      </c>
      <c r="AJ16" s="27">
        <v>1.33</v>
      </c>
      <c r="AK16" s="3">
        <v>0.83</v>
      </c>
      <c r="AL16" s="3">
        <v>0.48</v>
      </c>
      <c r="AM16" s="3">
        <v>1.63</v>
      </c>
      <c r="AN16" s="3">
        <v>2.81</v>
      </c>
      <c r="AO16" s="3">
        <v>1.85</v>
      </c>
      <c r="AP16" s="3">
        <v>1.2</v>
      </c>
      <c r="AQ16" s="27">
        <v>2.54</v>
      </c>
      <c r="AR16" s="27">
        <v>1.62</v>
      </c>
      <c r="AS16" s="25"/>
      <c r="AT16" s="25"/>
      <c r="AU16" s="25"/>
    </row>
    <row r="17" spans="1:47" x14ac:dyDescent="0.4">
      <c r="A17" s="34"/>
      <c r="B17" s="3" t="s">
        <v>7</v>
      </c>
      <c r="C17" s="3">
        <v>17.04</v>
      </c>
      <c r="D17" s="3">
        <v>17.75</v>
      </c>
      <c r="E17" s="3">
        <v>3.01</v>
      </c>
      <c r="F17" s="3">
        <v>8.5500000000000007</v>
      </c>
      <c r="G17" s="3">
        <v>5.88</v>
      </c>
      <c r="H17" s="3">
        <v>10.39</v>
      </c>
      <c r="I17" s="3">
        <v>12.19</v>
      </c>
      <c r="J17" s="3">
        <v>8.94</v>
      </c>
      <c r="K17" s="3">
        <v>6.81</v>
      </c>
      <c r="L17" s="3">
        <v>5.4</v>
      </c>
      <c r="M17" s="3">
        <v>4.03</v>
      </c>
      <c r="N17" s="3">
        <v>-0.11</v>
      </c>
      <c r="O17" s="3">
        <v>0.61</v>
      </c>
      <c r="P17" s="3">
        <v>-0.54</v>
      </c>
      <c r="Q17" s="3">
        <v>-0.38</v>
      </c>
      <c r="R17" s="3">
        <v>-0.75</v>
      </c>
      <c r="S17" s="3">
        <v>-0.75</v>
      </c>
      <c r="T17" s="3">
        <v>-0.64</v>
      </c>
      <c r="U17" s="3">
        <v>-0.46</v>
      </c>
      <c r="V17" s="3">
        <v>-0.2</v>
      </c>
      <c r="W17" s="3">
        <v>0.8</v>
      </c>
      <c r="X17" s="3">
        <v>-0.32</v>
      </c>
      <c r="Y17" s="3">
        <v>-0.71</v>
      </c>
      <c r="Z17" s="3">
        <v>-0.92</v>
      </c>
      <c r="AA17" s="3"/>
      <c r="AB17" s="3">
        <v>-0.86</v>
      </c>
      <c r="AC17" s="3">
        <v>-0.82</v>
      </c>
      <c r="AD17" s="3">
        <v>-0.54</v>
      </c>
      <c r="AE17" s="3">
        <v>0</v>
      </c>
      <c r="AF17" s="3">
        <v>1.2</v>
      </c>
      <c r="AG17" s="3">
        <v>0.27</v>
      </c>
      <c r="AH17" s="3">
        <v>-0.06</v>
      </c>
      <c r="AI17" s="3">
        <v>-0.31</v>
      </c>
      <c r="AJ17" s="27">
        <v>0.49</v>
      </c>
      <c r="AK17" s="3">
        <v>0.27</v>
      </c>
      <c r="AL17" s="3">
        <v>-0.1</v>
      </c>
      <c r="AM17" s="3">
        <v>0.98</v>
      </c>
      <c r="AN17" s="3">
        <v>2.02</v>
      </c>
      <c r="AO17" s="3">
        <v>1.0900000000000001</v>
      </c>
      <c r="AP17" s="3">
        <v>0.45</v>
      </c>
      <c r="AQ17" s="27">
        <v>1.65</v>
      </c>
      <c r="AR17" s="27">
        <v>0.76</v>
      </c>
      <c r="AS17" s="25"/>
      <c r="AT17" s="25"/>
      <c r="AU17" s="25"/>
    </row>
    <row r="18" spans="1:47" x14ac:dyDescent="0.4">
      <c r="A18" s="34"/>
      <c r="B18" s="3" t="s">
        <v>8</v>
      </c>
      <c r="C18" s="3">
        <v>17.21</v>
      </c>
      <c r="D18" s="3">
        <v>18.079999999999998</v>
      </c>
      <c r="E18" s="3">
        <v>3.08</v>
      </c>
      <c r="F18" s="3">
        <v>8.89</v>
      </c>
      <c r="G18" s="3">
        <v>6.17</v>
      </c>
      <c r="H18" s="3">
        <v>10.67</v>
      </c>
      <c r="I18" s="3">
        <v>12.57</v>
      </c>
      <c r="J18" s="3">
        <v>9.2799999999999994</v>
      </c>
      <c r="K18" s="3">
        <v>7.06</v>
      </c>
      <c r="L18" s="3">
        <v>5.69</v>
      </c>
      <c r="M18" s="3">
        <v>4.17</v>
      </c>
      <c r="N18" s="3">
        <v>-0.48</v>
      </c>
      <c r="O18" s="3">
        <v>0.3</v>
      </c>
      <c r="P18" s="3">
        <v>-0.94</v>
      </c>
      <c r="Q18" s="3">
        <v>-0.79</v>
      </c>
      <c r="R18" s="3">
        <v>-0.95</v>
      </c>
      <c r="S18" s="3">
        <v>-1.1200000000000001</v>
      </c>
      <c r="T18" s="3">
        <v>-1.07</v>
      </c>
      <c r="U18" s="3">
        <v>-0.9</v>
      </c>
      <c r="V18" s="3">
        <v>-0.6</v>
      </c>
      <c r="W18" s="3">
        <v>0.52</v>
      </c>
      <c r="X18" s="3">
        <v>-0.62</v>
      </c>
      <c r="Y18" s="3">
        <v>-1.04</v>
      </c>
      <c r="Z18" s="3">
        <v>-1.22</v>
      </c>
      <c r="AA18" s="3"/>
      <c r="AB18" s="3">
        <v>-1.29</v>
      </c>
      <c r="AC18" s="3">
        <v>-1.24</v>
      </c>
      <c r="AD18" s="3">
        <v>-0.96</v>
      </c>
      <c r="AE18" s="3">
        <v>-0.41</v>
      </c>
      <c r="AF18" s="3">
        <v>0.87</v>
      </c>
      <c r="AG18" s="3">
        <v>-0.1</v>
      </c>
      <c r="AH18" s="3">
        <v>-0.4</v>
      </c>
      <c r="AI18" s="3">
        <v>-0.7</v>
      </c>
      <c r="AJ18" s="27">
        <v>0</v>
      </c>
      <c r="AK18" s="3">
        <v>-0.2</v>
      </c>
      <c r="AL18" s="3">
        <v>-0.54</v>
      </c>
      <c r="AM18" s="3">
        <v>0.61</v>
      </c>
      <c r="AN18" s="3">
        <v>1.59</v>
      </c>
      <c r="AO18" s="3">
        <v>0.74</v>
      </c>
      <c r="AP18" s="3">
        <v>0.12</v>
      </c>
      <c r="AQ18" s="27">
        <v>1.24</v>
      </c>
      <c r="AR18" s="27">
        <v>0.42</v>
      </c>
      <c r="AS18" s="25"/>
      <c r="AT18" s="25"/>
      <c r="AU18" s="25"/>
    </row>
    <row r="19" spans="1:47" x14ac:dyDescent="0.4">
      <c r="A19" s="34"/>
      <c r="B19" s="3" t="s">
        <v>9</v>
      </c>
      <c r="C19" s="3">
        <v>15.87</v>
      </c>
      <c r="D19" s="3">
        <v>30.35</v>
      </c>
      <c r="E19" s="3">
        <v>1.69</v>
      </c>
      <c r="F19" s="3">
        <v>7.88</v>
      </c>
      <c r="G19" s="3">
        <v>5.13</v>
      </c>
      <c r="H19" s="3">
        <v>27.03</v>
      </c>
      <c r="I19" s="3">
        <v>28.81</v>
      </c>
      <c r="J19" s="3">
        <v>30.68</v>
      </c>
      <c r="K19" s="3">
        <v>32.08</v>
      </c>
      <c r="L19" s="3">
        <v>32.68</v>
      </c>
      <c r="M19" s="3">
        <v>31.37</v>
      </c>
      <c r="N19" s="3">
        <v>-2.38</v>
      </c>
      <c r="O19" s="3">
        <v>-1.6</v>
      </c>
      <c r="P19" s="3">
        <v>-2.74</v>
      </c>
      <c r="Q19" s="3">
        <v>-2.61</v>
      </c>
      <c r="R19" s="3">
        <v>28.4</v>
      </c>
      <c r="S19" s="3">
        <v>30.48</v>
      </c>
      <c r="T19" s="3">
        <v>31.56</v>
      </c>
      <c r="U19" s="3">
        <v>32.47</v>
      </c>
      <c r="V19" s="3">
        <v>32.85</v>
      </c>
      <c r="W19" s="3">
        <v>-1.29</v>
      </c>
      <c r="X19" s="3">
        <v>-2.44</v>
      </c>
      <c r="Y19" s="3">
        <v>-2.79</v>
      </c>
      <c r="Z19" s="3">
        <v>-2.99</v>
      </c>
      <c r="AA19" s="3"/>
      <c r="AB19" s="3">
        <v>28.29</v>
      </c>
      <c r="AC19" s="3">
        <v>31.05</v>
      </c>
      <c r="AD19" s="3">
        <v>32.130000000000003</v>
      </c>
      <c r="AE19" s="3">
        <v>32.44</v>
      </c>
      <c r="AF19" s="3">
        <v>-1.03</v>
      </c>
      <c r="AG19" s="3">
        <v>-1.88</v>
      </c>
      <c r="AH19" s="3">
        <v>-2.1800000000000002</v>
      </c>
      <c r="AI19" s="3">
        <v>-2.44</v>
      </c>
      <c r="AJ19" s="27">
        <v>25.76</v>
      </c>
      <c r="AK19" s="3">
        <v>-1.88</v>
      </c>
      <c r="AL19" s="3">
        <v>-2.2000000000000002</v>
      </c>
      <c r="AM19" s="3">
        <v>-1.0900000000000001</v>
      </c>
      <c r="AN19" s="3">
        <v>-0.34</v>
      </c>
      <c r="AO19" s="3">
        <v>-1.1399999999999999</v>
      </c>
      <c r="AP19" s="3">
        <v>-1.67</v>
      </c>
      <c r="AQ19" s="27">
        <v>-0.86</v>
      </c>
      <c r="AR19" s="27">
        <v>-1.59</v>
      </c>
      <c r="AS19" s="25"/>
      <c r="AT19" s="25"/>
      <c r="AU19" s="25"/>
    </row>
    <row r="20" spans="1:47" x14ac:dyDescent="0.4">
      <c r="A20" s="35" t="s">
        <v>46</v>
      </c>
      <c r="B20" s="2" t="s">
        <v>11</v>
      </c>
      <c r="C20" s="9">
        <v>2.8</v>
      </c>
      <c r="D20" s="9">
        <v>2.5</v>
      </c>
      <c r="E20" s="9">
        <v>3.14</v>
      </c>
      <c r="F20" s="9">
        <v>2.97</v>
      </c>
      <c r="G20" s="9">
        <v>3.05</v>
      </c>
      <c r="H20" s="9">
        <v>2.92</v>
      </c>
      <c r="I20" s="9">
        <v>2.9</v>
      </c>
      <c r="J20" s="9">
        <v>2.94</v>
      </c>
      <c r="K20" s="9">
        <v>2.99</v>
      </c>
      <c r="L20" s="9">
        <v>3.02</v>
      </c>
      <c r="M20" s="9">
        <v>3.08</v>
      </c>
      <c r="N20" s="9">
        <v>3.18</v>
      </c>
      <c r="O20" s="9">
        <v>3.24</v>
      </c>
      <c r="P20" s="9">
        <v>3.15</v>
      </c>
      <c r="Q20" s="9">
        <v>3.16</v>
      </c>
      <c r="R20" s="9">
        <v>3.15</v>
      </c>
      <c r="S20" s="9">
        <v>3.13</v>
      </c>
      <c r="T20" s="9">
        <v>3.13</v>
      </c>
      <c r="U20" s="9">
        <v>3.14</v>
      </c>
      <c r="V20" s="9">
        <v>3.16</v>
      </c>
      <c r="W20" s="9">
        <v>3.26</v>
      </c>
      <c r="X20" s="9">
        <v>3.17</v>
      </c>
      <c r="Y20" s="9">
        <v>3.14</v>
      </c>
      <c r="Z20" s="9">
        <v>3.12</v>
      </c>
      <c r="AA20" s="9"/>
      <c r="AB20" s="9">
        <v>3.12</v>
      </c>
      <c r="AC20" s="9">
        <v>3.12</v>
      </c>
      <c r="AD20" s="9">
        <v>3.14</v>
      </c>
      <c r="AE20" s="9">
        <v>3.2</v>
      </c>
      <c r="AF20" s="9">
        <v>3.3</v>
      </c>
      <c r="AG20" s="9">
        <v>3.22</v>
      </c>
      <c r="AH20" s="9">
        <v>3.2</v>
      </c>
      <c r="AI20" s="9">
        <v>3.18</v>
      </c>
      <c r="AJ20" s="9">
        <v>3.25</v>
      </c>
      <c r="AK20" s="9">
        <v>3.21</v>
      </c>
      <c r="AL20" s="9">
        <v>3.18</v>
      </c>
      <c r="AM20" s="9">
        <v>3.27</v>
      </c>
      <c r="AN20" s="9">
        <v>3.37</v>
      </c>
      <c r="AO20" s="9">
        <v>3.29</v>
      </c>
      <c r="AP20" s="9">
        <v>3.25</v>
      </c>
      <c r="AQ20" s="9">
        <v>3.31</v>
      </c>
      <c r="AR20" s="9">
        <v>3.26</v>
      </c>
      <c r="AS20" s="24"/>
      <c r="AT20" s="24"/>
      <c r="AU20" s="24"/>
    </row>
    <row r="21" spans="1:47" x14ac:dyDescent="0.4">
      <c r="A21" s="36"/>
      <c r="B21" s="2" t="s">
        <v>52</v>
      </c>
      <c r="C21" s="9">
        <v>8.18</v>
      </c>
      <c r="D21" s="9">
        <v>8.51</v>
      </c>
      <c r="E21" s="9">
        <v>8.6</v>
      </c>
      <c r="F21" s="9">
        <v>9.0399999999999991</v>
      </c>
      <c r="G21" s="9">
        <v>8.8800000000000008</v>
      </c>
      <c r="H21" s="9">
        <v>9.8000000000000007</v>
      </c>
      <c r="I21" s="9">
        <v>10.01</v>
      </c>
      <c r="J21" s="9">
        <v>9.59</v>
      </c>
      <c r="K21" s="9">
        <v>9.36</v>
      </c>
      <c r="L21" s="9">
        <v>9.1999999999999993</v>
      </c>
      <c r="M21" s="9">
        <v>9.01</v>
      </c>
      <c r="N21" s="9">
        <v>8.81</v>
      </c>
      <c r="O21" s="9">
        <v>8.5399999999999991</v>
      </c>
      <c r="P21" s="9">
        <v>9.0399999999999991</v>
      </c>
      <c r="Q21" s="9">
        <v>8.94</v>
      </c>
      <c r="R21" s="9">
        <v>10.57</v>
      </c>
      <c r="S21" s="9">
        <v>10.039999999999999</v>
      </c>
      <c r="T21" s="9">
        <v>9.6999999999999993</v>
      </c>
      <c r="U21" s="9">
        <v>9.49</v>
      </c>
      <c r="V21" s="9">
        <v>9.36</v>
      </c>
      <c r="W21" s="9">
        <v>8.4600000000000009</v>
      </c>
      <c r="X21" s="9">
        <v>8.74</v>
      </c>
      <c r="Y21" s="9">
        <v>8.93</v>
      </c>
      <c r="Z21" s="9">
        <v>9.07</v>
      </c>
      <c r="AA21" s="9">
        <v>9.1</v>
      </c>
      <c r="AB21" s="9">
        <v>9.68</v>
      </c>
      <c r="AC21" s="9">
        <v>9.51</v>
      </c>
      <c r="AD21" s="9">
        <v>9.42</v>
      </c>
      <c r="AE21" s="9">
        <v>9.61</v>
      </c>
      <c r="AF21" s="9">
        <v>8.51</v>
      </c>
      <c r="AG21" s="9">
        <v>8.76</v>
      </c>
      <c r="AH21" s="9">
        <v>8.9499999999999993</v>
      </c>
      <c r="AI21" s="9">
        <v>9.14</v>
      </c>
      <c r="AJ21" s="9">
        <v>11.48</v>
      </c>
      <c r="AK21" s="9">
        <v>8.83</v>
      </c>
      <c r="AL21" s="9">
        <v>8.9499999999999993</v>
      </c>
      <c r="AM21" s="9">
        <v>8.6</v>
      </c>
      <c r="AN21" s="9">
        <v>8.68</v>
      </c>
      <c r="AO21" s="9">
        <v>8.82</v>
      </c>
      <c r="AP21" s="9">
        <v>9.02</v>
      </c>
      <c r="AQ21" s="9">
        <v>9.2100000000000009</v>
      </c>
      <c r="AR21" s="9">
        <v>9.58</v>
      </c>
      <c r="AS21" s="9"/>
      <c r="AT21" s="9"/>
      <c r="AU21" s="9"/>
    </row>
    <row r="22" spans="1:47" x14ac:dyDescent="0.4">
      <c r="A22" s="36"/>
      <c r="B22" s="2" t="s">
        <v>53</v>
      </c>
      <c r="C22" s="9">
        <v>7.9530000000000003</v>
      </c>
      <c r="D22" s="9">
        <v>8.359</v>
      </c>
      <c r="E22" s="9">
        <v>8.2940000000000005</v>
      </c>
      <c r="F22" s="9">
        <v>8.8149999999999995</v>
      </c>
      <c r="G22" s="9">
        <v>8.6479999999999997</v>
      </c>
      <c r="H22" s="9">
        <v>9.5980000000000008</v>
      </c>
      <c r="I22" s="9">
        <v>9.8350000000000009</v>
      </c>
      <c r="J22" s="9">
        <v>9.3680000000000003</v>
      </c>
      <c r="K22" s="9">
        <v>9.0980000000000008</v>
      </c>
      <c r="L22" s="9">
        <v>8.9009999999999998</v>
      </c>
      <c r="M22" s="9">
        <v>8.6609999999999996</v>
      </c>
      <c r="N22" s="9">
        <v>8.5399999999999991</v>
      </c>
      <c r="O22" s="9">
        <v>8.2210000000000001</v>
      </c>
      <c r="P22" s="9">
        <v>8.8040000000000003</v>
      </c>
      <c r="Q22" s="9">
        <v>8.6720000000000006</v>
      </c>
      <c r="R22" s="9">
        <v>10.318</v>
      </c>
      <c r="S22" s="9">
        <v>9.7490000000000006</v>
      </c>
      <c r="T22" s="9">
        <v>9.3789999999999996</v>
      </c>
      <c r="U22" s="9">
        <v>9.1470000000000002</v>
      </c>
      <c r="V22" s="9">
        <v>8.9879999999999995</v>
      </c>
      <c r="W22" s="9">
        <v>8.1370000000000005</v>
      </c>
      <c r="X22" s="9">
        <v>8.4689999999999994</v>
      </c>
      <c r="Y22" s="9">
        <v>8.702</v>
      </c>
      <c r="Z22" s="9">
        <v>8.8390000000000004</v>
      </c>
      <c r="AA22" s="9"/>
      <c r="AB22" s="9">
        <v>9.3770000000000007</v>
      </c>
      <c r="AC22" s="9">
        <v>9.1880000000000006</v>
      </c>
      <c r="AD22" s="9">
        <v>9.2409999999999997</v>
      </c>
      <c r="AE22" s="9">
        <v>9.2959999999999994</v>
      </c>
      <c r="AF22" s="9">
        <v>8.0860000000000003</v>
      </c>
      <c r="AG22" s="9">
        <v>8.4749999999999996</v>
      </c>
      <c r="AH22" s="9">
        <v>8.6929999999999996</v>
      </c>
      <c r="AI22" s="9">
        <v>8.923</v>
      </c>
      <c r="AJ22" s="9">
        <v>11.276</v>
      </c>
      <c r="AK22" s="9">
        <v>8.58</v>
      </c>
      <c r="AL22" s="9">
        <v>8.7100000000000009</v>
      </c>
      <c r="AM22" s="9">
        <v>8.27</v>
      </c>
      <c r="AN22" s="9">
        <v>8.3290000000000006</v>
      </c>
      <c r="AO22" s="9">
        <v>8.5150000000000006</v>
      </c>
      <c r="AP22" s="9">
        <v>8.8640000000000008</v>
      </c>
      <c r="AQ22" s="9">
        <v>8.8469999999999995</v>
      </c>
      <c r="AR22" s="9">
        <v>9.2899999999999991</v>
      </c>
      <c r="AS22" s="9"/>
      <c r="AT22" s="9"/>
      <c r="AU22" s="9"/>
    </row>
    <row r="23" spans="1:47" x14ac:dyDescent="0.4">
      <c r="A23" s="36"/>
      <c r="B23" s="2" t="s">
        <v>54</v>
      </c>
      <c r="C23" s="9">
        <v>3.6190000000000002</v>
      </c>
      <c r="D23" s="9">
        <v>3.3010000000000002</v>
      </c>
      <c r="E23" s="9">
        <v>3.855</v>
      </c>
      <c r="F23" s="9">
        <v>3.665</v>
      </c>
      <c r="G23" s="9">
        <v>3.7410000000000001</v>
      </c>
      <c r="H23" s="9">
        <v>3.6920000000000002</v>
      </c>
      <c r="I23" s="9">
        <v>3.6320000000000001</v>
      </c>
      <c r="J23" s="9">
        <v>3.7490000000000001</v>
      </c>
      <c r="K23" s="9">
        <v>3.831</v>
      </c>
      <c r="L23" s="9">
        <v>3.883</v>
      </c>
      <c r="M23" s="9">
        <v>4.0069999999999997</v>
      </c>
      <c r="N23" s="9">
        <v>3.82</v>
      </c>
      <c r="O23" s="9">
        <v>3.923</v>
      </c>
      <c r="P23" s="9">
        <v>3.7650000000000001</v>
      </c>
      <c r="Q23" s="9">
        <v>3.7869999999999999</v>
      </c>
      <c r="R23" s="9">
        <v>3.9169999999999998</v>
      </c>
      <c r="S23" s="9">
        <v>3.931</v>
      </c>
      <c r="T23" s="9">
        <v>3.9660000000000002</v>
      </c>
      <c r="U23" s="9">
        <v>4.0039999999999996</v>
      </c>
      <c r="V23" s="9">
        <v>4.0590000000000002</v>
      </c>
      <c r="W23" s="9">
        <v>3.92</v>
      </c>
      <c r="X23" s="9">
        <v>3.798</v>
      </c>
      <c r="Y23" s="9">
        <v>3.738</v>
      </c>
      <c r="Z23" s="9">
        <v>3.7109999999999999</v>
      </c>
      <c r="AA23" s="9"/>
      <c r="AB23" s="9">
        <v>3.9390000000000001</v>
      </c>
      <c r="AC23" s="9">
        <v>3.9580000000000002</v>
      </c>
      <c r="AD23" s="9"/>
      <c r="AE23" s="9">
        <v>4.0419999999999998</v>
      </c>
      <c r="AF23" s="9">
        <v>3.9550000000000001</v>
      </c>
      <c r="AG23" s="9">
        <v>3.8519999999999999</v>
      </c>
      <c r="AH23" s="9">
        <v>3.798</v>
      </c>
      <c r="AI23" s="9">
        <v>3.7709999999999999</v>
      </c>
      <c r="AJ23" s="9">
        <v>3.9340000000000002</v>
      </c>
      <c r="AK23" s="9">
        <v>3.8029999999999999</v>
      </c>
      <c r="AL23" s="9">
        <v>3.7650000000000001</v>
      </c>
      <c r="AM23" s="9">
        <v>3.8769999999999998</v>
      </c>
      <c r="AN23" s="9">
        <v>3.98</v>
      </c>
      <c r="AO23" s="9">
        <v>3.879</v>
      </c>
      <c r="AP23" s="9">
        <v>3.7930000000000001</v>
      </c>
      <c r="AQ23" s="9">
        <v>3.9529999999999998</v>
      </c>
      <c r="AR23" s="9">
        <v>3.847</v>
      </c>
      <c r="AS23" s="9"/>
      <c r="AT23" s="9"/>
      <c r="AU23" s="9"/>
    </row>
    <row r="24" spans="1:47" x14ac:dyDescent="0.4">
      <c r="A24" s="36"/>
      <c r="B24" s="2" t="s">
        <v>88</v>
      </c>
      <c r="C24" s="9">
        <v>3.149</v>
      </c>
      <c r="D24" s="9">
        <v>2.794</v>
      </c>
      <c r="E24" s="9">
        <v>3.4889999999999999</v>
      </c>
      <c r="F24" s="9">
        <v>3.3010000000000002</v>
      </c>
      <c r="G24" s="9">
        <v>3.3860000000000001</v>
      </c>
      <c r="H24" s="9">
        <v>3.2530000000000001</v>
      </c>
      <c r="I24" s="9">
        <v>3.2010000000000001</v>
      </c>
      <c r="J24" s="9">
        <v>3.2770000000000001</v>
      </c>
      <c r="K24" s="9">
        <v>3.3450000000000002</v>
      </c>
      <c r="L24" s="9">
        <v>3.391</v>
      </c>
      <c r="M24" s="9">
        <v>3.472</v>
      </c>
      <c r="N24" s="9">
        <v>3.5049999999999999</v>
      </c>
      <c r="O24" s="9">
        <v>3.5859999999999999</v>
      </c>
      <c r="P24" s="9">
        <v>3.4750000000000001</v>
      </c>
      <c r="Q24" s="9">
        <v>3.4889999999999999</v>
      </c>
      <c r="R24" s="9">
        <v>3.4809999999999999</v>
      </c>
      <c r="S24" s="9">
        <v>3.4860000000000002</v>
      </c>
      <c r="T24" s="9">
        <v>3.4940000000000002</v>
      </c>
      <c r="U24" s="9">
        <v>3.524</v>
      </c>
      <c r="V24" s="9">
        <v>3.5459999999999998</v>
      </c>
      <c r="W24" s="9">
        <v>3.6080000000000001</v>
      </c>
      <c r="X24" s="9">
        <v>3.4940000000000002</v>
      </c>
      <c r="Y24" s="9">
        <v>3.456</v>
      </c>
      <c r="Z24" s="9">
        <v>3.4340000000000002</v>
      </c>
      <c r="AA24" s="9"/>
      <c r="AB24" s="9">
        <v>3.4860000000000002</v>
      </c>
      <c r="AC24" s="9">
        <v>3.4910000000000001</v>
      </c>
      <c r="AD24" s="9">
        <v>3.5209999999999999</v>
      </c>
      <c r="AE24" s="9">
        <v>3.4729999999999999</v>
      </c>
      <c r="AF24" s="9">
        <v>3.6539999999999999</v>
      </c>
      <c r="AG24" s="9">
        <v>3.5510000000000002</v>
      </c>
      <c r="AH24" s="9">
        <v>3.516</v>
      </c>
      <c r="AI24" s="9">
        <v>3.4889999999999999</v>
      </c>
      <c r="AJ24" s="9">
        <v>3.5590000000000002</v>
      </c>
      <c r="AK24" s="9">
        <v>3.5270000000000001</v>
      </c>
      <c r="AL24" s="9">
        <v>3.4940000000000002</v>
      </c>
      <c r="AM24" s="9">
        <v>3.6030000000000002</v>
      </c>
      <c r="AN24" s="9">
        <v>3.7109999999999999</v>
      </c>
      <c r="AO24" s="9">
        <v>3.613</v>
      </c>
      <c r="AP24" s="9">
        <v>3.5670000000000002</v>
      </c>
      <c r="AQ24" s="9">
        <v>3.6869999999999998</v>
      </c>
      <c r="AR24" s="9">
        <v>3.605</v>
      </c>
      <c r="AS24" s="9"/>
      <c r="AT24" s="9"/>
      <c r="AU24" s="9"/>
    </row>
    <row r="25" spans="1:47" s="9" customFormat="1" x14ac:dyDescent="0.4">
      <c r="A25" s="37" t="s">
        <v>50</v>
      </c>
      <c r="B25" s="13" t="s">
        <v>55</v>
      </c>
      <c r="C25" s="13">
        <v>345</v>
      </c>
      <c r="D25" s="13">
        <v>345</v>
      </c>
      <c r="E25" s="13">
        <v>345</v>
      </c>
      <c r="F25" s="13">
        <v>345</v>
      </c>
      <c r="G25" s="13">
        <v>345</v>
      </c>
      <c r="H25" s="13">
        <v>345</v>
      </c>
      <c r="I25" s="13">
        <v>345</v>
      </c>
      <c r="J25" s="13">
        <v>345</v>
      </c>
      <c r="K25" s="13">
        <v>345</v>
      </c>
      <c r="L25" s="13">
        <v>345</v>
      </c>
      <c r="M25" s="13">
        <v>345</v>
      </c>
      <c r="N25" s="13">
        <v>345</v>
      </c>
      <c r="O25" s="13">
        <v>345</v>
      </c>
      <c r="P25" s="13">
        <v>345</v>
      </c>
      <c r="Q25" s="13">
        <v>345</v>
      </c>
      <c r="R25" s="13">
        <v>345</v>
      </c>
      <c r="S25" s="13">
        <v>345</v>
      </c>
      <c r="T25" s="13">
        <v>345</v>
      </c>
      <c r="U25" s="13">
        <v>345</v>
      </c>
      <c r="V25" s="13">
        <v>345</v>
      </c>
      <c r="W25" s="13">
        <v>345</v>
      </c>
      <c r="X25" s="13">
        <v>345</v>
      </c>
      <c r="Y25" s="13">
        <v>345</v>
      </c>
      <c r="Z25" s="13">
        <v>345</v>
      </c>
      <c r="AA25" s="13">
        <v>345</v>
      </c>
      <c r="AB25" s="13">
        <v>345</v>
      </c>
      <c r="AC25" s="13">
        <v>345</v>
      </c>
      <c r="AD25" s="13">
        <v>345</v>
      </c>
      <c r="AE25" s="13">
        <v>345</v>
      </c>
      <c r="AF25" s="13">
        <v>345</v>
      </c>
      <c r="AG25" s="13">
        <v>345</v>
      </c>
      <c r="AH25" s="13">
        <v>345</v>
      </c>
      <c r="AI25" s="13">
        <v>345</v>
      </c>
      <c r="AJ25" s="13">
        <v>345</v>
      </c>
      <c r="AK25" s="13">
        <v>345</v>
      </c>
      <c r="AL25" s="13">
        <v>345</v>
      </c>
      <c r="AM25" s="13">
        <v>345</v>
      </c>
      <c r="AN25" s="13">
        <v>345</v>
      </c>
      <c r="AO25" s="13">
        <v>345</v>
      </c>
      <c r="AP25" s="13">
        <v>345</v>
      </c>
      <c r="AQ25" s="13">
        <v>345</v>
      </c>
      <c r="AR25" s="13">
        <v>345</v>
      </c>
      <c r="AS25" s="13"/>
      <c r="AT25" s="13"/>
      <c r="AU25" s="13"/>
    </row>
    <row r="26" spans="1:47" x14ac:dyDescent="0.4">
      <c r="A26" s="37"/>
      <c r="B26" s="13" t="s">
        <v>56</v>
      </c>
      <c r="C26" s="13">
        <v>6.8</v>
      </c>
      <c r="D26" s="13">
        <v>7</v>
      </c>
      <c r="E26" s="13">
        <v>7.2</v>
      </c>
      <c r="F26" s="13">
        <v>7.5</v>
      </c>
      <c r="G26" s="13">
        <v>7.4</v>
      </c>
      <c r="H26" s="13">
        <v>8.1999999999999993</v>
      </c>
      <c r="I26" s="13">
        <v>8.3000000000000007</v>
      </c>
      <c r="J26" s="13">
        <v>8</v>
      </c>
      <c r="K26" s="13">
        <v>7.8</v>
      </c>
      <c r="L26" s="13">
        <v>7.7</v>
      </c>
      <c r="M26" s="13">
        <v>7.6</v>
      </c>
      <c r="N26" s="13">
        <v>7.3</v>
      </c>
      <c r="O26" s="13">
        <v>7.1</v>
      </c>
      <c r="P26" s="13">
        <v>7.5</v>
      </c>
      <c r="Q26" s="13">
        <v>7.4</v>
      </c>
      <c r="R26" s="13">
        <v>8.9</v>
      </c>
      <c r="S26" s="13">
        <v>8.4</v>
      </c>
      <c r="T26" s="13">
        <v>8.1</v>
      </c>
      <c r="U26" s="13">
        <v>8</v>
      </c>
      <c r="V26" s="13">
        <v>7.9</v>
      </c>
      <c r="W26" s="13">
        <v>7</v>
      </c>
      <c r="X26" s="13">
        <v>7.3</v>
      </c>
      <c r="Y26" s="13">
        <v>7.4</v>
      </c>
      <c r="Z26" s="13">
        <v>7.5</v>
      </c>
      <c r="AA26" s="13"/>
      <c r="AB26" s="13">
        <v>8.1</v>
      </c>
      <c r="AC26" s="13">
        <v>7.95</v>
      </c>
      <c r="AD26" s="13">
        <v>7.9</v>
      </c>
      <c r="AE26" s="13">
        <v>8</v>
      </c>
      <c r="AF26" s="13">
        <v>7</v>
      </c>
      <c r="AG26" s="13">
        <v>7.3</v>
      </c>
      <c r="AH26" s="13">
        <v>7.4</v>
      </c>
      <c r="AI26" s="13">
        <v>7.6</v>
      </c>
      <c r="AJ26" s="13">
        <v>9.6</v>
      </c>
      <c r="AK26" s="13">
        <v>7.3</v>
      </c>
      <c r="AL26" s="13">
        <v>7.4</v>
      </c>
      <c r="AM26" s="13">
        <v>7.1</v>
      </c>
      <c r="AN26" s="13">
        <v>7.2</v>
      </c>
      <c r="AO26" s="13">
        <v>7.3</v>
      </c>
      <c r="AP26" s="13">
        <v>7.5</v>
      </c>
      <c r="AQ26" s="13">
        <v>7.7</v>
      </c>
      <c r="AR26" s="13">
        <v>8</v>
      </c>
      <c r="AS26" s="13"/>
      <c r="AT26" s="13"/>
      <c r="AU26" s="13"/>
    </row>
    <row r="27" spans="1:47" s="7" customFormat="1" x14ac:dyDescent="0.4">
      <c r="A27" s="37"/>
      <c r="B27" s="13" t="s">
        <v>47</v>
      </c>
      <c r="C27" s="13">
        <v>400</v>
      </c>
      <c r="D27" s="13">
        <v>400</v>
      </c>
      <c r="E27" s="13">
        <v>500</v>
      </c>
      <c r="F27" s="13">
        <v>500</v>
      </c>
      <c r="G27" s="13">
        <v>500</v>
      </c>
      <c r="H27" s="13">
        <v>500</v>
      </c>
      <c r="I27" s="13">
        <v>500</v>
      </c>
      <c r="J27" s="13">
        <v>500</v>
      </c>
      <c r="K27" s="13">
        <v>500</v>
      </c>
      <c r="L27" s="13">
        <v>500</v>
      </c>
      <c r="M27" s="13">
        <v>500</v>
      </c>
      <c r="N27" s="13">
        <v>600</v>
      </c>
      <c r="O27" s="13">
        <v>600</v>
      </c>
      <c r="P27" s="13">
        <v>600</v>
      </c>
      <c r="Q27" s="13">
        <v>600</v>
      </c>
      <c r="R27" s="13">
        <v>600</v>
      </c>
      <c r="S27" s="13">
        <v>600</v>
      </c>
      <c r="T27" s="13">
        <v>600</v>
      </c>
      <c r="U27" s="13">
        <v>600</v>
      </c>
      <c r="V27" s="13">
        <v>600</v>
      </c>
      <c r="W27" s="13">
        <v>700</v>
      </c>
      <c r="X27" s="13">
        <v>700</v>
      </c>
      <c r="Y27" s="13">
        <v>700</v>
      </c>
      <c r="Z27" s="13">
        <v>700</v>
      </c>
      <c r="AA27" s="15">
        <v>700</v>
      </c>
      <c r="AB27" s="15">
        <v>700</v>
      </c>
      <c r="AC27" s="15">
        <v>700</v>
      </c>
      <c r="AD27" s="15">
        <v>700</v>
      </c>
      <c r="AE27" s="15" t="s">
        <v>106</v>
      </c>
      <c r="AF27" s="15">
        <v>800</v>
      </c>
      <c r="AG27" s="15">
        <v>800</v>
      </c>
      <c r="AH27" s="15">
        <v>800</v>
      </c>
      <c r="AI27" s="15">
        <v>800</v>
      </c>
      <c r="AJ27" s="15">
        <v>800</v>
      </c>
      <c r="AK27" s="15">
        <v>900</v>
      </c>
      <c r="AL27" s="15">
        <v>900</v>
      </c>
      <c r="AM27" s="15">
        <v>900</v>
      </c>
      <c r="AN27" s="15">
        <v>1000</v>
      </c>
      <c r="AO27" s="15">
        <v>1000</v>
      </c>
      <c r="AP27" s="15">
        <v>1000</v>
      </c>
      <c r="AQ27" s="15">
        <v>1100</v>
      </c>
      <c r="AR27" s="15">
        <v>1100</v>
      </c>
      <c r="AS27" s="15"/>
      <c r="AT27" s="15"/>
      <c r="AU27" s="15"/>
    </row>
    <row r="28" spans="1:47" s="6" customFormat="1" x14ac:dyDescent="0.4">
      <c r="A28" s="37"/>
      <c r="B28" s="13" t="s">
        <v>57</v>
      </c>
      <c r="C28" s="13">
        <v>5000</v>
      </c>
      <c r="D28" s="13">
        <v>5000</v>
      </c>
      <c r="E28" s="13">
        <v>5000</v>
      </c>
      <c r="F28" s="13">
        <v>5000</v>
      </c>
      <c r="G28" s="13">
        <v>5000</v>
      </c>
      <c r="H28" s="13">
        <v>5000</v>
      </c>
      <c r="I28" s="13">
        <v>5000</v>
      </c>
      <c r="J28" s="13">
        <v>5000</v>
      </c>
      <c r="K28" s="13">
        <v>5000</v>
      </c>
      <c r="L28" s="13">
        <v>5000</v>
      </c>
      <c r="M28" s="13">
        <v>5000</v>
      </c>
      <c r="N28" s="13">
        <v>5000</v>
      </c>
      <c r="O28" s="13">
        <v>5000</v>
      </c>
      <c r="P28" s="13">
        <v>5000</v>
      </c>
      <c r="Q28" s="13">
        <v>5000</v>
      </c>
      <c r="R28" s="13">
        <v>5000</v>
      </c>
      <c r="S28" s="13">
        <v>5000</v>
      </c>
      <c r="T28" s="13">
        <v>5000</v>
      </c>
      <c r="U28" s="13">
        <v>5000</v>
      </c>
      <c r="V28" s="13">
        <v>5000</v>
      </c>
      <c r="W28" s="13">
        <v>5000</v>
      </c>
      <c r="X28" s="13">
        <v>5000</v>
      </c>
      <c r="Y28" s="13">
        <v>5000</v>
      </c>
      <c r="Z28" s="13">
        <v>5000</v>
      </c>
      <c r="AA28" s="13">
        <v>5000</v>
      </c>
      <c r="AB28" s="13">
        <v>5000</v>
      </c>
      <c r="AC28" s="13">
        <v>5000</v>
      </c>
      <c r="AD28" s="13">
        <v>5000</v>
      </c>
      <c r="AE28" s="13">
        <v>5000</v>
      </c>
      <c r="AF28" s="13">
        <v>5000</v>
      </c>
      <c r="AG28" s="13">
        <v>5000</v>
      </c>
      <c r="AH28" s="13">
        <v>5000</v>
      </c>
      <c r="AI28" s="13">
        <v>5000</v>
      </c>
      <c r="AJ28" s="13">
        <v>5000</v>
      </c>
      <c r="AK28" s="13">
        <v>5000</v>
      </c>
      <c r="AL28" s="13">
        <v>5000</v>
      </c>
      <c r="AM28" s="13">
        <v>5000</v>
      </c>
      <c r="AN28" s="13">
        <v>5000</v>
      </c>
      <c r="AO28" s="13">
        <v>5000</v>
      </c>
      <c r="AP28" s="13">
        <v>5000</v>
      </c>
      <c r="AQ28" s="13">
        <v>5000</v>
      </c>
      <c r="AR28" s="13">
        <v>5000</v>
      </c>
      <c r="AS28" s="13"/>
      <c r="AT28" s="13"/>
      <c r="AU28" s="13"/>
    </row>
    <row r="29" spans="1:47" x14ac:dyDescent="0.4">
      <c r="A29" s="37"/>
      <c r="B29" s="13" t="s">
        <v>58</v>
      </c>
      <c r="C29" s="13">
        <v>380</v>
      </c>
      <c r="D29" s="13">
        <v>285</v>
      </c>
      <c r="E29" s="13">
        <v>300</v>
      </c>
      <c r="F29" s="13">
        <v>270</v>
      </c>
      <c r="G29" s="13">
        <v>275</v>
      </c>
      <c r="H29" s="13">
        <v>275</v>
      </c>
      <c r="I29" s="13">
        <v>270</v>
      </c>
      <c r="J29" s="13">
        <v>280</v>
      </c>
      <c r="K29" s="13">
        <v>330</v>
      </c>
      <c r="L29" s="13">
        <v>400</v>
      </c>
      <c r="M29" s="13">
        <v>530</v>
      </c>
      <c r="N29" s="13">
        <v>275</v>
      </c>
      <c r="O29" s="13">
        <v>300</v>
      </c>
      <c r="P29" s="13">
        <v>270</v>
      </c>
      <c r="Q29" s="13">
        <v>272</v>
      </c>
      <c r="R29" s="13">
        <v>275</v>
      </c>
      <c r="S29" s="13">
        <v>310</v>
      </c>
      <c r="T29" s="13">
        <v>380</v>
      </c>
      <c r="U29" s="13">
        <v>430</v>
      </c>
      <c r="V29" s="13">
        <v>500</v>
      </c>
      <c r="W29" s="13">
        <v>330</v>
      </c>
      <c r="X29" s="13">
        <v>275</v>
      </c>
      <c r="Y29" s="13">
        <v>270</v>
      </c>
      <c r="Z29" s="13">
        <v>268</v>
      </c>
      <c r="AA29" s="13"/>
      <c r="AB29" s="13">
        <v>375</v>
      </c>
      <c r="AC29" s="13"/>
      <c r="AD29" s="13"/>
      <c r="AE29" s="13"/>
      <c r="AF29" s="13">
        <v>300</v>
      </c>
      <c r="AG29" s="13">
        <v>275</v>
      </c>
      <c r="AH29" s="13">
        <v>271</v>
      </c>
      <c r="AI29" s="13">
        <v>268</v>
      </c>
      <c r="AJ29" s="13">
        <v>271</v>
      </c>
      <c r="AK29" s="13">
        <v>271</v>
      </c>
      <c r="AL29" s="13">
        <v>268</v>
      </c>
      <c r="AM29" s="13">
        <v>278</v>
      </c>
      <c r="AN29" s="13">
        <v>278</v>
      </c>
      <c r="AO29" s="13">
        <v>273</v>
      </c>
      <c r="AP29" s="13">
        <v>269</v>
      </c>
      <c r="AQ29" s="13">
        <v>276</v>
      </c>
      <c r="AR29" s="13">
        <v>270</v>
      </c>
      <c r="AS29" s="13"/>
      <c r="AT29" s="13"/>
      <c r="AU29" s="13"/>
    </row>
    <row r="30" spans="1:47" ht="16.149999999999999" x14ac:dyDescent="0.4">
      <c r="A30" s="37"/>
      <c r="B30" s="13" t="s">
        <v>59</v>
      </c>
      <c r="C30" s="13">
        <v>95.4</v>
      </c>
      <c r="D30" s="13">
        <v>85.2</v>
      </c>
      <c r="E30" s="13">
        <v>115.3</v>
      </c>
      <c r="F30" s="13">
        <v>102.1</v>
      </c>
      <c r="G30" s="13">
        <v>106.5</v>
      </c>
      <c r="H30" s="13">
        <v>106.6</v>
      </c>
      <c r="I30" s="13">
        <v>100.8</v>
      </c>
      <c r="J30" s="13">
        <v>110.9</v>
      </c>
      <c r="K30" s="13">
        <v>118.3</v>
      </c>
      <c r="L30" s="13">
        <v>123.8</v>
      </c>
      <c r="M30" s="13">
        <v>132.4</v>
      </c>
      <c r="N30" s="13">
        <v>115.1</v>
      </c>
      <c r="O30" s="13">
        <v>119.7</v>
      </c>
      <c r="P30" s="13">
        <v>113.1</v>
      </c>
      <c r="Q30" s="13">
        <v>113.4</v>
      </c>
      <c r="R30" s="13">
        <v>132.30000000000001</v>
      </c>
      <c r="S30" s="13">
        <v>136.30000000000001</v>
      </c>
      <c r="T30" s="13">
        <v>139.1</v>
      </c>
      <c r="U30" s="13">
        <v>141.19999999999999</v>
      </c>
      <c r="V30" s="13">
        <v>143.6</v>
      </c>
      <c r="W30" s="13">
        <v>119.1</v>
      </c>
      <c r="X30" s="13">
        <v>113.9</v>
      </c>
      <c r="Y30" s="13">
        <v>112</v>
      </c>
      <c r="Z30" s="13">
        <v>110.4</v>
      </c>
      <c r="AA30" s="13"/>
      <c r="AB30" s="13">
        <v>136.5</v>
      </c>
      <c r="AC30" s="13">
        <v>137.80000000000001</v>
      </c>
      <c r="AD30" s="13">
        <v>139.6</v>
      </c>
      <c r="AE30" s="13">
        <v>143.69999999999999</v>
      </c>
      <c r="AF30" s="13">
        <v>121.3</v>
      </c>
      <c r="AG30" s="13">
        <v>116.1</v>
      </c>
      <c r="AH30" s="13">
        <v>113.6</v>
      </c>
      <c r="AI30" s="13">
        <v>112.2</v>
      </c>
      <c r="AJ30" s="13">
        <v>126.8</v>
      </c>
      <c r="AK30" s="13">
        <v>113.5</v>
      </c>
      <c r="AL30" s="13">
        <v>112</v>
      </c>
      <c r="AM30" s="13">
        <v>118.3</v>
      </c>
      <c r="AN30" s="13">
        <v>133.6</v>
      </c>
      <c r="AO30" s="13">
        <v>126.5</v>
      </c>
      <c r="AP30" s="13">
        <v>120.1</v>
      </c>
      <c r="AQ30" s="13">
        <v>148.19999999999999</v>
      </c>
      <c r="AR30" s="13">
        <v>137.19999999999999</v>
      </c>
      <c r="AS30" s="13"/>
      <c r="AT30" s="13"/>
      <c r="AU30" s="13"/>
    </row>
    <row r="31" spans="1:47" ht="16.149999999999999" x14ac:dyDescent="0.4">
      <c r="A31" s="37"/>
      <c r="B31" s="13" t="s">
        <v>60</v>
      </c>
      <c r="C31" s="13">
        <v>478.35300000000001</v>
      </c>
      <c r="D31" s="13">
        <v>478.74900000000002</v>
      </c>
      <c r="E31" s="13">
        <v>473.94200000000001</v>
      </c>
      <c r="F31" s="13">
        <v>476.31200000000001</v>
      </c>
      <c r="G31" s="13">
        <v>474.774</v>
      </c>
      <c r="H31" s="13">
        <v>475.04500000000002</v>
      </c>
      <c r="I31" s="13">
        <v>475.31700000000001</v>
      </c>
      <c r="J31" s="13">
        <v>476.48700000000002</v>
      </c>
      <c r="K31" s="13">
        <v>475.27</v>
      </c>
      <c r="L31" s="13">
        <v>473.86599999999999</v>
      </c>
      <c r="M31" s="13">
        <v>475.86799999999999</v>
      </c>
      <c r="N31" s="13">
        <v>475.09300000000002</v>
      </c>
      <c r="O31" s="13">
        <v>476.791</v>
      </c>
      <c r="P31" s="13">
        <v>477.74799999999999</v>
      </c>
      <c r="Q31" s="13">
        <v>477.87299999999999</v>
      </c>
      <c r="R31" s="13">
        <v>479.42500000000001</v>
      </c>
      <c r="S31" s="13">
        <v>478.14400000000001</v>
      </c>
      <c r="T31" s="13">
        <v>478.31099999999998</v>
      </c>
      <c r="U31" s="13">
        <v>478.43900000000002</v>
      </c>
      <c r="V31" s="13">
        <v>480.14</v>
      </c>
      <c r="W31" s="13">
        <v>478.58699999999999</v>
      </c>
      <c r="X31" s="13">
        <v>478.14299999999997</v>
      </c>
      <c r="Y31" s="13">
        <v>479.28100000000001</v>
      </c>
      <c r="Z31" s="13">
        <v>477.673</v>
      </c>
      <c r="AA31" s="13"/>
      <c r="AB31" s="13">
        <v>479.726</v>
      </c>
      <c r="AC31" s="13">
        <v>479.74799999999999</v>
      </c>
      <c r="AD31" s="13">
        <v>478.435</v>
      </c>
      <c r="AE31" s="13">
        <v>479.93099999999998</v>
      </c>
      <c r="AF31" s="13">
        <v>480.98700000000002</v>
      </c>
      <c r="AG31" s="13">
        <v>479.19299999999998</v>
      </c>
      <c r="AH31" s="13">
        <v>480.471</v>
      </c>
      <c r="AI31" s="13">
        <v>480.392</v>
      </c>
      <c r="AJ31" s="13">
        <v>478.553</v>
      </c>
      <c r="AK31" s="13">
        <v>478.36900000000003</v>
      </c>
      <c r="AL31" s="13">
        <v>478.31299999999999</v>
      </c>
      <c r="AM31" s="13">
        <v>479.02</v>
      </c>
      <c r="AN31" s="13">
        <v>480.71199999999999</v>
      </c>
      <c r="AO31" s="13">
        <v>480.53500000000003</v>
      </c>
      <c r="AP31" s="13">
        <v>478.93099999999998</v>
      </c>
      <c r="AQ31" s="13">
        <v>480.529</v>
      </c>
      <c r="AR31" s="13">
        <v>478.97300000000001</v>
      </c>
      <c r="AS31" s="13"/>
      <c r="AT31" s="13"/>
      <c r="AU31" s="13"/>
    </row>
    <row r="32" spans="1:47" x14ac:dyDescent="0.4">
      <c r="A32" s="37"/>
      <c r="B32" s="13" t="s">
        <v>61</v>
      </c>
      <c r="C32" s="13">
        <v>4506.42</v>
      </c>
      <c r="D32" s="13">
        <v>4517.79</v>
      </c>
      <c r="E32" s="13">
        <v>4510.54</v>
      </c>
      <c r="F32" s="13">
        <v>4504.99</v>
      </c>
      <c r="G32" s="13">
        <v>4518.0200000000004</v>
      </c>
      <c r="H32" s="13">
        <v>4513.79</v>
      </c>
      <c r="I32" s="13">
        <v>4502.38</v>
      </c>
      <c r="J32" s="13">
        <v>4507.2299999999996</v>
      </c>
      <c r="K32" s="13">
        <v>4509.76</v>
      </c>
      <c r="L32" s="13">
        <v>4513.95</v>
      </c>
      <c r="M32" s="13">
        <v>4505.57</v>
      </c>
      <c r="N32" s="13">
        <v>4518.3900000000003</v>
      </c>
      <c r="O32" s="13">
        <v>4515.91</v>
      </c>
      <c r="P32" s="13">
        <v>4519.05</v>
      </c>
      <c r="Q32" s="13">
        <v>4514.7299999999996</v>
      </c>
      <c r="R32" s="13">
        <v>4501.74</v>
      </c>
      <c r="S32" s="13">
        <v>4518.3500000000004</v>
      </c>
      <c r="T32" s="13">
        <v>4513.07</v>
      </c>
      <c r="U32" s="13">
        <v>4512.16</v>
      </c>
      <c r="V32" s="13">
        <v>4504.1400000000003</v>
      </c>
      <c r="W32" s="13">
        <v>4516.84</v>
      </c>
      <c r="X32" s="13">
        <v>4512.1899999999996</v>
      </c>
      <c r="Y32" s="13">
        <v>4523.67</v>
      </c>
      <c r="Z32" s="13">
        <v>4495.72</v>
      </c>
      <c r="AA32" s="13"/>
      <c r="AB32" s="13">
        <v>4491.8100000000004</v>
      </c>
      <c r="AC32" s="13">
        <v>4495.2</v>
      </c>
      <c r="AD32" s="13">
        <v>4485.84</v>
      </c>
      <c r="AE32" s="13">
        <v>4491.9399999999996</v>
      </c>
      <c r="AF32" s="13">
        <v>4486.24</v>
      </c>
      <c r="AG32" s="13">
        <v>4490.24</v>
      </c>
      <c r="AH32" s="13">
        <v>4490.08</v>
      </c>
      <c r="AI32" s="13">
        <v>4495.7700000000004</v>
      </c>
      <c r="AJ32" s="13">
        <v>4480.09</v>
      </c>
      <c r="AK32" s="13">
        <v>4482.1400000000003</v>
      </c>
      <c r="AL32" s="13">
        <v>4481.88</v>
      </c>
      <c r="AM32" s="13">
        <v>4472.29</v>
      </c>
      <c r="AN32" s="13">
        <v>4493.16</v>
      </c>
      <c r="AO32" s="13">
        <v>4488.32</v>
      </c>
      <c r="AP32" s="13">
        <v>4494.8900000000003</v>
      </c>
      <c r="AQ32" s="13">
        <v>4487.79</v>
      </c>
      <c r="AR32" s="13">
        <v>4492.45</v>
      </c>
      <c r="AS32" s="13"/>
      <c r="AT32" s="13"/>
      <c r="AU32" s="13"/>
    </row>
    <row r="33" spans="1:47" x14ac:dyDescent="0.4">
      <c r="A33" s="37"/>
      <c r="B33" s="13" t="s">
        <v>62</v>
      </c>
      <c r="C33" s="13">
        <v>3978</v>
      </c>
      <c r="D33" s="13">
        <v>3704.28</v>
      </c>
      <c r="E33" s="13">
        <v>4603.03</v>
      </c>
      <c r="F33" s="13">
        <v>4817</v>
      </c>
      <c r="G33" s="13">
        <v>4818.25</v>
      </c>
      <c r="H33" s="13">
        <v>4618.7299999999996</v>
      </c>
      <c r="I33" s="13">
        <v>4580.6400000000003</v>
      </c>
      <c r="J33" s="13">
        <v>4675.7700000000004</v>
      </c>
      <c r="K33" s="13">
        <v>4625.49</v>
      </c>
      <c r="L33" s="13">
        <v>4567.78</v>
      </c>
      <c r="M33" s="13">
        <v>4434.3500000000004</v>
      </c>
      <c r="N33" s="13">
        <v>4842.6499999999996</v>
      </c>
      <c r="O33" s="13">
        <v>4670.62</v>
      </c>
      <c r="P33" s="13">
        <v>4945.8100000000004</v>
      </c>
      <c r="Q33" s="13">
        <v>4932.0200000000004</v>
      </c>
      <c r="R33" s="13">
        <v>4812.04</v>
      </c>
      <c r="S33" s="13">
        <v>4774.46</v>
      </c>
      <c r="T33" s="13">
        <v>4688.6000000000004</v>
      </c>
      <c r="U33" s="13">
        <v>4646.49</v>
      </c>
      <c r="V33" s="13">
        <v>4553.25</v>
      </c>
      <c r="W33" s="13">
        <v>4584.8</v>
      </c>
      <c r="X33" s="13">
        <v>4800.47</v>
      </c>
      <c r="Y33" s="13">
        <v>4913.42</v>
      </c>
      <c r="Z33" s="13">
        <v>4939.53</v>
      </c>
      <c r="AA33" s="13">
        <v>5000.57</v>
      </c>
      <c r="AB33" s="13">
        <v>4665.05</v>
      </c>
      <c r="AC33" s="13">
        <v>4624.49</v>
      </c>
      <c r="AD33" s="13">
        <v>4553.16</v>
      </c>
      <c r="AE33" s="13">
        <v>4510.7</v>
      </c>
      <c r="AF33" s="13">
        <v>4655.42</v>
      </c>
      <c r="AG33" s="13">
        <v>4843.1899999999996</v>
      </c>
      <c r="AH33" s="13">
        <v>4953.37</v>
      </c>
      <c r="AI33" s="13">
        <v>5005.28</v>
      </c>
      <c r="AJ33" s="13">
        <v>4748.78</v>
      </c>
      <c r="AK33" s="13">
        <v>4861</v>
      </c>
      <c r="AL33" s="13">
        <v>4880</v>
      </c>
      <c r="AM33" s="13">
        <v>4693.3900000000003</v>
      </c>
      <c r="AN33" s="13">
        <v>4571.2299999999996</v>
      </c>
      <c r="AO33" s="13">
        <v>4660.4799999999996</v>
      </c>
      <c r="AP33" s="13">
        <v>4746.9399999999996</v>
      </c>
      <c r="AQ33" s="13">
        <v>4764.2700000000004</v>
      </c>
      <c r="AR33" s="13">
        <v>4782.08</v>
      </c>
      <c r="AS33" s="13"/>
      <c r="AT33" s="13"/>
      <c r="AU33" s="13"/>
    </row>
    <row r="34" spans="1:47" x14ac:dyDescent="0.4">
      <c r="A34" s="37"/>
      <c r="B34" s="13" t="s">
        <v>63</v>
      </c>
      <c r="C34" s="13">
        <f t="shared" ref="C34:Z34" si="0">C25*C26</f>
        <v>2346</v>
      </c>
      <c r="D34" s="13">
        <f t="shared" si="0"/>
        <v>2415</v>
      </c>
      <c r="E34" s="13">
        <f t="shared" si="0"/>
        <v>2484</v>
      </c>
      <c r="F34" s="13">
        <f t="shared" si="0"/>
        <v>2587.5</v>
      </c>
      <c r="G34" s="13">
        <f t="shared" si="0"/>
        <v>2553</v>
      </c>
      <c r="H34" s="13">
        <f t="shared" si="0"/>
        <v>2828.9999999999995</v>
      </c>
      <c r="I34" s="13">
        <f t="shared" si="0"/>
        <v>2863.5000000000005</v>
      </c>
      <c r="J34" s="13">
        <f t="shared" si="0"/>
        <v>2760</v>
      </c>
      <c r="K34" s="13">
        <f t="shared" si="0"/>
        <v>2691</v>
      </c>
      <c r="L34" s="13">
        <f t="shared" si="0"/>
        <v>2656.5</v>
      </c>
      <c r="M34" s="13">
        <f t="shared" si="0"/>
        <v>2622</v>
      </c>
      <c r="N34" s="13">
        <f t="shared" si="0"/>
        <v>2518.5</v>
      </c>
      <c r="O34" s="13">
        <f t="shared" si="0"/>
        <v>2449.5</v>
      </c>
      <c r="P34" s="13">
        <f t="shared" si="0"/>
        <v>2587.5</v>
      </c>
      <c r="Q34" s="13">
        <f t="shared" si="0"/>
        <v>2553</v>
      </c>
      <c r="R34" s="13">
        <f t="shared" si="0"/>
        <v>3070.5</v>
      </c>
      <c r="S34" s="13">
        <f t="shared" si="0"/>
        <v>2898</v>
      </c>
      <c r="T34" s="13">
        <f t="shared" si="0"/>
        <v>2794.5</v>
      </c>
      <c r="U34" s="13">
        <f t="shared" si="0"/>
        <v>2760</v>
      </c>
      <c r="V34" s="13">
        <f t="shared" si="0"/>
        <v>2725.5</v>
      </c>
      <c r="W34" s="13">
        <f t="shared" si="0"/>
        <v>2415</v>
      </c>
      <c r="X34" s="13">
        <f t="shared" si="0"/>
        <v>2518.5</v>
      </c>
      <c r="Y34" s="13">
        <f t="shared" si="0"/>
        <v>2553</v>
      </c>
      <c r="Z34" s="13">
        <f t="shared" si="0"/>
        <v>2587.5</v>
      </c>
      <c r="AA34" s="13"/>
      <c r="AB34" s="13">
        <f t="shared" ref="AB34:AR34" si="1">AB25*AB26</f>
        <v>2794.5</v>
      </c>
      <c r="AC34" s="13">
        <f t="shared" si="1"/>
        <v>2742.75</v>
      </c>
      <c r="AD34" s="13">
        <f t="shared" si="1"/>
        <v>2725.5</v>
      </c>
      <c r="AE34" s="13">
        <f t="shared" si="1"/>
        <v>2760</v>
      </c>
      <c r="AF34" s="13">
        <f t="shared" si="1"/>
        <v>2415</v>
      </c>
      <c r="AG34" s="13">
        <f t="shared" si="1"/>
        <v>2518.5</v>
      </c>
      <c r="AH34" s="13">
        <f t="shared" si="1"/>
        <v>2553</v>
      </c>
      <c r="AI34" s="13">
        <f t="shared" si="1"/>
        <v>2622</v>
      </c>
      <c r="AJ34" s="13">
        <f t="shared" si="1"/>
        <v>3312</v>
      </c>
      <c r="AK34" s="13">
        <f t="shared" si="1"/>
        <v>2518.5</v>
      </c>
      <c r="AL34" s="13">
        <f t="shared" si="1"/>
        <v>2553</v>
      </c>
      <c r="AM34" s="13">
        <f t="shared" si="1"/>
        <v>2449.5</v>
      </c>
      <c r="AN34" s="13">
        <f t="shared" si="1"/>
        <v>2484</v>
      </c>
      <c r="AO34" s="13">
        <f t="shared" si="1"/>
        <v>2518.5</v>
      </c>
      <c r="AP34" s="13">
        <f t="shared" si="1"/>
        <v>2587.5</v>
      </c>
      <c r="AQ34" s="13">
        <f t="shared" si="1"/>
        <v>2656.5</v>
      </c>
      <c r="AR34" s="13">
        <f t="shared" si="1"/>
        <v>2760</v>
      </c>
      <c r="AS34" s="13"/>
      <c r="AT34" s="13"/>
      <c r="AU34" s="13"/>
    </row>
    <row r="35" spans="1:47" s="7" customFormat="1" x14ac:dyDescent="0.4">
      <c r="A35" s="37"/>
      <c r="B35" s="13" t="s">
        <v>64</v>
      </c>
      <c r="C35" s="13">
        <f t="shared" ref="C35:Z35" si="2">C33/C34</f>
        <v>1.6956521739130435</v>
      </c>
      <c r="D35" s="13">
        <f t="shared" si="2"/>
        <v>1.5338633540372673</v>
      </c>
      <c r="E35" s="13">
        <f t="shared" si="2"/>
        <v>1.8530716586151368</v>
      </c>
      <c r="F35" s="13">
        <f t="shared" si="2"/>
        <v>1.8616425120772946</v>
      </c>
      <c r="G35" s="13">
        <f t="shared" si="2"/>
        <v>1.8872894633764199</v>
      </c>
      <c r="H35" s="13">
        <f t="shared" si="2"/>
        <v>1.6326369741958291</v>
      </c>
      <c r="I35" s="13">
        <f t="shared" si="2"/>
        <v>1.5996647459402826</v>
      </c>
      <c r="J35" s="13">
        <f t="shared" si="2"/>
        <v>1.6941195652173915</v>
      </c>
      <c r="K35" s="13">
        <f t="shared" si="2"/>
        <v>1.7188740245261984</v>
      </c>
      <c r="L35" s="13">
        <f t="shared" si="2"/>
        <v>1.7194729907773385</v>
      </c>
      <c r="M35" s="13">
        <f t="shared" si="2"/>
        <v>1.6912090007627767</v>
      </c>
      <c r="N35" s="13">
        <f t="shared" si="2"/>
        <v>1.9228310502283104</v>
      </c>
      <c r="O35" s="13">
        <f t="shared" si="2"/>
        <v>1.906764645846091</v>
      </c>
      <c r="P35" s="13">
        <f t="shared" si="2"/>
        <v>1.9114241545893722</v>
      </c>
      <c r="Q35" s="13">
        <f t="shared" si="2"/>
        <v>1.931852722287505</v>
      </c>
      <c r="R35" s="13">
        <f t="shared" si="2"/>
        <v>1.567184497638821</v>
      </c>
      <c r="S35" s="13">
        <f t="shared" si="2"/>
        <v>1.6475017253278124</v>
      </c>
      <c r="T35" s="13">
        <f t="shared" si="2"/>
        <v>1.6777956700662016</v>
      </c>
      <c r="U35" s="13">
        <f t="shared" si="2"/>
        <v>1.6835108695652172</v>
      </c>
      <c r="V35" s="13">
        <f t="shared" si="2"/>
        <v>1.670610897083104</v>
      </c>
      <c r="W35" s="13">
        <f t="shared" si="2"/>
        <v>1.8984679089026917</v>
      </c>
      <c r="X35" s="13">
        <f t="shared" si="2"/>
        <v>1.9060829859043082</v>
      </c>
      <c r="Y35" s="13">
        <f t="shared" si="2"/>
        <v>1.9245671758715237</v>
      </c>
      <c r="Z35" s="13">
        <f t="shared" si="2"/>
        <v>1.9089971014492753</v>
      </c>
      <c r="AA35" s="15"/>
      <c r="AB35" s="15">
        <f t="shared" ref="AB35:AR35" si="3">AB33/AB34</f>
        <v>1.6693684022186439</v>
      </c>
      <c r="AC35" s="15">
        <f t="shared" si="3"/>
        <v>1.6860778415823534</v>
      </c>
      <c r="AD35" s="15">
        <f t="shared" si="3"/>
        <v>1.6705778756191525</v>
      </c>
      <c r="AE35" s="15">
        <f t="shared" si="3"/>
        <v>1.6343115942028985</v>
      </c>
      <c r="AF35" s="15">
        <f t="shared" si="3"/>
        <v>1.9277101449275362</v>
      </c>
      <c r="AG35" s="15">
        <f t="shared" si="3"/>
        <v>1.9230454635695848</v>
      </c>
      <c r="AH35" s="15">
        <f t="shared" si="3"/>
        <v>1.9402154328241283</v>
      </c>
      <c r="AI35" s="15">
        <f t="shared" si="3"/>
        <v>1.9089549961861174</v>
      </c>
      <c r="AJ35" s="15">
        <f t="shared" si="3"/>
        <v>1.43381038647343</v>
      </c>
      <c r="AK35" s="15">
        <f t="shared" si="3"/>
        <v>1.9301171332142149</v>
      </c>
      <c r="AL35" s="15">
        <f t="shared" si="3"/>
        <v>1.9114766940853898</v>
      </c>
      <c r="AM35" s="15">
        <f t="shared" si="3"/>
        <v>1.9160604204939784</v>
      </c>
      <c r="AN35" s="15">
        <f t="shared" si="3"/>
        <v>1.840269726247987</v>
      </c>
      <c r="AO35" s="15">
        <f t="shared" si="3"/>
        <v>1.8504983124875916</v>
      </c>
      <c r="AP35" s="15">
        <f t="shared" si="3"/>
        <v>1.834566183574879</v>
      </c>
      <c r="AQ35" s="15">
        <f t="shared" si="3"/>
        <v>1.7934387351778658</v>
      </c>
      <c r="AR35" s="15">
        <f t="shared" si="3"/>
        <v>1.7326376811594202</v>
      </c>
      <c r="AS35" s="15"/>
      <c r="AT35" s="15"/>
      <c r="AU35" s="15"/>
    </row>
    <row r="36" spans="1:47" x14ac:dyDescent="0.4">
      <c r="A36" s="37"/>
      <c r="B36" s="13" t="s">
        <v>48</v>
      </c>
      <c r="C36" s="13">
        <v>10.82</v>
      </c>
      <c r="D36" s="13">
        <v>11.63</v>
      </c>
      <c r="E36" s="13">
        <v>9.11</v>
      </c>
      <c r="F36" s="13">
        <v>8.51</v>
      </c>
      <c r="G36" s="13">
        <v>8.51</v>
      </c>
      <c r="H36" s="13">
        <v>9.01</v>
      </c>
      <c r="I36" s="13">
        <v>9.15</v>
      </c>
      <c r="J36" s="13">
        <v>8.94</v>
      </c>
      <c r="K36" s="13">
        <v>9.0500000000000007</v>
      </c>
      <c r="L36" s="13">
        <v>9.1999999999999993</v>
      </c>
      <c r="M36" s="13">
        <v>9.6300000000000008</v>
      </c>
      <c r="N36" s="13">
        <v>8.4700000000000006</v>
      </c>
      <c r="O36" s="13">
        <v>9</v>
      </c>
      <c r="P36" s="13">
        <v>8.24</v>
      </c>
      <c r="Q36" s="13">
        <v>8.2799999999999994</v>
      </c>
      <c r="R36" s="13">
        <v>8.68</v>
      </c>
      <c r="S36" s="13">
        <v>8.77</v>
      </c>
      <c r="T36" s="13">
        <v>8.98</v>
      </c>
      <c r="U36" s="13">
        <v>9.14</v>
      </c>
      <c r="V36" s="13">
        <v>9.41</v>
      </c>
      <c r="W36" s="13">
        <v>9.32</v>
      </c>
      <c r="X36" s="13">
        <v>8.7200000000000006</v>
      </c>
      <c r="Y36" s="13">
        <v>8.42</v>
      </c>
      <c r="Z36" s="13">
        <v>8.2799999999999994</v>
      </c>
      <c r="AA36" s="13"/>
      <c r="AB36" s="13">
        <v>9.1199999999999992</v>
      </c>
      <c r="AC36" s="13">
        <v>9.25</v>
      </c>
      <c r="AD36" s="13">
        <v>9.43</v>
      </c>
      <c r="AE36" s="13">
        <v>9.41</v>
      </c>
      <c r="AF36" s="13">
        <v>9.16</v>
      </c>
      <c r="AG36" s="13">
        <v>8.58</v>
      </c>
      <c r="AH36" s="13">
        <v>8.2899999999999991</v>
      </c>
      <c r="AI36" s="13">
        <v>8.14</v>
      </c>
      <c r="AJ36" s="13">
        <v>8.6</v>
      </c>
      <c r="AK36" s="13">
        <v>8.42</v>
      </c>
      <c r="AL36" s="13">
        <v>8.3000000000000007</v>
      </c>
      <c r="AM36" s="13">
        <v>8.93</v>
      </c>
      <c r="AN36" s="13">
        <v>9.2799999999999994</v>
      </c>
      <c r="AO36" s="13">
        <v>8.84</v>
      </c>
      <c r="AP36" s="13">
        <v>8.4499999999999993</v>
      </c>
      <c r="AQ36" s="13">
        <v>8.9</v>
      </c>
      <c r="AR36" s="13">
        <v>8.5299999999999994</v>
      </c>
      <c r="AS36" s="13"/>
      <c r="AT36" s="13"/>
      <c r="AU36" s="13"/>
    </row>
    <row r="37" spans="1:47" x14ac:dyDescent="0.4">
      <c r="A37" s="37"/>
      <c r="B37" s="13" t="s">
        <v>65</v>
      </c>
      <c r="C37" s="13">
        <v>10.56</v>
      </c>
      <c r="D37" s="13">
        <v>11.22</v>
      </c>
      <c r="E37" s="13">
        <v>8.76</v>
      </c>
      <c r="F37" s="13">
        <v>8.24</v>
      </c>
      <c r="G37" s="13">
        <v>8.2200000000000006</v>
      </c>
      <c r="H37" s="13">
        <v>8.76</v>
      </c>
      <c r="I37" s="13">
        <v>8.86</v>
      </c>
      <c r="J37" s="13">
        <v>8.6300000000000008</v>
      </c>
      <c r="K37" s="13">
        <v>8.73</v>
      </c>
      <c r="L37" s="13">
        <v>8.86</v>
      </c>
      <c r="M37" s="13">
        <v>9.27</v>
      </c>
      <c r="N37" s="13">
        <v>8.1199999999999992</v>
      </c>
      <c r="O37" s="13">
        <v>8.66</v>
      </c>
      <c r="P37" s="13">
        <v>7.93</v>
      </c>
      <c r="Q37" s="13">
        <v>7.95</v>
      </c>
      <c r="R37" s="13">
        <v>8.36</v>
      </c>
      <c r="S37" s="13">
        <v>8.41</v>
      </c>
      <c r="T37" s="13">
        <v>8.6199999999999992</v>
      </c>
      <c r="U37" s="13">
        <v>8.76</v>
      </c>
      <c r="V37" s="13">
        <v>9.0500000000000007</v>
      </c>
      <c r="W37" s="13">
        <v>8.94</v>
      </c>
      <c r="X37" s="13">
        <v>8.33</v>
      </c>
      <c r="Y37" s="13">
        <v>8.06</v>
      </c>
      <c r="Z37" s="13">
        <v>7.94</v>
      </c>
      <c r="AA37" s="13"/>
      <c r="AB37" s="13">
        <v>8.74</v>
      </c>
      <c r="AC37" s="13">
        <v>8.85</v>
      </c>
      <c r="AD37" s="13">
        <v>9.02</v>
      </c>
      <c r="AE37" s="13">
        <v>9.17</v>
      </c>
      <c r="AF37" s="13">
        <v>8.7899999999999991</v>
      </c>
      <c r="AG37" s="13">
        <v>8.2200000000000006</v>
      </c>
      <c r="AH37" s="13">
        <v>7.99</v>
      </c>
      <c r="AI37" s="13">
        <v>7.84</v>
      </c>
      <c r="AJ37" s="13">
        <v>8.52</v>
      </c>
      <c r="AK37" s="13">
        <v>8.19</v>
      </c>
      <c r="AL37" s="13">
        <v>8.14</v>
      </c>
      <c r="AM37" s="13">
        <v>8.66</v>
      </c>
      <c r="AN37" s="13">
        <v>9.0399999999999991</v>
      </c>
      <c r="AO37" s="13">
        <v>8.77</v>
      </c>
      <c r="AP37" s="13">
        <v>8.51</v>
      </c>
      <c r="AQ37" s="13">
        <v>8.66</v>
      </c>
      <c r="AR37" s="13">
        <v>8.42</v>
      </c>
      <c r="AS37" s="13"/>
      <c r="AT37" s="13"/>
      <c r="AU37" s="13"/>
    </row>
    <row r="38" spans="1:47" x14ac:dyDescent="0.4">
      <c r="A38" s="37"/>
      <c r="B38" s="13" t="s">
        <v>66</v>
      </c>
      <c r="C38" s="13">
        <v>35.659999999999997</v>
      </c>
      <c r="D38" s="13">
        <v>35.81</v>
      </c>
      <c r="E38" s="13">
        <v>36.49</v>
      </c>
      <c r="F38" s="13">
        <v>36.71</v>
      </c>
      <c r="G38" s="13">
        <v>36.94</v>
      </c>
      <c r="H38" s="13">
        <v>36.799999999999997</v>
      </c>
      <c r="I38" s="13">
        <v>36.659999999999997</v>
      </c>
      <c r="J38" s="13">
        <v>36.51</v>
      </c>
      <c r="K38" s="13">
        <v>36.65</v>
      </c>
      <c r="L38" s="13">
        <v>36.53</v>
      </c>
      <c r="M38" s="13">
        <v>36.450000000000003</v>
      </c>
      <c r="N38" s="13">
        <v>36.81</v>
      </c>
      <c r="O38" s="13">
        <v>36.36</v>
      </c>
      <c r="P38" s="13">
        <v>36.92</v>
      </c>
      <c r="Q38" s="13">
        <v>36.89</v>
      </c>
      <c r="R38" s="13">
        <v>36.99</v>
      </c>
      <c r="S38" s="13">
        <v>36.909999999999997</v>
      </c>
      <c r="T38" s="13">
        <v>36.799999999999997</v>
      </c>
      <c r="U38" s="13">
        <v>36.57</v>
      </c>
      <c r="V38" s="13">
        <v>36.700000000000003</v>
      </c>
      <c r="W38" s="13">
        <v>36.33</v>
      </c>
      <c r="X38" s="13">
        <v>36.61</v>
      </c>
      <c r="Y38" s="13">
        <v>36.79</v>
      </c>
      <c r="Z38" s="13">
        <v>36.86</v>
      </c>
      <c r="AA38" s="13"/>
      <c r="AB38" s="13">
        <v>36.979999999999997</v>
      </c>
      <c r="AC38" s="13">
        <v>36.6</v>
      </c>
      <c r="AD38" s="13">
        <v>36.75</v>
      </c>
      <c r="AE38" s="13">
        <v>37.57</v>
      </c>
      <c r="AF38" s="13">
        <v>36.35</v>
      </c>
      <c r="AG38" s="13">
        <v>36.770000000000003</v>
      </c>
      <c r="AH38" s="13">
        <v>36.869999999999997</v>
      </c>
      <c r="AI38" s="13">
        <v>36.96</v>
      </c>
      <c r="AJ38" s="13">
        <v>37.54</v>
      </c>
      <c r="AK38" s="13">
        <v>36.6</v>
      </c>
      <c r="AL38" s="13">
        <v>36.619999999999997</v>
      </c>
      <c r="AM38" s="13">
        <v>36.4</v>
      </c>
      <c r="AN38" s="13">
        <v>36.56</v>
      </c>
      <c r="AO38" s="13">
        <v>36.770000000000003</v>
      </c>
      <c r="AP38" s="13">
        <v>36.94</v>
      </c>
      <c r="AQ38" s="13">
        <v>36.630000000000003</v>
      </c>
      <c r="AR38" s="13">
        <v>36.76</v>
      </c>
      <c r="AS38" s="13"/>
      <c r="AT38" s="13"/>
      <c r="AU38" s="13"/>
    </row>
    <row r="39" spans="1:47" x14ac:dyDescent="0.4">
      <c r="A39" s="37"/>
      <c r="B39" s="13" t="s">
        <v>67</v>
      </c>
      <c r="C39" s="13">
        <v>26.56</v>
      </c>
      <c r="D39" s="13">
        <v>26.36</v>
      </c>
      <c r="E39" s="13">
        <v>25.64</v>
      </c>
      <c r="F39" s="13">
        <v>25.63</v>
      </c>
      <c r="G39" s="13">
        <v>25.88</v>
      </c>
      <c r="H39" s="13">
        <v>25.41</v>
      </c>
      <c r="I39" s="13">
        <v>25.29</v>
      </c>
      <c r="J39" s="13">
        <v>25.12</v>
      </c>
      <c r="K39" s="13">
        <v>25.12</v>
      </c>
      <c r="L39" s="13">
        <v>25.07</v>
      </c>
      <c r="M39" s="13">
        <v>24.96</v>
      </c>
      <c r="N39" s="13">
        <v>25.02</v>
      </c>
      <c r="O39" s="13">
        <v>24.85</v>
      </c>
      <c r="P39" s="13">
        <v>25.25</v>
      </c>
      <c r="Q39" s="13">
        <v>25.01</v>
      </c>
      <c r="R39" s="13">
        <v>25.08</v>
      </c>
      <c r="S39" s="13">
        <v>24.98</v>
      </c>
      <c r="T39" s="13">
        <v>24.8</v>
      </c>
      <c r="U39" s="13">
        <v>24.93</v>
      </c>
      <c r="V39" s="13">
        <v>24.87</v>
      </c>
      <c r="W39" s="13">
        <v>24.87</v>
      </c>
      <c r="X39" s="13">
        <v>24.78</v>
      </c>
      <c r="Y39" s="13">
        <v>24.97</v>
      </c>
      <c r="Z39" s="13">
        <v>24.9</v>
      </c>
      <c r="AA39" s="13"/>
      <c r="AB39" s="13">
        <v>24.91</v>
      </c>
      <c r="AC39" s="13">
        <v>24.99</v>
      </c>
      <c r="AD39" s="13">
        <v>25.28</v>
      </c>
      <c r="AE39" s="13">
        <v>25.62</v>
      </c>
      <c r="AF39" s="13">
        <v>24.69</v>
      </c>
      <c r="AG39" s="13">
        <v>25.27</v>
      </c>
      <c r="AH39" s="13">
        <v>25.03</v>
      </c>
      <c r="AI39" s="13">
        <v>25.06</v>
      </c>
      <c r="AJ39" s="13">
        <v>25.7</v>
      </c>
      <c r="AK39" s="13">
        <v>24.99</v>
      </c>
      <c r="AL39" s="13">
        <v>25</v>
      </c>
      <c r="AM39" s="13">
        <v>24.79</v>
      </c>
      <c r="AN39" s="13">
        <v>25.61</v>
      </c>
      <c r="AO39" s="13">
        <v>25.26</v>
      </c>
      <c r="AP39" s="13">
        <v>25.26</v>
      </c>
      <c r="AQ39" s="13">
        <v>24.94</v>
      </c>
      <c r="AR39" s="13">
        <v>24.95</v>
      </c>
      <c r="AS39" s="13"/>
      <c r="AT39" s="13"/>
      <c r="AU39" s="13"/>
    </row>
  </sheetData>
  <mergeCells count="4">
    <mergeCell ref="A4:A7"/>
    <mergeCell ref="A8:A19"/>
    <mergeCell ref="A20:A24"/>
    <mergeCell ref="A25:A39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7" sqref="C7"/>
    </sheetView>
  </sheetViews>
  <sheetFormatPr defaultRowHeight="13.9" x14ac:dyDescent="0.4"/>
  <cols>
    <col min="2" max="2" width="11.1328125" customWidth="1"/>
  </cols>
  <sheetData>
    <row r="1" spans="1:3" x14ac:dyDescent="0.4">
      <c r="B1" t="s">
        <v>68</v>
      </c>
      <c r="C1">
        <f>Sheet2!C30</f>
        <v>95.4</v>
      </c>
    </row>
    <row r="2" spans="1:3" x14ac:dyDescent="0.4">
      <c r="A2" s="38" t="s">
        <v>69</v>
      </c>
      <c r="B2" t="s">
        <v>70</v>
      </c>
      <c r="C2" t="e">
        <f>Sheet2!C24-Sheet2!#REF!</f>
        <v>#REF!</v>
      </c>
    </row>
    <row r="3" spans="1:3" x14ac:dyDescent="0.4">
      <c r="A3" s="38"/>
      <c r="B3" t="s">
        <v>71</v>
      </c>
      <c r="C3" t="e">
        <f>Sheet2!#REF!-Sheet2!#REF!</f>
        <v>#REF!</v>
      </c>
    </row>
    <row r="4" spans="1:3" x14ac:dyDescent="0.4">
      <c r="A4" s="38"/>
      <c r="B4" t="s">
        <v>72</v>
      </c>
      <c r="C4" t="e">
        <f>Sheet2!#REF!-Sheet2!C20</f>
        <v>#REF!</v>
      </c>
    </row>
    <row r="5" spans="1:3" x14ac:dyDescent="0.4">
      <c r="A5" s="38"/>
      <c r="B5" t="s">
        <v>89</v>
      </c>
      <c r="C5" t="e">
        <f>Sheet2!C21-Sheet2!#REF!</f>
        <v>#REF!</v>
      </c>
    </row>
    <row r="6" spans="1:3" x14ac:dyDescent="0.4">
      <c r="A6" s="38"/>
      <c r="B6" t="s">
        <v>90</v>
      </c>
      <c r="C6" t="e">
        <f>Sheet2!#REF!-Sheet2!#REF!</f>
        <v>#REF!</v>
      </c>
    </row>
    <row r="7" spans="1:3" x14ac:dyDescent="0.4">
      <c r="A7" s="16"/>
    </row>
    <row r="28" spans="1:7" x14ac:dyDescent="0.4">
      <c r="A28" s="39" t="s">
        <v>76</v>
      </c>
      <c r="B28" s="39" t="s">
        <v>73</v>
      </c>
      <c r="C28" s="39"/>
      <c r="D28" s="39" t="s">
        <v>74</v>
      </c>
      <c r="E28" s="39"/>
      <c r="F28" s="39" t="s">
        <v>75</v>
      </c>
      <c r="G28" s="39"/>
    </row>
    <row r="29" spans="1:7" x14ac:dyDescent="0.4">
      <c r="A29" s="39"/>
      <c r="B29" s="17" t="s">
        <v>78</v>
      </c>
      <c r="C29" s="17" t="s">
        <v>69</v>
      </c>
      <c r="D29" s="17" t="s">
        <v>77</v>
      </c>
      <c r="E29" s="17" t="s">
        <v>69</v>
      </c>
      <c r="F29" s="17" t="s">
        <v>78</v>
      </c>
      <c r="G29" s="17" t="s">
        <v>69</v>
      </c>
    </row>
    <row r="30" spans="1:7" x14ac:dyDescent="0.4">
      <c r="A30" s="39"/>
      <c r="B30" s="17"/>
      <c r="C30" s="17"/>
      <c r="D30" s="17">
        <v>100.3</v>
      </c>
      <c r="E30" s="17">
        <v>0.29199999999999982</v>
      </c>
      <c r="F30" s="17"/>
      <c r="G30" s="17"/>
    </row>
    <row r="31" spans="1:7" x14ac:dyDescent="0.4">
      <c r="A31" s="39"/>
      <c r="B31" s="17">
        <v>99</v>
      </c>
      <c r="C31" s="17">
        <v>0.53900000000000015</v>
      </c>
      <c r="D31" s="17">
        <v>104.7</v>
      </c>
      <c r="E31" s="17">
        <v>0.32200000000000006</v>
      </c>
      <c r="F31" s="17"/>
      <c r="G31" s="17"/>
    </row>
    <row r="32" spans="1:7" x14ac:dyDescent="0.4">
      <c r="A32" s="39"/>
      <c r="B32" s="17">
        <v>105.2</v>
      </c>
      <c r="C32" s="17">
        <v>0.5950000000000002</v>
      </c>
      <c r="D32" s="17">
        <v>106.3</v>
      </c>
      <c r="E32" s="17">
        <v>0.33599999999999985</v>
      </c>
      <c r="F32" s="17">
        <v>106.19</v>
      </c>
      <c r="G32" s="17">
        <v>0.26400000000000001</v>
      </c>
    </row>
    <row r="33" spans="1:7" x14ac:dyDescent="0.4">
      <c r="A33" s="39"/>
      <c r="B33" s="17">
        <v>128.1</v>
      </c>
      <c r="C33" s="17">
        <v>0.82499999999999973</v>
      </c>
      <c r="D33" s="17">
        <v>131.19999999999999</v>
      </c>
      <c r="E33" s="17">
        <v>0.5089999999999999</v>
      </c>
      <c r="F33" s="17">
        <v>118.92</v>
      </c>
      <c r="G33" s="17">
        <v>0.32400000000000001</v>
      </c>
    </row>
  </sheetData>
  <mergeCells count="5">
    <mergeCell ref="A2:A6"/>
    <mergeCell ref="B28:C28"/>
    <mergeCell ref="D28:E28"/>
    <mergeCell ref="F28:G28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3.9" x14ac:dyDescent="0.4"/>
  <sheetData>
    <row r="1" spans="2:14" x14ac:dyDescent="0.4">
      <c r="B1" s="41" t="s">
        <v>79</v>
      </c>
      <c r="C1" s="42"/>
      <c r="D1" s="42"/>
      <c r="E1" s="43"/>
      <c r="F1" s="40" t="s">
        <v>83</v>
      </c>
      <c r="G1" s="40"/>
      <c r="H1" s="40"/>
      <c r="I1" s="40"/>
      <c r="J1" s="41" t="s">
        <v>84</v>
      </c>
      <c r="K1" s="42"/>
      <c r="L1" s="43"/>
      <c r="M1" s="18"/>
      <c r="N1" s="14"/>
    </row>
    <row r="2" spans="2:14" x14ac:dyDescent="0.4">
      <c r="B2" s="17" t="s">
        <v>80</v>
      </c>
      <c r="C2" s="17" t="s">
        <v>85</v>
      </c>
      <c r="D2" s="17" t="s">
        <v>81</v>
      </c>
      <c r="E2" s="17" t="s">
        <v>82</v>
      </c>
      <c r="F2" s="10" t="s">
        <v>80</v>
      </c>
      <c r="G2" s="10" t="s">
        <v>86</v>
      </c>
      <c r="H2" s="10" t="s">
        <v>81</v>
      </c>
      <c r="I2" s="10" t="s">
        <v>82</v>
      </c>
      <c r="J2" s="17" t="s">
        <v>80</v>
      </c>
      <c r="K2" s="17" t="s">
        <v>87</v>
      </c>
      <c r="L2" s="17" t="s">
        <v>81</v>
      </c>
      <c r="M2" s="14"/>
    </row>
    <row r="3" spans="2:14" x14ac:dyDescent="0.4">
      <c r="B3" s="17">
        <v>302.07900000000001</v>
      </c>
      <c r="C3" s="17">
        <v>113</v>
      </c>
      <c r="D3" s="17">
        <v>2632.99</v>
      </c>
      <c r="E3" s="17">
        <v>0.61547218326320707</v>
      </c>
      <c r="F3" s="10">
        <v>297.30399999999997</v>
      </c>
      <c r="G3" s="10">
        <v>100.3</v>
      </c>
      <c r="H3" s="10">
        <v>3564.06</v>
      </c>
      <c r="I3" s="10">
        <v>1.2753837895866882</v>
      </c>
      <c r="J3" s="17">
        <v>200</v>
      </c>
      <c r="K3" s="17">
        <v>57.11</v>
      </c>
      <c r="L3" s="17">
        <v>2405</v>
      </c>
      <c r="M3" s="14"/>
    </row>
    <row r="4" spans="2:14" x14ac:dyDescent="0.4">
      <c r="B4" s="17">
        <v>420.173</v>
      </c>
      <c r="C4" s="17">
        <v>129.30000000000001</v>
      </c>
      <c r="D4" s="17">
        <v>4043.3</v>
      </c>
      <c r="E4" s="17">
        <v>1.0752046270442759</v>
      </c>
      <c r="F4" s="10">
        <v>421.09699999999998</v>
      </c>
      <c r="G4" s="10">
        <v>104.7</v>
      </c>
      <c r="H4" s="10">
        <v>4124.63</v>
      </c>
      <c r="I4" s="10">
        <v>1.4065234441602728</v>
      </c>
      <c r="J4" s="17">
        <v>340</v>
      </c>
      <c r="K4" s="17">
        <v>89.37</v>
      </c>
      <c r="L4" s="17">
        <v>3870</v>
      </c>
      <c r="M4" s="14"/>
    </row>
    <row r="5" spans="2:14" x14ac:dyDescent="0.4">
      <c r="B5" s="17">
        <v>420.57100000000003</v>
      </c>
      <c r="C5" s="17">
        <v>113.6</v>
      </c>
      <c r="D5" s="17">
        <v>3815.0230000000001</v>
      </c>
      <c r="E5" s="17">
        <v>1.3009456095481671</v>
      </c>
      <c r="F5" s="10">
        <v>503.90300000000002</v>
      </c>
      <c r="G5" s="10">
        <v>106.3</v>
      </c>
      <c r="H5" s="10">
        <v>4380.3999999999996</v>
      </c>
      <c r="I5" s="10">
        <v>1.4763734411863834</v>
      </c>
      <c r="J5" s="17">
        <v>420</v>
      </c>
      <c r="K5" s="17">
        <v>106.19</v>
      </c>
      <c r="L5" s="17">
        <v>4585</v>
      </c>
      <c r="M5" s="14"/>
    </row>
    <row r="6" spans="2:14" x14ac:dyDescent="0.4">
      <c r="B6" s="17"/>
      <c r="C6" s="17"/>
      <c r="D6" s="17"/>
      <c r="E6" s="17"/>
      <c r="F6" s="10">
        <v>505.52</v>
      </c>
      <c r="G6" s="10">
        <v>131.19999999999999</v>
      </c>
      <c r="H6" s="10">
        <v>5018.8</v>
      </c>
      <c r="I6" s="10">
        <v>1.3105627366496932</v>
      </c>
      <c r="J6" s="17">
        <v>500</v>
      </c>
      <c r="K6" s="17">
        <v>118.92</v>
      </c>
      <c r="L6" s="17">
        <v>5159</v>
      </c>
      <c r="M6" s="14"/>
    </row>
    <row r="7" spans="2:14" x14ac:dyDescent="0.4">
      <c r="B7" s="14"/>
      <c r="C7" s="14"/>
      <c r="D7" s="14"/>
      <c r="E7" s="14"/>
      <c r="F7" s="14"/>
      <c r="G7" s="14"/>
      <c r="I7" s="14"/>
      <c r="J7" s="14"/>
      <c r="L7" s="14"/>
      <c r="M7" s="14"/>
      <c r="N7" s="14"/>
    </row>
    <row r="8" spans="2:14" x14ac:dyDescent="0.4">
      <c r="B8" s="14"/>
      <c r="C8" s="14"/>
      <c r="D8" s="14"/>
      <c r="E8" s="14"/>
      <c r="F8" s="14"/>
      <c r="G8" s="14"/>
      <c r="I8" s="14"/>
      <c r="J8" s="14"/>
      <c r="L8" s="14"/>
      <c r="M8" s="14"/>
      <c r="N8" s="14"/>
    </row>
    <row r="9" spans="2:14" x14ac:dyDescent="0.4">
      <c r="B9" s="14"/>
      <c r="C9" s="14"/>
      <c r="D9" s="14"/>
      <c r="E9" s="14"/>
      <c r="F9" s="14"/>
      <c r="G9" s="14"/>
      <c r="I9" s="14"/>
      <c r="J9" s="14"/>
      <c r="L9" s="14"/>
      <c r="M9" s="14"/>
      <c r="N9" s="14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qhr</cp:lastModifiedBy>
  <dcterms:created xsi:type="dcterms:W3CDTF">2019-03-22T02:59:42Z</dcterms:created>
  <dcterms:modified xsi:type="dcterms:W3CDTF">2019-12-19T01:48:50Z</dcterms:modified>
</cp:coreProperties>
</file>