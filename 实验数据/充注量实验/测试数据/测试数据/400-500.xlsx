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发给东风\"/>
    </mc:Choice>
  </mc:AlternateContent>
  <xr:revisionPtr revIDLastSave="58" documentId="13_ncr:1_{52E6BE41-CF1B-4245-8FF2-471872E4D6D4}" xr6:coauthVersionLast="45" xr6:coauthVersionMax="45" xr10:uidLastSave="{4EAD2083-BE0F-441F-953F-DDD350C880F7}"/>
  <bookViews>
    <workbookView xWindow="-98" yWindow="-98" windowWidth="19396" windowHeight="1039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32" i="1" l="1"/>
  <c r="AH32" i="1"/>
  <c r="AH33" i="1" l="1"/>
  <c r="AD32" i="1"/>
  <c r="AJ32" i="1"/>
  <c r="AI32" i="1"/>
  <c r="AG33" i="1"/>
  <c r="AA32" i="1"/>
  <c r="AB32" i="1"/>
  <c r="AC32" i="1"/>
  <c r="AE32" i="1"/>
  <c r="AF32" i="1"/>
  <c r="AF33" i="1" l="1"/>
  <c r="AE33" i="1"/>
  <c r="AJ33" i="1"/>
  <c r="AD33" i="1"/>
  <c r="AC33" i="1"/>
  <c r="AA33" i="1"/>
  <c r="AI33" i="1"/>
  <c r="AB33" i="1"/>
  <c r="W32" i="1"/>
  <c r="X32" i="1"/>
  <c r="Y32" i="1"/>
  <c r="W33" i="1" l="1"/>
  <c r="X33" i="1"/>
  <c r="Y33" i="1"/>
  <c r="V32" i="1"/>
  <c r="V33" i="1" l="1"/>
  <c r="H32" i="1"/>
  <c r="I32" i="1"/>
  <c r="J32" i="1"/>
  <c r="J33" i="1" s="1"/>
  <c r="K32" i="1"/>
  <c r="G32" i="1"/>
  <c r="H33" i="1" l="1"/>
  <c r="G33" i="1"/>
  <c r="K33" i="1"/>
  <c r="I33" i="1"/>
  <c r="N32" i="1"/>
  <c r="O32" i="1"/>
  <c r="P32" i="1"/>
  <c r="Q32" i="1"/>
  <c r="N33" i="1" l="1"/>
  <c r="O33" i="1"/>
  <c r="Q33" i="1"/>
  <c r="P33" i="1"/>
  <c r="M32" i="1"/>
  <c r="S32" i="1"/>
  <c r="T32" i="1"/>
  <c r="E32" i="1"/>
  <c r="D32" i="1"/>
  <c r="C32" i="1"/>
  <c r="E33" i="1" l="1"/>
  <c r="D33" i="1"/>
  <c r="T33" i="1"/>
  <c r="S33" i="1"/>
  <c r="C33" i="1"/>
  <c r="M33" i="1"/>
</calcChain>
</file>

<file path=xl/sharedStrings.xml><?xml version="1.0" encoding="utf-8"?>
<sst xmlns="http://schemas.openxmlformats.org/spreadsheetml/2006/main" count="79" uniqueCount="54">
  <si>
    <t>日期</t>
    <phoneticPr fontId="6" type="noConversion"/>
  </si>
  <si>
    <t>类别</t>
    <phoneticPr fontId="6" type="noConversion"/>
  </si>
  <si>
    <t>项目</t>
    <phoneticPr fontId="6" type="noConversion"/>
  </si>
  <si>
    <t>不回热</t>
    <phoneticPr fontId="6" type="noConversion"/>
  </si>
  <si>
    <t>环境参数</t>
    <phoneticPr fontId="6" type="noConversion"/>
  </si>
  <si>
    <t>室内干球</t>
    <phoneticPr fontId="6" type="noConversion"/>
  </si>
  <si>
    <t>室内湿球</t>
    <phoneticPr fontId="6" type="noConversion"/>
  </si>
  <si>
    <t>室外干球</t>
    <phoneticPr fontId="6" type="noConversion"/>
  </si>
  <si>
    <t>室外湿球</t>
    <phoneticPr fontId="6" type="noConversion"/>
  </si>
  <si>
    <t>温度/℃</t>
    <phoneticPr fontId="6" type="noConversion"/>
  </si>
  <si>
    <t>吸气温度</t>
    <phoneticPr fontId="6" type="noConversion"/>
  </si>
  <si>
    <t>排气温度</t>
    <phoneticPr fontId="6" type="noConversion"/>
  </si>
  <si>
    <t>室外换热进口</t>
    <phoneticPr fontId="6" type="noConversion"/>
  </si>
  <si>
    <t>回热器高压进口</t>
    <phoneticPr fontId="6" type="noConversion"/>
  </si>
  <si>
    <t>回热器高压出口</t>
    <phoneticPr fontId="6" type="noConversion"/>
  </si>
  <si>
    <t>阀前温度</t>
    <phoneticPr fontId="6" type="noConversion"/>
  </si>
  <si>
    <t>阀后温度</t>
    <phoneticPr fontId="6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</si>
  <si>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6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</si>
  <si>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6" type="noConversion"/>
  </si>
  <si>
    <t>储液器进口</t>
    <phoneticPr fontId="6" type="noConversion"/>
  </si>
  <si>
    <t>储液器出口</t>
    <phoneticPr fontId="6" type="noConversion"/>
  </si>
  <si>
    <t>回热器低压进口</t>
    <phoneticPr fontId="6" type="noConversion"/>
  </si>
  <si>
    <t>压力/Mpa</t>
    <phoneticPr fontId="6" type="noConversion"/>
  </si>
  <si>
    <t>吸气压力</t>
    <phoneticPr fontId="6" type="noConversion"/>
  </si>
  <si>
    <t>气冷出口</t>
    <phoneticPr fontId="6" type="noConversion"/>
  </si>
  <si>
    <t>阀前压力</t>
    <phoneticPr fontId="6" type="noConversion"/>
  </si>
  <si>
    <t>主换热器进口</t>
    <phoneticPr fontId="6" type="noConversion"/>
  </si>
  <si>
    <t>主换热器出口</t>
    <phoneticPr fontId="6" type="noConversion"/>
  </si>
  <si>
    <t>性能</t>
    <phoneticPr fontId="6" type="noConversion"/>
  </si>
  <si>
    <t>电压/V</t>
    <phoneticPr fontId="6" type="noConversion"/>
  </si>
  <si>
    <t>电流/A</t>
    <phoneticPr fontId="6" type="noConversion"/>
  </si>
  <si>
    <t>充注量/g</t>
    <phoneticPr fontId="6" type="noConversion"/>
  </si>
  <si>
    <t>压缩机转速/rpm</t>
    <phoneticPr fontId="6" type="noConversion"/>
  </si>
  <si>
    <t>膨胀阀开度</t>
    <phoneticPr fontId="6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</si>
  <si>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6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</si>
  <si>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6" type="noConversion"/>
  </si>
  <si>
    <t>室内侧换热量//蒸发器/W</t>
    <phoneticPr fontId="6" type="noConversion"/>
  </si>
  <si>
    <t>压缩机功率/W</t>
    <phoneticPr fontId="6" type="noConversion"/>
  </si>
  <si>
    <t>室内侧COP</t>
    <phoneticPr fontId="6" type="noConversion"/>
  </si>
  <si>
    <t>室内出风干球/℃</t>
    <phoneticPr fontId="6" type="noConversion"/>
  </si>
  <si>
    <t>室内出风湿球/℃</t>
    <phoneticPr fontId="6" type="noConversion"/>
  </si>
  <si>
    <t>室外出风干球/℃</t>
    <phoneticPr fontId="6" type="noConversion"/>
  </si>
  <si>
    <t>室外出风湿球/℃</t>
    <phoneticPr fontId="6" type="noConversion"/>
  </si>
  <si>
    <t>11151备注</t>
    <phoneticPr fontId="5" type="noConversion"/>
  </si>
  <si>
    <t>不回热</t>
    <phoneticPr fontId="5" type="noConversion"/>
  </si>
  <si>
    <t>11152备注</t>
    <phoneticPr fontId="5" type="noConversion"/>
  </si>
  <si>
    <t>11153备注</t>
  </si>
  <si>
    <t>11154备注</t>
  </si>
  <si>
    <t>11155备注</t>
  </si>
  <si>
    <t>回热</t>
    <phoneticPr fontId="5" type="noConversion"/>
  </si>
  <si>
    <t>质量流量</t>
    <phoneticPr fontId="5" type="noConversion"/>
  </si>
  <si>
    <t>进口温度</t>
    <phoneticPr fontId="5" type="noConversion"/>
  </si>
  <si>
    <t>进口压力</t>
    <phoneticPr fontId="5" type="noConversion"/>
  </si>
  <si>
    <t>出口压力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</si>
</sst>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vertAlign val="superscript"/>
      <sz val="11"/>
      <color rgb="FF3F3F76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2" applyNumberFormat="0" applyFont="0" applyAlignment="0" applyProtection="0">
      <alignment vertical="center"/>
    </xf>
  </cellStyleXfs>
  <cellXfs count="46">
    <xf numFmtId="0" fontId="0" fillId="0" borderId="0" xfId="0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6" borderId="3" xfId="3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9" fontId="0" fillId="5" borderId="3" xfId="4" applyNumberFormat="1" applyFont="1" applyBorder="1" applyAlignment="1">
      <alignment horizontal="center" vertical="center"/>
    </xf>
    <xf numFmtId="0" fontId="0" fillId="5" borderId="3" xfId="4" applyNumberFormat="1" applyFont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8" borderId="3" xfId="2" applyFill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5" borderId="4" xfId="4" applyNumberFormat="1" applyFont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4" fillId="11" borderId="3" xfId="3" applyFill="1" applyBorder="1" applyAlignment="1">
      <alignment horizontal="center" vertical="center"/>
    </xf>
    <xf numFmtId="0" fontId="2" fillId="11" borderId="3" xfId="1" applyFill="1" applyBorder="1" applyAlignment="1">
      <alignment horizontal="center" vertical="center"/>
    </xf>
    <xf numFmtId="0" fontId="0" fillId="11" borderId="3" xfId="4" applyNumberFormat="1" applyFont="1" applyFill="1" applyBorder="1" applyAlignment="1">
      <alignment horizontal="center" vertical="center"/>
    </xf>
    <xf numFmtId="0" fontId="3" fillId="11" borderId="3" xfId="2" applyFill="1" applyBorder="1" applyAlignment="1">
      <alignment horizontal="center" vertical="center"/>
    </xf>
    <xf numFmtId="0" fontId="0" fillId="11" borderId="0" xfId="0" applyFill="1"/>
    <xf numFmtId="0" fontId="0" fillId="12" borderId="3" xfId="0" applyFill="1" applyBorder="1" applyAlignment="1">
      <alignment horizontal="center" vertical="center"/>
    </xf>
    <xf numFmtId="0" fontId="2" fillId="10" borderId="3" xfId="1" applyFill="1" applyBorder="1" applyAlignment="1">
      <alignment horizontal="center" vertical="center"/>
    </xf>
    <xf numFmtId="0" fontId="7" fillId="10" borderId="3" xfId="1" applyFont="1" applyFill="1" applyBorder="1" applyAlignment="1">
      <alignment horizontal="center" vertical="center"/>
    </xf>
    <xf numFmtId="0" fontId="7" fillId="11" borderId="3" xfId="1" applyFont="1" applyFill="1" applyBorder="1" applyAlignment="1">
      <alignment horizontal="center" vertical="center"/>
    </xf>
    <xf numFmtId="0" fontId="0" fillId="10" borderId="3" xfId="4" applyNumberFormat="1" applyFont="1" applyFill="1" applyBorder="1" applyAlignment="1">
      <alignment horizontal="center" vertical="center"/>
    </xf>
    <xf numFmtId="0" fontId="3" fillId="10" borderId="3" xfId="2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13" borderId="3" xfId="2" applyFill="1" applyBorder="1" applyAlignment="1">
      <alignment horizontal="center" vertical="center"/>
    </xf>
    <xf numFmtId="0" fontId="0" fillId="13" borderId="0" xfId="0" applyFill="1"/>
    <xf numFmtId="0" fontId="3" fillId="14" borderId="3" xfId="2" applyFill="1" applyBorder="1" applyAlignment="1">
      <alignment horizontal="center" vertical="center"/>
    </xf>
    <xf numFmtId="0" fontId="0" fillId="14" borderId="0" xfId="0" applyFill="1"/>
    <xf numFmtId="0" fontId="4" fillId="4" borderId="3" xfId="3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0" fillId="5" borderId="3" xfId="4" applyFont="1" applyBorder="1" applyAlignment="1">
      <alignment horizontal="center" vertical="center"/>
    </xf>
    <xf numFmtId="0" fontId="3" fillId="3" borderId="3" xfId="2" applyBorder="1" applyAlignment="1">
      <alignment horizontal="center" vertical="center"/>
    </xf>
  </cellXfs>
  <cellStyles count="5">
    <cellStyle name="常规" xfId="0" builtinId="0"/>
    <cellStyle name="计算" xfId="3" builtinId="22"/>
    <cellStyle name="适中" xfId="1" builtinId="28"/>
    <cellStyle name="输入" xfId="2" builtinId="20"/>
    <cellStyle name="注释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8"/>
  <sheetViews>
    <sheetView tabSelected="1" zoomScale="85" zoomScaleNormal="85" workbookViewId="0">
      <selection activeCell="C46" sqref="C46"/>
    </sheetView>
  </sheetViews>
  <sheetFormatPr defaultRowHeight="13.9" x14ac:dyDescent="0.4"/>
  <cols>
    <col min="1" max="1" width="14.46484375" customWidth="1"/>
    <col min="2" max="2" width="22.73046875" customWidth="1"/>
    <col min="3" max="3" width="11.46484375" customWidth="1"/>
    <col min="4" max="4" width="11.1328125" customWidth="1"/>
    <col min="5" max="9" width="10.86328125" customWidth="1"/>
    <col min="10" max="10" width="10.86328125" style="25" customWidth="1"/>
    <col min="11" max="18" width="10.86328125" customWidth="1"/>
    <col min="19" max="20" width="11.3984375" style="25" customWidth="1"/>
    <col min="21" max="21" width="10.73046875" bestFit="1" customWidth="1"/>
    <col min="22" max="22" width="9.86328125" bestFit="1" customWidth="1"/>
    <col min="23" max="25" width="10.73046875" bestFit="1" customWidth="1"/>
    <col min="27" max="27" width="9.86328125" bestFit="1" customWidth="1"/>
    <col min="28" max="29" width="9.59765625" bestFit="1" customWidth="1"/>
    <col min="30" max="30" width="9.59765625" customWidth="1"/>
    <col min="31" max="31" width="9.59765625" bestFit="1" customWidth="1"/>
    <col min="32" max="32" width="9.73046875" bestFit="1" customWidth="1"/>
  </cols>
  <sheetData>
    <row r="1" spans="1:37" x14ac:dyDescent="0.4">
      <c r="A1" s="1"/>
      <c r="B1" s="2" t="s">
        <v>0</v>
      </c>
      <c r="C1" s="2">
        <v>20191107</v>
      </c>
      <c r="D1" s="2">
        <v>20191107</v>
      </c>
      <c r="E1" s="2">
        <v>20191107</v>
      </c>
      <c r="F1" s="2"/>
      <c r="G1" s="2" t="s">
        <v>43</v>
      </c>
      <c r="H1" s="2" t="s">
        <v>45</v>
      </c>
      <c r="I1" s="2" t="s">
        <v>46</v>
      </c>
      <c r="J1" s="20" t="s">
        <v>47</v>
      </c>
      <c r="K1" s="2" t="s">
        <v>48</v>
      </c>
      <c r="L1" s="2"/>
      <c r="M1" s="3">
        <v>11084</v>
      </c>
      <c r="N1" s="3">
        <v>11151</v>
      </c>
      <c r="O1" s="3">
        <v>11152</v>
      </c>
      <c r="P1" s="3">
        <v>11153</v>
      </c>
      <c r="Q1" s="3">
        <v>11154</v>
      </c>
      <c r="R1" s="3"/>
      <c r="S1" s="20">
        <v>20191107</v>
      </c>
      <c r="T1" s="26">
        <v>20191108</v>
      </c>
      <c r="U1" s="3">
        <v>20191108</v>
      </c>
      <c r="V1" s="3">
        <v>1115</v>
      </c>
      <c r="W1" s="3">
        <v>20191108</v>
      </c>
      <c r="X1" s="3">
        <v>20191108</v>
      </c>
      <c r="Y1" s="3">
        <v>20191108</v>
      </c>
      <c r="AA1" s="35">
        <v>111801</v>
      </c>
      <c r="AB1" s="35">
        <v>111802</v>
      </c>
      <c r="AC1" s="35">
        <v>111803</v>
      </c>
      <c r="AD1" s="35">
        <v>111809</v>
      </c>
      <c r="AE1" s="36">
        <v>111804</v>
      </c>
      <c r="AF1" s="36">
        <v>111805</v>
      </c>
      <c r="AG1" s="36">
        <v>111806</v>
      </c>
      <c r="AH1" s="36">
        <v>111901</v>
      </c>
      <c r="AI1" s="36">
        <v>111807</v>
      </c>
      <c r="AJ1" s="36">
        <v>111808</v>
      </c>
    </row>
    <row r="2" spans="1:37" x14ac:dyDescent="0.4">
      <c r="A2" s="1" t="s">
        <v>1</v>
      </c>
      <c r="B2" s="2" t="s">
        <v>2</v>
      </c>
      <c r="C2" s="4" t="s">
        <v>3</v>
      </c>
      <c r="D2" s="4" t="s">
        <v>3</v>
      </c>
      <c r="E2" s="4" t="s">
        <v>3</v>
      </c>
      <c r="F2" s="4"/>
      <c r="G2" s="4" t="s">
        <v>44</v>
      </c>
      <c r="H2" s="4" t="s">
        <v>44</v>
      </c>
      <c r="I2" s="4" t="s">
        <v>44</v>
      </c>
      <c r="J2" s="20" t="s">
        <v>44</v>
      </c>
      <c r="K2" s="4" t="s">
        <v>44</v>
      </c>
      <c r="L2" s="4"/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/>
      <c r="S2" s="20" t="s">
        <v>3</v>
      </c>
      <c r="T2" s="20" t="s">
        <v>3</v>
      </c>
      <c r="U2" s="4"/>
      <c r="V2" s="4" t="s">
        <v>3</v>
      </c>
      <c r="W2" s="4" t="s">
        <v>3</v>
      </c>
      <c r="X2" s="4" t="s">
        <v>3</v>
      </c>
      <c r="Y2" s="4" t="s">
        <v>3</v>
      </c>
      <c r="Z2" s="4"/>
      <c r="AA2" s="4" t="s">
        <v>49</v>
      </c>
      <c r="AB2" s="4" t="s">
        <v>49</v>
      </c>
      <c r="AC2" s="4" t="s">
        <v>49</v>
      </c>
      <c r="AD2" s="4" t="s">
        <v>49</v>
      </c>
      <c r="AE2" s="4" t="s">
        <v>49</v>
      </c>
      <c r="AF2" s="4" t="s">
        <v>49</v>
      </c>
      <c r="AG2" s="4" t="s">
        <v>49</v>
      </c>
      <c r="AH2" s="4" t="s">
        <v>49</v>
      </c>
      <c r="AI2" s="4" t="s">
        <v>49</v>
      </c>
      <c r="AJ2" s="4"/>
      <c r="AK2" s="4"/>
    </row>
    <row r="3" spans="1:37" x14ac:dyDescent="0.4">
      <c r="A3" s="42" t="s">
        <v>4</v>
      </c>
      <c r="B3" s="5" t="s">
        <v>5</v>
      </c>
      <c r="C3" s="6">
        <v>27</v>
      </c>
      <c r="D3" s="6">
        <v>27</v>
      </c>
      <c r="E3" s="6">
        <v>27</v>
      </c>
      <c r="F3" s="6"/>
      <c r="G3" s="6">
        <v>27</v>
      </c>
      <c r="H3" s="6">
        <v>27</v>
      </c>
      <c r="I3" s="6">
        <v>27</v>
      </c>
      <c r="J3" s="21">
        <v>27</v>
      </c>
      <c r="K3" s="6">
        <v>27</v>
      </c>
      <c r="L3" s="6"/>
      <c r="M3" s="6">
        <v>27</v>
      </c>
      <c r="N3" s="6">
        <v>27</v>
      </c>
      <c r="O3" s="6">
        <v>27</v>
      </c>
      <c r="P3" s="6">
        <v>27</v>
      </c>
      <c r="Q3" s="6">
        <v>27</v>
      </c>
      <c r="R3" s="6"/>
      <c r="S3" s="21">
        <v>27</v>
      </c>
      <c r="T3" s="21">
        <v>27</v>
      </c>
      <c r="U3" s="6"/>
      <c r="V3" s="6">
        <v>27</v>
      </c>
      <c r="W3" s="6">
        <v>27</v>
      </c>
      <c r="X3" s="6">
        <v>27</v>
      </c>
      <c r="Y3" s="6">
        <v>27</v>
      </c>
      <c r="Z3" s="6"/>
      <c r="AA3" s="6">
        <v>27</v>
      </c>
      <c r="AB3" s="6">
        <v>27</v>
      </c>
      <c r="AC3" s="6">
        <v>27</v>
      </c>
      <c r="AD3" s="6">
        <v>27</v>
      </c>
      <c r="AE3" s="6">
        <v>27</v>
      </c>
      <c r="AF3" s="6">
        <v>27</v>
      </c>
      <c r="AG3" s="6">
        <v>27</v>
      </c>
      <c r="AH3" s="6">
        <v>27</v>
      </c>
      <c r="AI3" s="6">
        <v>27</v>
      </c>
      <c r="AJ3" s="6">
        <v>27</v>
      </c>
      <c r="AK3" s="6"/>
    </row>
    <row r="4" spans="1:37" x14ac:dyDescent="0.4">
      <c r="A4" s="42"/>
      <c r="B4" s="5" t="s">
        <v>6</v>
      </c>
      <c r="C4" s="6">
        <v>19.600000000000001</v>
      </c>
      <c r="D4" s="6">
        <v>19.5</v>
      </c>
      <c r="E4" s="6">
        <v>19.5</v>
      </c>
      <c r="F4" s="6"/>
      <c r="G4" s="6">
        <v>19.5</v>
      </c>
      <c r="H4" s="6">
        <v>19.5</v>
      </c>
      <c r="I4" s="6">
        <v>19.5</v>
      </c>
      <c r="J4" s="21">
        <v>19.5</v>
      </c>
      <c r="K4" s="6">
        <v>19.5</v>
      </c>
      <c r="L4" s="6"/>
      <c r="M4" s="6">
        <v>19.5</v>
      </c>
      <c r="N4" s="6">
        <v>19.5</v>
      </c>
      <c r="O4" s="6">
        <v>19.5</v>
      </c>
      <c r="P4" s="6">
        <v>19.5</v>
      </c>
      <c r="Q4" s="6">
        <v>19.5</v>
      </c>
      <c r="R4" s="6"/>
      <c r="S4" s="21">
        <v>19.5</v>
      </c>
      <c r="T4" s="21">
        <v>19.5</v>
      </c>
      <c r="U4" s="6"/>
      <c r="V4" s="6">
        <v>19.5</v>
      </c>
      <c r="W4" s="6">
        <v>19.5</v>
      </c>
      <c r="X4" s="6">
        <v>19.5</v>
      </c>
      <c r="Y4" s="6">
        <v>19.5</v>
      </c>
      <c r="Z4" s="6"/>
      <c r="AA4" s="6">
        <v>19.5</v>
      </c>
      <c r="AB4" s="6">
        <v>19.5</v>
      </c>
      <c r="AC4" s="6">
        <v>19.5</v>
      </c>
      <c r="AD4" s="6">
        <v>19.5</v>
      </c>
      <c r="AE4" s="6">
        <v>19.5</v>
      </c>
      <c r="AF4" s="6">
        <v>19.5</v>
      </c>
      <c r="AG4" s="6">
        <v>19.5</v>
      </c>
      <c r="AH4" s="6">
        <v>19.5</v>
      </c>
      <c r="AI4" s="6">
        <v>19.5</v>
      </c>
      <c r="AJ4" s="6">
        <v>19.5</v>
      </c>
      <c r="AK4" s="6"/>
    </row>
    <row r="5" spans="1:37" x14ac:dyDescent="0.4">
      <c r="A5" s="42"/>
      <c r="B5" s="5" t="s">
        <v>7</v>
      </c>
      <c r="C5" s="6">
        <v>40</v>
      </c>
      <c r="D5" s="6">
        <v>40</v>
      </c>
      <c r="E5" s="6">
        <v>40</v>
      </c>
      <c r="F5" s="6"/>
      <c r="G5" s="6">
        <v>40</v>
      </c>
      <c r="H5" s="6">
        <v>40</v>
      </c>
      <c r="I5" s="6">
        <v>40</v>
      </c>
      <c r="J5" s="21">
        <v>40</v>
      </c>
      <c r="K5" s="6">
        <v>40</v>
      </c>
      <c r="L5" s="6"/>
      <c r="M5" s="6">
        <v>40</v>
      </c>
      <c r="N5" s="6">
        <v>40</v>
      </c>
      <c r="O5" s="6">
        <v>40</v>
      </c>
      <c r="P5" s="6">
        <v>40</v>
      </c>
      <c r="Q5" s="6">
        <v>40</v>
      </c>
      <c r="R5" s="6"/>
      <c r="S5" s="21">
        <v>40</v>
      </c>
      <c r="T5" s="21">
        <v>40</v>
      </c>
      <c r="U5" s="6"/>
      <c r="V5" s="6">
        <v>40</v>
      </c>
      <c r="W5" s="6">
        <v>40</v>
      </c>
      <c r="X5" s="6">
        <v>40</v>
      </c>
      <c r="Y5" s="6">
        <v>40</v>
      </c>
      <c r="Z5" s="6"/>
      <c r="AA5" s="6">
        <v>40</v>
      </c>
      <c r="AB5" s="6">
        <v>40</v>
      </c>
      <c r="AC5" s="6">
        <v>40</v>
      </c>
      <c r="AD5" s="6">
        <v>40</v>
      </c>
      <c r="AE5" s="6">
        <v>40</v>
      </c>
      <c r="AF5" s="6">
        <v>40</v>
      </c>
      <c r="AG5" s="6">
        <v>40</v>
      </c>
      <c r="AH5" s="6">
        <v>40</v>
      </c>
      <c r="AI5" s="6">
        <v>40</v>
      </c>
      <c r="AJ5" s="6">
        <v>40</v>
      </c>
      <c r="AK5" s="6"/>
    </row>
    <row r="6" spans="1:37" x14ac:dyDescent="0.4">
      <c r="A6" s="42"/>
      <c r="B6" s="5" t="s">
        <v>8</v>
      </c>
      <c r="C6" s="6">
        <v>30.2</v>
      </c>
      <c r="D6" s="6">
        <v>30.2</v>
      </c>
      <c r="E6" s="6">
        <v>30.2</v>
      </c>
      <c r="F6" s="6"/>
      <c r="G6" s="6">
        <v>30.2</v>
      </c>
      <c r="H6" s="6">
        <v>30.2</v>
      </c>
      <c r="I6" s="6">
        <v>30.2</v>
      </c>
      <c r="J6" s="21">
        <v>30.2</v>
      </c>
      <c r="K6" s="6">
        <v>30.2</v>
      </c>
      <c r="L6" s="6"/>
      <c r="M6" s="6">
        <v>30.2</v>
      </c>
      <c r="N6" s="6">
        <v>30.2</v>
      </c>
      <c r="O6" s="6">
        <v>30.2</v>
      </c>
      <c r="P6" s="6">
        <v>30.2</v>
      </c>
      <c r="Q6" s="6">
        <v>30.2</v>
      </c>
      <c r="R6" s="6"/>
      <c r="S6" s="21">
        <v>30.2</v>
      </c>
      <c r="T6" s="21">
        <v>30.2</v>
      </c>
      <c r="U6" s="6"/>
      <c r="V6" s="6">
        <v>30.2</v>
      </c>
      <c r="W6" s="6">
        <v>30.2</v>
      </c>
      <c r="X6" s="6">
        <v>30.2</v>
      </c>
      <c r="Y6" s="6">
        <v>30.2</v>
      </c>
      <c r="Z6" s="6"/>
      <c r="AA6" s="6">
        <v>30.2</v>
      </c>
      <c r="AB6" s="6">
        <v>30.2</v>
      </c>
      <c r="AC6" s="6">
        <v>30.2</v>
      </c>
      <c r="AD6" s="6">
        <v>30.2</v>
      </c>
      <c r="AE6" s="6">
        <v>30.2</v>
      </c>
      <c r="AF6" s="6">
        <v>30.2</v>
      </c>
      <c r="AG6" s="6">
        <v>30.2</v>
      </c>
      <c r="AH6" s="6">
        <v>30.2</v>
      </c>
      <c r="AI6" s="6">
        <v>30.2</v>
      </c>
      <c r="AJ6" s="6">
        <v>30.2</v>
      </c>
      <c r="AK6" s="6"/>
    </row>
    <row r="7" spans="1:37" x14ac:dyDescent="0.4">
      <c r="A7" s="43" t="s">
        <v>9</v>
      </c>
      <c r="B7" s="7" t="s">
        <v>10</v>
      </c>
      <c r="C7" s="7">
        <v>21.5</v>
      </c>
      <c r="D7" s="7">
        <v>17.88</v>
      </c>
      <c r="E7" s="7">
        <v>13.17</v>
      </c>
      <c r="F7" s="14"/>
      <c r="G7" s="14">
        <v>5.45</v>
      </c>
      <c r="H7" s="17">
        <v>7.4</v>
      </c>
      <c r="I7" s="17">
        <v>8.6199999999999992</v>
      </c>
      <c r="J7" s="22">
        <v>9.89</v>
      </c>
      <c r="K7" s="14">
        <v>12.63</v>
      </c>
      <c r="L7" s="7"/>
      <c r="M7" s="7">
        <v>1.31</v>
      </c>
      <c r="N7" s="7">
        <v>1.32</v>
      </c>
      <c r="O7" s="7">
        <v>2.17</v>
      </c>
      <c r="P7" s="7">
        <v>2.91</v>
      </c>
      <c r="Q7" s="7">
        <v>4.43</v>
      </c>
      <c r="R7" s="7"/>
      <c r="S7" s="27">
        <v>1.1299999999999999</v>
      </c>
      <c r="T7" s="28">
        <v>0.79</v>
      </c>
      <c r="U7" s="7"/>
      <c r="V7" s="17">
        <v>-1.92</v>
      </c>
      <c r="W7" s="7">
        <v>-2.02</v>
      </c>
      <c r="X7" s="7">
        <v>-2.02</v>
      </c>
      <c r="Y7" s="7">
        <v>-1.7</v>
      </c>
      <c r="Z7" s="7"/>
      <c r="AA7" s="7">
        <v>34.770000000000003</v>
      </c>
      <c r="AB7" s="7">
        <v>34.19</v>
      </c>
      <c r="AC7" s="7">
        <v>36.14</v>
      </c>
      <c r="AD7" s="32">
        <v>35.81</v>
      </c>
      <c r="AE7" s="7">
        <v>35.64</v>
      </c>
      <c r="AF7" s="7">
        <v>38.1</v>
      </c>
      <c r="AG7" s="7">
        <v>37.659999999999997</v>
      </c>
      <c r="AH7" s="32">
        <v>37.340000000000003</v>
      </c>
      <c r="AI7" s="7">
        <v>36.99</v>
      </c>
      <c r="AJ7" s="7">
        <v>36.44</v>
      </c>
      <c r="AK7" s="7"/>
    </row>
    <row r="8" spans="1:37" x14ac:dyDescent="0.4">
      <c r="A8" s="43"/>
      <c r="B8" s="7" t="s">
        <v>11</v>
      </c>
      <c r="C8" s="7">
        <v>134.79</v>
      </c>
      <c r="D8" s="7">
        <v>135.63999999999999</v>
      </c>
      <c r="E8" s="7">
        <v>133.76</v>
      </c>
      <c r="F8" s="14"/>
      <c r="G8" s="14">
        <v>83.86</v>
      </c>
      <c r="H8" s="17">
        <v>97.54</v>
      </c>
      <c r="I8" s="17">
        <v>103.7</v>
      </c>
      <c r="J8" s="22">
        <v>110.84</v>
      </c>
      <c r="K8" s="14">
        <v>124.04</v>
      </c>
      <c r="L8" s="7"/>
      <c r="M8" s="7">
        <v>92.7</v>
      </c>
      <c r="N8" s="7">
        <v>97.77</v>
      </c>
      <c r="O8" s="7">
        <v>104.01</v>
      </c>
      <c r="P8" s="7">
        <v>109.57</v>
      </c>
      <c r="Q8" s="7">
        <v>117.73</v>
      </c>
      <c r="R8" s="7"/>
      <c r="S8" s="27">
        <v>106.24</v>
      </c>
      <c r="T8" s="28">
        <v>99.46</v>
      </c>
      <c r="U8" s="7"/>
      <c r="V8" s="17">
        <v>101.16</v>
      </c>
      <c r="W8" s="7">
        <v>104.25</v>
      </c>
      <c r="X8" s="7">
        <v>107.58</v>
      </c>
      <c r="Y8" s="7">
        <v>112.85</v>
      </c>
      <c r="Z8" s="7"/>
      <c r="AA8" s="7">
        <v>137.9</v>
      </c>
      <c r="AB8" s="7">
        <v>132.65</v>
      </c>
      <c r="AC8" s="7">
        <v>135.49</v>
      </c>
      <c r="AD8" s="32">
        <v>132.61000000000001</v>
      </c>
      <c r="AE8" s="7">
        <v>130.07</v>
      </c>
      <c r="AF8" s="7">
        <v>136.18</v>
      </c>
      <c r="AG8" s="7">
        <v>130.61000000000001</v>
      </c>
      <c r="AH8" s="32">
        <v>127.33</v>
      </c>
      <c r="AI8" s="7">
        <v>124.7</v>
      </c>
      <c r="AJ8" s="7">
        <v>120.35</v>
      </c>
      <c r="AK8" s="7"/>
    </row>
    <row r="9" spans="1:37" ht="15.75" customHeight="1" x14ac:dyDescent="0.4">
      <c r="A9" s="43"/>
      <c r="B9" s="7" t="s">
        <v>12</v>
      </c>
      <c r="C9" s="7">
        <v>129.16</v>
      </c>
      <c r="D9" s="7">
        <v>130.5</v>
      </c>
      <c r="E9" s="7">
        <v>129.08000000000001</v>
      </c>
      <c r="F9" s="14"/>
      <c r="G9" s="14">
        <v>81.39</v>
      </c>
      <c r="H9" s="17">
        <v>95.06</v>
      </c>
      <c r="I9" s="17">
        <v>100.71</v>
      </c>
      <c r="J9" s="22">
        <v>107.43</v>
      </c>
      <c r="K9" s="14">
        <v>119.28</v>
      </c>
      <c r="L9" s="7"/>
      <c r="M9" s="7">
        <v>89.85</v>
      </c>
      <c r="N9" s="7">
        <v>94.8</v>
      </c>
      <c r="O9" s="7">
        <v>101.08</v>
      </c>
      <c r="P9" s="7">
        <v>106.17</v>
      </c>
      <c r="Q9" s="7">
        <v>113.86</v>
      </c>
      <c r="R9" s="7"/>
      <c r="S9" s="27">
        <v>103.11</v>
      </c>
      <c r="T9" s="28">
        <v>96.62</v>
      </c>
      <c r="U9" s="7"/>
      <c r="V9" s="17">
        <v>98.12</v>
      </c>
      <c r="W9" s="7">
        <v>101.12</v>
      </c>
      <c r="X9" s="7">
        <v>104.46</v>
      </c>
      <c r="Y9" s="7">
        <v>109.29</v>
      </c>
      <c r="Z9" s="7"/>
      <c r="AA9" s="7">
        <v>132.65</v>
      </c>
      <c r="AB9" s="7">
        <v>127.71</v>
      </c>
      <c r="AC9" s="7">
        <v>130.21</v>
      </c>
      <c r="AD9" s="32">
        <v>127.48</v>
      </c>
      <c r="AE9" s="7">
        <v>125.1</v>
      </c>
      <c r="AF9" s="7">
        <v>130.34</v>
      </c>
      <c r="AG9" s="7">
        <v>125.12</v>
      </c>
      <c r="AH9" s="32">
        <v>122.33</v>
      </c>
      <c r="AI9" s="7">
        <v>119.72</v>
      </c>
      <c r="AJ9" s="7">
        <v>115.66</v>
      </c>
      <c r="AK9" s="7"/>
    </row>
    <row r="10" spans="1:37" x14ac:dyDescent="0.4">
      <c r="A10" s="43"/>
      <c r="B10" s="7" t="s">
        <v>13</v>
      </c>
      <c r="C10" s="7">
        <v>42.3</v>
      </c>
      <c r="D10" s="7">
        <v>42.73</v>
      </c>
      <c r="E10" s="7">
        <v>43.27</v>
      </c>
      <c r="F10" s="14"/>
      <c r="G10" s="14">
        <v>42.76</v>
      </c>
      <c r="H10" s="17">
        <v>42.74</v>
      </c>
      <c r="I10" s="17">
        <v>42.34</v>
      </c>
      <c r="J10" s="22">
        <v>41.95</v>
      </c>
      <c r="K10" s="14">
        <v>41.57</v>
      </c>
      <c r="L10" s="7"/>
      <c r="M10" s="7">
        <v>43.32</v>
      </c>
      <c r="N10" s="7">
        <v>43.14</v>
      </c>
      <c r="O10" s="7">
        <v>42.98</v>
      </c>
      <c r="P10" s="7">
        <v>42.72</v>
      </c>
      <c r="Q10" s="7">
        <v>42.38</v>
      </c>
      <c r="R10" s="7"/>
      <c r="S10" s="27">
        <v>42.99</v>
      </c>
      <c r="T10" s="28">
        <v>43.29</v>
      </c>
      <c r="U10" s="7"/>
      <c r="V10" s="17">
        <v>43.75</v>
      </c>
      <c r="W10" s="7">
        <v>43.69</v>
      </c>
      <c r="X10" s="7">
        <v>43.46</v>
      </c>
      <c r="Y10" s="7">
        <v>43.24</v>
      </c>
      <c r="Z10" s="7"/>
      <c r="AA10" s="7">
        <v>43.03</v>
      </c>
      <c r="AB10" s="7">
        <v>42.57</v>
      </c>
      <c r="AC10" s="7">
        <v>42.87</v>
      </c>
      <c r="AD10" s="32">
        <v>42.54</v>
      </c>
      <c r="AE10" s="7">
        <v>42.58</v>
      </c>
      <c r="AF10" s="7">
        <v>42.24</v>
      </c>
      <c r="AG10" s="7">
        <v>42.35</v>
      </c>
      <c r="AH10" s="32">
        <v>42.3</v>
      </c>
      <c r="AI10" s="7">
        <v>42.24</v>
      </c>
      <c r="AJ10" s="7">
        <v>42.11</v>
      </c>
      <c r="AK10" s="7"/>
    </row>
    <row r="11" spans="1:37" x14ac:dyDescent="0.4">
      <c r="A11" s="43"/>
      <c r="B11" s="7" t="s">
        <v>14</v>
      </c>
      <c r="C11" s="8">
        <v>42.04</v>
      </c>
      <c r="D11" s="7">
        <v>42.35</v>
      </c>
      <c r="E11" s="7">
        <v>42.74</v>
      </c>
      <c r="F11" s="14"/>
      <c r="G11" s="14">
        <v>42.08</v>
      </c>
      <c r="H11" s="17">
        <v>42.37</v>
      </c>
      <c r="I11" s="17">
        <v>42.01</v>
      </c>
      <c r="J11" s="22">
        <v>41.69</v>
      </c>
      <c r="K11" s="14">
        <v>41.36</v>
      </c>
      <c r="L11" s="7"/>
      <c r="M11" s="7">
        <v>42.64</v>
      </c>
      <c r="N11" s="7">
        <v>42.6</v>
      </c>
      <c r="O11" s="7">
        <v>42.56</v>
      </c>
      <c r="P11" s="7">
        <v>42.35</v>
      </c>
      <c r="Q11" s="7">
        <v>42.09</v>
      </c>
      <c r="R11" s="7"/>
      <c r="S11" s="27">
        <v>42.61</v>
      </c>
      <c r="T11" s="28">
        <v>42.77</v>
      </c>
      <c r="U11" s="7"/>
      <c r="V11" s="17">
        <v>43.1</v>
      </c>
      <c r="W11" s="7">
        <v>43.08</v>
      </c>
      <c r="X11" s="7">
        <v>42.94</v>
      </c>
      <c r="Y11" s="7">
        <v>42.81</v>
      </c>
      <c r="Z11" s="7"/>
      <c r="AA11" s="7">
        <v>35.97</v>
      </c>
      <c r="AB11" s="7">
        <v>36</v>
      </c>
      <c r="AC11" s="7">
        <v>34.72</v>
      </c>
      <c r="AD11" s="32">
        <v>35.08</v>
      </c>
      <c r="AE11" s="7">
        <v>35.270000000000003</v>
      </c>
      <c r="AF11" s="7">
        <v>35.200000000000003</v>
      </c>
      <c r="AG11" s="7">
        <v>35.369999999999997</v>
      </c>
      <c r="AH11" s="32">
        <v>36.51</v>
      </c>
      <c r="AI11" s="7">
        <v>35.74</v>
      </c>
      <c r="AJ11" s="7">
        <v>36.1</v>
      </c>
      <c r="AK11" s="7"/>
    </row>
    <row r="12" spans="1:37" x14ac:dyDescent="0.4">
      <c r="A12" s="43"/>
      <c r="B12" s="8" t="s">
        <v>15</v>
      </c>
      <c r="C12" s="7">
        <v>41.23</v>
      </c>
      <c r="D12" s="8">
        <v>41.56</v>
      </c>
      <c r="E12" s="7">
        <v>42.1</v>
      </c>
      <c r="F12" s="14"/>
      <c r="G12" s="14">
        <v>41.51</v>
      </c>
      <c r="H12" s="17">
        <v>41.7</v>
      </c>
      <c r="I12" s="17">
        <v>41.24</v>
      </c>
      <c r="J12" s="22">
        <v>40.86</v>
      </c>
      <c r="K12" s="14">
        <v>40.39</v>
      </c>
      <c r="L12" s="7"/>
      <c r="M12" s="7">
        <v>42.06</v>
      </c>
      <c r="N12" s="7">
        <v>41.99</v>
      </c>
      <c r="O12" s="7">
        <v>41.87</v>
      </c>
      <c r="P12" s="7">
        <v>41.6</v>
      </c>
      <c r="Q12" s="7">
        <v>41.24</v>
      </c>
      <c r="R12" s="7"/>
      <c r="S12" s="22">
        <v>41.93</v>
      </c>
      <c r="T12" s="29">
        <v>42.13</v>
      </c>
      <c r="U12" s="7"/>
      <c r="V12" s="17">
        <v>42.49</v>
      </c>
      <c r="W12" s="7">
        <v>42.5</v>
      </c>
      <c r="X12" s="7">
        <v>42.3</v>
      </c>
      <c r="Y12" s="7">
        <v>42.1</v>
      </c>
      <c r="Z12" s="7"/>
      <c r="AA12" s="7">
        <v>35.729999999999997</v>
      </c>
      <c r="AB12" s="7">
        <v>36.200000000000003</v>
      </c>
      <c r="AC12" s="7">
        <v>34.89</v>
      </c>
      <c r="AD12" s="32">
        <v>35.25</v>
      </c>
      <c r="AE12" s="7">
        <v>35.75</v>
      </c>
      <c r="AF12" s="7">
        <v>35.14</v>
      </c>
      <c r="AG12" s="7">
        <v>35.619999999999997</v>
      </c>
      <c r="AH12" s="32">
        <v>36</v>
      </c>
      <c r="AI12" s="7">
        <v>35.94</v>
      </c>
      <c r="AJ12" s="7">
        <v>36.19</v>
      </c>
      <c r="AK12" s="7"/>
    </row>
    <row r="13" spans="1:37" x14ac:dyDescent="0.4">
      <c r="A13" s="43"/>
      <c r="B13" s="7" t="s">
        <v>16</v>
      </c>
      <c r="C13" s="7">
        <v>3.05</v>
      </c>
      <c r="D13" s="7">
        <v>4.71</v>
      </c>
      <c r="E13" s="7">
        <v>6.43</v>
      </c>
      <c r="F13" s="14"/>
      <c r="G13" s="14">
        <v>11.7</v>
      </c>
      <c r="H13" s="17">
        <v>9.94</v>
      </c>
      <c r="I13" s="17">
        <v>9.11</v>
      </c>
      <c r="J13" s="22">
        <v>8.27</v>
      </c>
      <c r="K13" s="14">
        <v>7.32</v>
      </c>
      <c r="L13" s="7"/>
      <c r="M13" s="7">
        <v>10.43</v>
      </c>
      <c r="N13" s="7">
        <v>9.48</v>
      </c>
      <c r="O13" s="7">
        <v>8.82</v>
      </c>
      <c r="P13" s="7">
        <v>8.1999999999999993</v>
      </c>
      <c r="Q13" s="7">
        <v>7.63</v>
      </c>
      <c r="R13" s="7"/>
      <c r="S13" s="27">
        <v>8.3000000000000007</v>
      </c>
      <c r="T13" s="28">
        <v>9.06</v>
      </c>
      <c r="U13" s="7"/>
      <c r="V13" s="17">
        <v>9.51</v>
      </c>
      <c r="W13" s="7">
        <v>9.06</v>
      </c>
      <c r="X13" s="7">
        <v>8.52</v>
      </c>
      <c r="Y13" s="7">
        <v>7.89</v>
      </c>
      <c r="Z13" s="7"/>
      <c r="AA13" s="7">
        <v>8.08</v>
      </c>
      <c r="AB13" s="7">
        <v>8.99</v>
      </c>
      <c r="AC13" s="7">
        <v>7.64</v>
      </c>
      <c r="AD13" s="32">
        <v>7.82</v>
      </c>
      <c r="AE13" s="7">
        <v>8.4600000000000009</v>
      </c>
      <c r="AF13" s="7">
        <v>7.19</v>
      </c>
      <c r="AG13" s="7">
        <v>8.06</v>
      </c>
      <c r="AH13" s="32">
        <v>8.35</v>
      </c>
      <c r="AI13" s="7">
        <v>8.77</v>
      </c>
      <c r="AJ13" s="7">
        <v>9.4</v>
      </c>
      <c r="AK13" s="7"/>
    </row>
    <row r="14" spans="1:37" x14ac:dyDescent="0.4">
      <c r="A14" s="43"/>
      <c r="B14" s="7" t="s">
        <v>17</v>
      </c>
      <c r="C14" s="7">
        <v>2.84</v>
      </c>
      <c r="D14" s="7">
        <v>4.55</v>
      </c>
      <c r="E14" s="7">
        <v>6.01</v>
      </c>
      <c r="F14" s="14"/>
      <c r="G14" s="14">
        <v>11.52</v>
      </c>
      <c r="H14" s="17">
        <v>9.7100000000000009</v>
      </c>
      <c r="I14" s="17">
        <v>9.0500000000000007</v>
      </c>
      <c r="J14" s="22">
        <v>8.3699999999999992</v>
      </c>
      <c r="K14" s="14">
        <v>7.5</v>
      </c>
      <c r="L14" s="7"/>
      <c r="M14" s="7">
        <v>10.14</v>
      </c>
      <c r="N14" s="17">
        <v>9.3000000000000007</v>
      </c>
      <c r="O14" s="7">
        <v>8.59</v>
      </c>
      <c r="P14" s="7">
        <v>8.14</v>
      </c>
      <c r="Q14" s="7">
        <v>7.55</v>
      </c>
      <c r="R14" s="7"/>
      <c r="S14" s="27">
        <v>8.1199999999999992</v>
      </c>
      <c r="T14" s="28">
        <v>8.7799999999999994</v>
      </c>
      <c r="U14" s="7"/>
      <c r="V14" s="17">
        <v>9.16</v>
      </c>
      <c r="W14" s="7">
        <v>8.73</v>
      </c>
      <c r="X14" s="7">
        <v>8.24</v>
      </c>
      <c r="Y14" s="7">
        <v>7.74</v>
      </c>
      <c r="Z14" s="7"/>
      <c r="AA14" s="7">
        <v>7.72</v>
      </c>
      <c r="AB14" s="7">
        <v>8.69</v>
      </c>
      <c r="AC14" s="7">
        <v>7.48</v>
      </c>
      <c r="AD14" s="32">
        <v>7.83</v>
      </c>
      <c r="AE14" s="7">
        <v>8.3800000000000008</v>
      </c>
      <c r="AF14" s="7">
        <v>7.32</v>
      </c>
      <c r="AG14" s="7">
        <v>8.09</v>
      </c>
      <c r="AH14" s="32">
        <v>8.33</v>
      </c>
      <c r="AI14" s="7">
        <v>8.86</v>
      </c>
      <c r="AJ14" s="7">
        <v>9.4600000000000009</v>
      </c>
      <c r="AK14" s="7"/>
    </row>
    <row r="15" spans="1:37" x14ac:dyDescent="0.4">
      <c r="A15" s="43"/>
      <c r="B15" s="7" t="s">
        <v>18</v>
      </c>
      <c r="C15" s="7">
        <v>20.260000000000002</v>
      </c>
      <c r="D15" s="7">
        <v>18.47</v>
      </c>
      <c r="E15" s="7">
        <v>15.32</v>
      </c>
      <c r="F15" s="14"/>
      <c r="G15" s="14">
        <v>7.89</v>
      </c>
      <c r="H15" s="17">
        <v>8.7100000000000009</v>
      </c>
      <c r="I15" s="17">
        <v>9.5500000000000007</v>
      </c>
      <c r="J15" s="22">
        <v>10.5</v>
      </c>
      <c r="K15" s="14">
        <v>12.6</v>
      </c>
      <c r="L15" s="7"/>
      <c r="M15" s="7">
        <v>5.27</v>
      </c>
      <c r="N15" s="17">
        <v>4.7699999999999996</v>
      </c>
      <c r="O15" s="7">
        <v>5.0199999999999996</v>
      </c>
      <c r="P15" s="7">
        <v>5.37</v>
      </c>
      <c r="Q15" s="7">
        <v>6.33</v>
      </c>
      <c r="R15" s="7"/>
      <c r="S15" s="27">
        <v>3.91</v>
      </c>
      <c r="T15" s="28">
        <v>4.3099999999999996</v>
      </c>
      <c r="U15" s="7"/>
      <c r="V15" s="17">
        <v>3.39</v>
      </c>
      <c r="W15" s="7">
        <v>3.01</v>
      </c>
      <c r="X15" s="7">
        <v>2.7</v>
      </c>
      <c r="Y15" s="7">
        <v>2.48</v>
      </c>
      <c r="Z15" s="7"/>
      <c r="AA15" s="7">
        <v>4.08</v>
      </c>
      <c r="AB15" s="7">
        <v>4.95</v>
      </c>
      <c r="AC15" s="7">
        <v>4.92</v>
      </c>
      <c r="AD15" s="32">
        <v>5.07</v>
      </c>
      <c r="AE15" s="7">
        <v>5.52</v>
      </c>
      <c r="AF15" s="7">
        <v>12.28</v>
      </c>
      <c r="AG15" s="7">
        <v>10.49</v>
      </c>
      <c r="AH15" s="32">
        <v>9.84</v>
      </c>
      <c r="AI15" s="7">
        <v>9.0299999999999994</v>
      </c>
      <c r="AJ15" s="7">
        <v>8.08</v>
      </c>
      <c r="AK15" s="7"/>
    </row>
    <row r="16" spans="1:37" x14ac:dyDescent="0.4">
      <c r="A16" s="43"/>
      <c r="B16" s="7" t="s">
        <v>19</v>
      </c>
      <c r="C16" s="7">
        <v>20.2</v>
      </c>
      <c r="D16" s="7">
        <v>17.5</v>
      </c>
      <c r="E16" s="7">
        <v>14</v>
      </c>
      <c r="F16" s="14"/>
      <c r="G16" s="14">
        <v>6.75</v>
      </c>
      <c r="H16" s="17">
        <v>8.0299999999999994</v>
      </c>
      <c r="I16" s="17">
        <v>8.7200000000000006</v>
      </c>
      <c r="J16" s="22">
        <v>9.61</v>
      </c>
      <c r="K16" s="14">
        <v>11.78</v>
      </c>
      <c r="L16" s="7"/>
      <c r="M16" s="7">
        <v>3.88</v>
      </c>
      <c r="N16" s="17">
        <v>3.38</v>
      </c>
      <c r="O16" s="7">
        <v>3.79</v>
      </c>
      <c r="P16" s="7">
        <v>4.18</v>
      </c>
      <c r="Q16" s="7">
        <v>5.22</v>
      </c>
      <c r="R16" s="7"/>
      <c r="S16" s="27">
        <v>2.95</v>
      </c>
      <c r="T16" s="28">
        <v>3.29</v>
      </c>
      <c r="U16" s="7"/>
      <c r="V16" s="17">
        <v>1.72</v>
      </c>
      <c r="W16" s="7">
        <v>1.41</v>
      </c>
      <c r="X16" s="7">
        <v>1.1200000000000001</v>
      </c>
      <c r="Y16" s="7">
        <v>0.95</v>
      </c>
      <c r="Z16" s="7"/>
      <c r="AA16" s="7">
        <v>3.4</v>
      </c>
      <c r="AB16" s="7">
        <v>4.07</v>
      </c>
      <c r="AC16" s="7">
        <v>4.33</v>
      </c>
      <c r="AD16" s="32">
        <v>4.3099999999999996</v>
      </c>
      <c r="AE16" s="7">
        <v>4.8</v>
      </c>
      <c r="AF16" s="7">
        <v>11.75</v>
      </c>
      <c r="AG16" s="7">
        <v>9.9600000000000009</v>
      </c>
      <c r="AH16" s="32">
        <v>9.35</v>
      </c>
      <c r="AI16" s="7">
        <v>8.4700000000000006</v>
      </c>
      <c r="AJ16" s="7">
        <v>7.49</v>
      </c>
      <c r="AK16" s="7"/>
    </row>
    <row r="17" spans="1:37" x14ac:dyDescent="0.4">
      <c r="A17" s="43"/>
      <c r="B17" s="7" t="s">
        <v>20</v>
      </c>
      <c r="C17" s="7">
        <v>20.84</v>
      </c>
      <c r="D17" s="7">
        <v>18.13</v>
      </c>
      <c r="E17" s="7">
        <v>14.46</v>
      </c>
      <c r="F17" s="14"/>
      <c r="G17" s="14">
        <v>6.85</v>
      </c>
      <c r="H17" s="17">
        <v>8.3000000000000007</v>
      </c>
      <c r="I17" s="17">
        <v>9.15</v>
      </c>
      <c r="J17" s="22">
        <v>10.224</v>
      </c>
      <c r="K17" s="14">
        <v>12.53</v>
      </c>
      <c r="L17" s="7"/>
      <c r="M17" s="7">
        <v>3.43</v>
      </c>
      <c r="N17" s="17">
        <v>3.37</v>
      </c>
      <c r="O17" s="7">
        <v>3.9</v>
      </c>
      <c r="P17" s="7">
        <v>4.42</v>
      </c>
      <c r="Q17" s="7">
        <v>5.53</v>
      </c>
      <c r="R17" s="7"/>
      <c r="S17" s="27">
        <v>2.66</v>
      </c>
      <c r="T17" s="28">
        <v>2.66</v>
      </c>
      <c r="U17" s="7"/>
      <c r="V17" s="17">
        <v>1.04</v>
      </c>
      <c r="W17" s="7">
        <v>0.85</v>
      </c>
      <c r="X17" s="7">
        <v>0.68</v>
      </c>
      <c r="Y17" s="7">
        <v>0.75</v>
      </c>
      <c r="Z17" s="7"/>
      <c r="AA17" s="7">
        <v>2.73</v>
      </c>
      <c r="AB17" s="7">
        <v>3.47</v>
      </c>
      <c r="AC17" s="7">
        <v>4.46</v>
      </c>
      <c r="AD17" s="32">
        <v>4.01</v>
      </c>
      <c r="AE17" s="7">
        <v>4.3899999999999997</v>
      </c>
      <c r="AF17" s="7">
        <v>12.37</v>
      </c>
      <c r="AG17" s="7">
        <v>10.56</v>
      </c>
      <c r="AH17" s="32">
        <v>9.93</v>
      </c>
      <c r="AI17" s="7">
        <v>8.8699999999999992</v>
      </c>
      <c r="AJ17" s="7">
        <v>7.78</v>
      </c>
      <c r="AK17" s="7"/>
    </row>
    <row r="18" spans="1:37" x14ac:dyDescent="0.4">
      <c r="A18" s="43"/>
      <c r="B18" s="7" t="s">
        <v>21</v>
      </c>
      <c r="C18" s="7">
        <v>41.5</v>
      </c>
      <c r="D18" s="7">
        <v>41.62</v>
      </c>
      <c r="E18" s="7">
        <v>41.97</v>
      </c>
      <c r="F18" s="14"/>
      <c r="G18" s="14">
        <v>41.28</v>
      </c>
      <c r="H18" s="17">
        <v>41.54</v>
      </c>
      <c r="I18" s="17">
        <v>41.22</v>
      </c>
      <c r="J18" s="22">
        <v>41.06</v>
      </c>
      <c r="K18" s="14">
        <v>40.85</v>
      </c>
      <c r="L18" s="7"/>
      <c r="M18" s="7">
        <v>41.68</v>
      </c>
      <c r="N18" s="17">
        <v>41.63</v>
      </c>
      <c r="O18" s="7">
        <v>41.66</v>
      </c>
      <c r="P18" s="7">
        <v>41.45</v>
      </c>
      <c r="Q18" s="7">
        <v>41.34</v>
      </c>
      <c r="R18" s="7"/>
      <c r="S18" s="27">
        <v>41.82</v>
      </c>
      <c r="T18" s="28">
        <v>41.85</v>
      </c>
      <c r="U18" s="7"/>
      <c r="V18" s="17">
        <v>41.96</v>
      </c>
      <c r="W18" s="7">
        <v>42</v>
      </c>
      <c r="X18" s="7">
        <v>41.88</v>
      </c>
      <c r="Y18" s="7">
        <v>41.77</v>
      </c>
      <c r="Z18" s="7"/>
      <c r="AA18" s="7">
        <v>0.8</v>
      </c>
      <c r="AB18" s="7">
        <v>1.47</v>
      </c>
      <c r="AC18" s="7">
        <v>3.88</v>
      </c>
      <c r="AD18" s="32">
        <v>3.09</v>
      </c>
      <c r="AE18" s="7">
        <v>3.36</v>
      </c>
      <c r="AF18" s="7">
        <v>12.44</v>
      </c>
      <c r="AG18" s="7">
        <v>10.69</v>
      </c>
      <c r="AH18" s="32">
        <v>9.89</v>
      </c>
      <c r="AI18" s="7">
        <v>8.73</v>
      </c>
      <c r="AJ18" s="7">
        <v>7.51</v>
      </c>
      <c r="AK18" s="7"/>
    </row>
    <row r="19" spans="1:37" x14ac:dyDescent="0.4">
      <c r="A19" s="44" t="s">
        <v>22</v>
      </c>
      <c r="B19" s="9" t="s">
        <v>23</v>
      </c>
      <c r="C19" s="10">
        <v>3.21</v>
      </c>
      <c r="D19" s="10">
        <v>3.12</v>
      </c>
      <c r="E19" s="10">
        <v>3.04</v>
      </c>
      <c r="F19" s="10"/>
      <c r="G19" s="10">
        <v>3.89</v>
      </c>
      <c r="H19" s="10">
        <v>3.79</v>
      </c>
      <c r="I19" s="10">
        <v>3.76</v>
      </c>
      <c r="J19" s="23">
        <v>3.72</v>
      </c>
      <c r="K19" s="10">
        <v>3.68</v>
      </c>
      <c r="L19" s="10"/>
      <c r="M19" s="10">
        <v>3.54</v>
      </c>
      <c r="N19" s="10">
        <v>3.49</v>
      </c>
      <c r="O19" s="10">
        <v>3.48</v>
      </c>
      <c r="P19" s="10">
        <v>3.47</v>
      </c>
      <c r="Q19" s="10">
        <v>3.47</v>
      </c>
      <c r="R19" s="10"/>
      <c r="S19" s="30">
        <v>3.47</v>
      </c>
      <c r="T19" s="30">
        <v>3.49</v>
      </c>
      <c r="U19" s="10"/>
      <c r="V19" s="10">
        <v>3.27</v>
      </c>
      <c r="W19" s="10">
        <v>3.25</v>
      </c>
      <c r="X19" s="10">
        <v>3.23</v>
      </c>
      <c r="Y19" s="10">
        <v>3.22</v>
      </c>
      <c r="Z19" s="10"/>
      <c r="AA19" s="10">
        <v>3.4</v>
      </c>
      <c r="AB19" s="10">
        <v>3.47</v>
      </c>
      <c r="AC19" s="10">
        <v>3.57</v>
      </c>
      <c r="AD19" s="10">
        <v>3.61</v>
      </c>
      <c r="AE19" s="10">
        <v>3.64</v>
      </c>
      <c r="AF19" s="10">
        <v>3.73</v>
      </c>
      <c r="AG19" s="10">
        <v>3.8</v>
      </c>
      <c r="AH19" s="10">
        <v>3.81</v>
      </c>
      <c r="AI19" s="10">
        <v>3.87</v>
      </c>
      <c r="AJ19" s="10">
        <v>3.92</v>
      </c>
      <c r="AK19" s="10"/>
    </row>
    <row r="20" spans="1:37" x14ac:dyDescent="0.4">
      <c r="A20" s="44"/>
      <c r="B20" s="9" t="s">
        <v>24</v>
      </c>
      <c r="C20" s="10">
        <v>9.8960000000000008</v>
      </c>
      <c r="D20" s="10">
        <v>9.9629999999999992</v>
      </c>
      <c r="E20" s="10">
        <v>9.9570000000000007</v>
      </c>
      <c r="F20" s="10"/>
      <c r="G20" s="10">
        <v>9.8849999999999998</v>
      </c>
      <c r="H20" s="10">
        <v>10.343</v>
      </c>
      <c r="I20" s="10">
        <v>10.667</v>
      </c>
      <c r="J20" s="23">
        <v>10.946</v>
      </c>
      <c r="K20" s="10">
        <v>11.468</v>
      </c>
      <c r="L20" s="10"/>
      <c r="M20" s="10">
        <v>10.269</v>
      </c>
      <c r="N20" s="10">
        <v>10.57</v>
      </c>
      <c r="O20" s="10">
        <v>10.871</v>
      </c>
      <c r="P20" s="10">
        <v>10.989000000000001</v>
      </c>
      <c r="Q20" s="10">
        <v>11.313000000000001</v>
      </c>
      <c r="R20" s="10"/>
      <c r="S20" s="30">
        <v>11.084</v>
      </c>
      <c r="T20" s="30">
        <v>10.686</v>
      </c>
      <c r="U20" s="10"/>
      <c r="V20" s="10">
        <v>10.459</v>
      </c>
      <c r="W20" s="10">
        <v>10.68</v>
      </c>
      <c r="X20" s="10">
        <v>10.882</v>
      </c>
      <c r="Y20" s="10">
        <v>11</v>
      </c>
      <c r="Z20" s="10"/>
      <c r="AA20" s="10">
        <v>9.2189999999999994</v>
      </c>
      <c r="AB20" s="10">
        <v>9.0229999999999997</v>
      </c>
      <c r="AC20" s="10">
        <v>9.5150000000000006</v>
      </c>
      <c r="AD20" s="10">
        <v>9.3650000000000002</v>
      </c>
      <c r="AE20" s="10">
        <v>9.3689999999999998</v>
      </c>
      <c r="AF20" s="10">
        <v>9.907</v>
      </c>
      <c r="AG20" s="10">
        <v>9.6859999999999999</v>
      </c>
      <c r="AH20" s="10">
        <v>9.5429999999999993</v>
      </c>
      <c r="AI20" s="10">
        <v>9.4649999999999999</v>
      </c>
      <c r="AJ20" s="10">
        <v>9.2159999999999993</v>
      </c>
      <c r="AK20" s="10"/>
    </row>
    <row r="21" spans="1:37" x14ac:dyDescent="0.4">
      <c r="A21" s="44"/>
      <c r="B21" s="9" t="s">
        <v>25</v>
      </c>
      <c r="C21" s="10">
        <v>9.8249999999999993</v>
      </c>
      <c r="D21" s="10">
        <v>9.8190000000000008</v>
      </c>
      <c r="E21" s="10">
        <v>9.8079999999999998</v>
      </c>
      <c r="F21" s="10"/>
      <c r="G21" s="10">
        <v>9.6760000000000002</v>
      </c>
      <c r="H21" s="10">
        <v>10.202</v>
      </c>
      <c r="I21" s="10">
        <v>10.555999999999999</v>
      </c>
      <c r="J21" s="23">
        <v>10.877000000000001</v>
      </c>
      <c r="K21" s="10">
        <v>11.379</v>
      </c>
      <c r="L21" s="10"/>
      <c r="M21" s="10">
        <v>10.041</v>
      </c>
      <c r="N21" s="16">
        <v>10.37</v>
      </c>
      <c r="O21" s="10">
        <v>10.693</v>
      </c>
      <c r="P21" s="10">
        <v>10.824999999999999</v>
      </c>
      <c r="Q21" s="10">
        <v>11.173</v>
      </c>
      <c r="R21" s="10"/>
      <c r="S21" s="30">
        <v>10.936</v>
      </c>
      <c r="T21" s="30">
        <v>10.505000000000001</v>
      </c>
      <c r="U21" s="10"/>
      <c r="V21" s="10">
        <v>10.234999999999999</v>
      </c>
      <c r="W21" s="10">
        <v>10.452999999999999</v>
      </c>
      <c r="X21" s="10">
        <v>10.677</v>
      </c>
      <c r="Y21" s="10">
        <v>11.117000000000001</v>
      </c>
      <c r="Z21" s="10"/>
      <c r="AA21" s="10">
        <v>9.0250000000000004</v>
      </c>
      <c r="AB21" s="10">
        <v>8.7880000000000003</v>
      </c>
      <c r="AC21" s="10">
        <v>9.3330000000000002</v>
      </c>
      <c r="AD21" s="10">
        <v>9.1280000000000001</v>
      </c>
      <c r="AE21" s="10">
        <v>9.1959999999999997</v>
      </c>
      <c r="AF21" s="10">
        <v>9.7949999999999999</v>
      </c>
      <c r="AG21" s="10">
        <v>9.5839999999999996</v>
      </c>
      <c r="AH21" s="10">
        <v>9.3279999999999994</v>
      </c>
      <c r="AI21" s="10">
        <v>9.35</v>
      </c>
      <c r="AJ21" s="10">
        <v>9.0790000000000006</v>
      </c>
      <c r="AK21" s="10"/>
    </row>
    <row r="22" spans="1:37" x14ac:dyDescent="0.4">
      <c r="A22" s="44"/>
      <c r="B22" s="9" t="s">
        <v>26</v>
      </c>
      <c r="C22" s="10">
        <v>3.7549999999999999</v>
      </c>
      <c r="D22" s="10">
        <v>4.0830000000000002</v>
      </c>
      <c r="E22" s="10">
        <v>4.1639999999999997</v>
      </c>
      <c r="F22" s="10"/>
      <c r="G22" s="10">
        <v>4.6390000000000002</v>
      </c>
      <c r="H22" s="10">
        <v>4.319</v>
      </c>
      <c r="I22" s="10">
        <v>4.3540000000000001</v>
      </c>
      <c r="J22" s="23">
        <v>4.2809999999999997</v>
      </c>
      <c r="K22" s="10">
        <v>4.1779999999999999</v>
      </c>
      <c r="L22" s="10"/>
      <c r="M22" s="10">
        <v>4.4870000000000001</v>
      </c>
      <c r="N22" s="10">
        <v>4.3760000000000003</v>
      </c>
      <c r="O22" s="10">
        <v>4.3079999999999998</v>
      </c>
      <c r="P22" s="10">
        <v>4.1509999999999998</v>
      </c>
      <c r="Q22" s="10">
        <v>4.0910000000000002</v>
      </c>
      <c r="R22" s="10"/>
      <c r="S22" s="30">
        <v>4.2759999999999998</v>
      </c>
      <c r="T22" s="30">
        <v>4.3490000000000002</v>
      </c>
      <c r="U22" s="10"/>
      <c r="V22" s="10">
        <v>4.2699999999999996</v>
      </c>
      <c r="W22" s="10">
        <v>4.2190000000000003</v>
      </c>
      <c r="X22" s="10">
        <v>4.1669999999999998</v>
      </c>
      <c r="Y22" s="10">
        <v>4.2080000000000002</v>
      </c>
      <c r="Z22" s="10"/>
      <c r="AA22" s="10">
        <v>4.0999999999999996</v>
      </c>
      <c r="AB22" s="10">
        <v>4.2140000000000004</v>
      </c>
      <c r="AC22" s="10">
        <v>4.0940000000000003</v>
      </c>
      <c r="AD22" s="10">
        <v>4.1349999999999998</v>
      </c>
      <c r="AE22" s="10">
        <v>4.2809999999999997</v>
      </c>
      <c r="AF22" s="10">
        <v>4.1669999999999998</v>
      </c>
      <c r="AG22" s="10">
        <v>4.2539999999999996</v>
      </c>
      <c r="AH22" s="10">
        <v>4.2839999999999998</v>
      </c>
      <c r="AI22" s="10">
        <v>4.327</v>
      </c>
      <c r="AJ22" s="10">
        <v>4.3</v>
      </c>
      <c r="AK22" s="10"/>
    </row>
    <row r="23" spans="1:37" x14ac:dyDescent="0.4">
      <c r="A23" s="44"/>
      <c r="B23" s="9" t="s">
        <v>27</v>
      </c>
      <c r="C23" s="10">
        <v>3.4447999999999999</v>
      </c>
      <c r="D23" s="10">
        <v>3.5619999999999998</v>
      </c>
      <c r="E23" s="10">
        <v>3.6</v>
      </c>
      <c r="F23" s="10"/>
      <c r="G23" s="10">
        <v>4.1859999999999999</v>
      </c>
      <c r="H23" s="10">
        <v>3.948</v>
      </c>
      <c r="I23" s="10">
        <v>3.9990000000000001</v>
      </c>
      <c r="J23" s="23">
        <v>3.9529999999999998</v>
      </c>
      <c r="K23" s="10">
        <v>3.8980000000000001</v>
      </c>
      <c r="L23" s="10"/>
      <c r="M23" s="10">
        <v>3.9470000000000001</v>
      </c>
      <c r="N23" s="10">
        <v>3.871</v>
      </c>
      <c r="O23" s="10">
        <v>3.8279999999999998</v>
      </c>
      <c r="P23" s="10">
        <v>3.706</v>
      </c>
      <c r="Q23" s="10">
        <v>3.6680000000000001</v>
      </c>
      <c r="R23" s="10"/>
      <c r="S23" s="30">
        <v>3.8330000000000002</v>
      </c>
      <c r="T23" s="30">
        <v>3.8690000000000002</v>
      </c>
      <c r="U23" s="10"/>
      <c r="V23" s="10">
        <v>3.6520000000000001</v>
      </c>
      <c r="W23" s="10">
        <v>3.617</v>
      </c>
      <c r="X23" s="10">
        <v>3.5790000000000002</v>
      </c>
      <c r="Y23" s="10">
        <v>3.6509999999999998</v>
      </c>
      <c r="Z23" s="10"/>
      <c r="AA23" s="10">
        <v>3.7170000000000001</v>
      </c>
      <c r="AB23" s="10">
        <v>3.8039999999999998</v>
      </c>
      <c r="AC23" s="10">
        <v>3.7690000000000001</v>
      </c>
      <c r="AD23" s="10">
        <v>3.8149999999999999</v>
      </c>
      <c r="AE23" s="10">
        <v>3.9609999999999999</v>
      </c>
      <c r="AF23" s="10">
        <v>3.9359999999999999</v>
      </c>
      <c r="AG23" s="10">
        <v>4.0209999999999999</v>
      </c>
      <c r="AH23" s="10">
        <v>4.0339999999999998</v>
      </c>
      <c r="AI23" s="10">
        <v>4.0990000000000002</v>
      </c>
      <c r="AJ23" s="10">
        <v>4.0369999999999999</v>
      </c>
      <c r="AK23" s="10"/>
    </row>
    <row r="24" spans="1:37" x14ac:dyDescent="0.4">
      <c r="A24" s="45" t="s">
        <v>28</v>
      </c>
      <c r="B24" s="11" t="s">
        <v>29</v>
      </c>
      <c r="C24" s="11">
        <v>345</v>
      </c>
      <c r="D24" s="11">
        <v>345</v>
      </c>
      <c r="E24" s="11">
        <v>345</v>
      </c>
      <c r="F24" s="15"/>
      <c r="G24" s="15">
        <v>345</v>
      </c>
      <c r="H24" s="15">
        <v>345</v>
      </c>
      <c r="I24" s="15">
        <v>345</v>
      </c>
      <c r="J24" s="24">
        <v>345</v>
      </c>
      <c r="K24" s="15">
        <v>345</v>
      </c>
      <c r="L24" s="11"/>
      <c r="M24" s="11">
        <v>345</v>
      </c>
      <c r="N24" s="11">
        <v>345</v>
      </c>
      <c r="O24" s="11">
        <v>345</v>
      </c>
      <c r="P24" s="11">
        <v>345</v>
      </c>
      <c r="Q24" s="11">
        <v>345</v>
      </c>
      <c r="R24" s="11"/>
      <c r="S24" s="31">
        <v>345</v>
      </c>
      <c r="T24" s="31">
        <v>345</v>
      </c>
      <c r="U24" s="11"/>
      <c r="V24" s="18">
        <v>345</v>
      </c>
      <c r="W24" s="18">
        <v>345</v>
      </c>
      <c r="X24" s="18">
        <v>345</v>
      </c>
      <c r="Y24" s="18">
        <v>345</v>
      </c>
      <c r="Z24" s="11"/>
      <c r="AA24" s="11">
        <v>345</v>
      </c>
      <c r="AB24" s="11">
        <v>345</v>
      </c>
      <c r="AC24" s="11">
        <v>345</v>
      </c>
      <c r="AD24" s="33">
        <v>345</v>
      </c>
      <c r="AE24" s="11">
        <v>345</v>
      </c>
      <c r="AF24" s="33">
        <v>345</v>
      </c>
      <c r="AG24" s="33">
        <v>345</v>
      </c>
      <c r="AH24" s="33">
        <v>345</v>
      </c>
      <c r="AI24" s="33">
        <v>345</v>
      </c>
      <c r="AJ24" s="33">
        <v>345</v>
      </c>
      <c r="AK24" s="11"/>
    </row>
    <row r="25" spans="1:37" x14ac:dyDescent="0.4">
      <c r="A25" s="45"/>
      <c r="B25" s="11" t="s">
        <v>30</v>
      </c>
      <c r="C25" s="11">
        <v>6.5</v>
      </c>
      <c r="D25" s="11">
        <v>8.3000000000000007</v>
      </c>
      <c r="E25" s="11">
        <v>10.1</v>
      </c>
      <c r="F25" s="15"/>
      <c r="G25" s="15">
        <v>6.5</v>
      </c>
      <c r="H25" s="18">
        <v>6.9</v>
      </c>
      <c r="I25" s="18">
        <v>7.1</v>
      </c>
      <c r="J25" s="24">
        <v>7.3</v>
      </c>
      <c r="K25" s="15">
        <v>7.6</v>
      </c>
      <c r="L25" s="11"/>
      <c r="M25" s="11">
        <v>8.8000000000000007</v>
      </c>
      <c r="N25" s="11">
        <v>9</v>
      </c>
      <c r="O25" s="11">
        <v>9.1999999999999993</v>
      </c>
      <c r="P25" s="11">
        <v>9.4</v>
      </c>
      <c r="Q25" s="11">
        <v>9.6</v>
      </c>
      <c r="R25" s="11"/>
      <c r="S25" s="31">
        <v>9.4</v>
      </c>
      <c r="T25" s="31">
        <v>9.1</v>
      </c>
      <c r="U25" s="11"/>
      <c r="V25" s="18">
        <v>11</v>
      </c>
      <c r="W25" s="11">
        <v>11.1</v>
      </c>
      <c r="X25" s="11">
        <v>11.3</v>
      </c>
      <c r="Y25" s="11">
        <v>11.6</v>
      </c>
      <c r="Z25" s="11"/>
      <c r="AA25" s="11">
        <v>9.6999999999999993</v>
      </c>
      <c r="AB25" s="11">
        <v>9.5</v>
      </c>
      <c r="AC25" s="11">
        <v>8</v>
      </c>
      <c r="AD25" s="33">
        <v>7.9</v>
      </c>
      <c r="AE25" s="11">
        <v>7.8</v>
      </c>
      <c r="AF25" s="11">
        <v>6.5</v>
      </c>
      <c r="AG25" s="11">
        <v>6.3</v>
      </c>
      <c r="AH25" s="33">
        <v>6.2</v>
      </c>
      <c r="AI25" s="11">
        <v>6.1</v>
      </c>
      <c r="AJ25" s="11">
        <v>6</v>
      </c>
      <c r="AK25" s="11"/>
    </row>
    <row r="26" spans="1:37" x14ac:dyDescent="0.4">
      <c r="A26" s="45"/>
      <c r="B26" s="11" t="s">
        <v>31</v>
      </c>
      <c r="C26" s="11">
        <v>400</v>
      </c>
      <c r="D26" s="11">
        <v>400</v>
      </c>
      <c r="E26" s="11">
        <v>400</v>
      </c>
      <c r="F26" s="15"/>
      <c r="G26" s="15">
        <v>4000</v>
      </c>
      <c r="H26" s="15">
        <v>500</v>
      </c>
      <c r="I26" s="15">
        <v>500</v>
      </c>
      <c r="J26" s="24">
        <v>500</v>
      </c>
      <c r="K26" s="15">
        <v>500</v>
      </c>
      <c r="L26" s="11"/>
      <c r="M26" s="11">
        <v>500</v>
      </c>
      <c r="N26" s="18">
        <v>500</v>
      </c>
      <c r="O26" s="18">
        <v>500</v>
      </c>
      <c r="P26" s="18">
        <v>500</v>
      </c>
      <c r="Q26" s="18">
        <v>500</v>
      </c>
      <c r="R26" s="11"/>
      <c r="S26" s="31">
        <v>500</v>
      </c>
      <c r="T26" s="31">
        <v>500</v>
      </c>
      <c r="U26" s="11"/>
      <c r="V26" s="18">
        <v>500</v>
      </c>
      <c r="W26" s="19">
        <v>500</v>
      </c>
      <c r="X26" s="19">
        <v>500</v>
      </c>
      <c r="Y26" s="19">
        <v>500</v>
      </c>
      <c r="Z26" s="11"/>
      <c r="AA26" s="11">
        <v>500</v>
      </c>
      <c r="AB26" s="33">
        <v>500</v>
      </c>
      <c r="AC26" s="11">
        <v>500</v>
      </c>
      <c r="AD26" s="33">
        <v>500</v>
      </c>
      <c r="AE26" s="11">
        <v>500</v>
      </c>
      <c r="AF26" s="33">
        <v>500</v>
      </c>
      <c r="AG26" s="33">
        <v>500</v>
      </c>
      <c r="AH26" s="33">
        <v>500</v>
      </c>
      <c r="AI26" s="33">
        <v>500</v>
      </c>
      <c r="AJ26" s="11">
        <v>500</v>
      </c>
      <c r="AK26" s="11"/>
    </row>
    <row r="27" spans="1:37" x14ac:dyDescent="0.4">
      <c r="A27" s="45"/>
      <c r="B27" s="11" t="s">
        <v>32</v>
      </c>
      <c r="C27" s="12">
        <v>4000</v>
      </c>
      <c r="D27" s="12">
        <v>5000</v>
      </c>
      <c r="E27" s="12">
        <v>6000</v>
      </c>
      <c r="F27" s="12"/>
      <c r="G27" s="12">
        <v>4000</v>
      </c>
      <c r="H27" s="12">
        <v>4000</v>
      </c>
      <c r="I27" s="12">
        <v>4000</v>
      </c>
      <c r="J27" s="24">
        <v>4000</v>
      </c>
      <c r="K27" s="12">
        <v>4000</v>
      </c>
      <c r="L27" s="12"/>
      <c r="M27" s="12">
        <v>5000</v>
      </c>
      <c r="N27" s="12">
        <v>5000</v>
      </c>
      <c r="O27" s="12">
        <v>5000</v>
      </c>
      <c r="P27" s="12">
        <v>5000</v>
      </c>
      <c r="Q27" s="12">
        <v>5000</v>
      </c>
      <c r="R27" s="12"/>
      <c r="S27" s="24">
        <v>5000</v>
      </c>
      <c r="T27" s="24">
        <v>5000</v>
      </c>
      <c r="U27" s="12"/>
      <c r="V27" s="12">
        <v>6000</v>
      </c>
      <c r="W27" s="12">
        <v>6000</v>
      </c>
      <c r="X27" s="12">
        <v>6000</v>
      </c>
      <c r="Y27" s="12">
        <v>6000</v>
      </c>
      <c r="Z27" s="12"/>
      <c r="AA27" s="12">
        <v>6000</v>
      </c>
      <c r="AB27" s="12">
        <v>6000</v>
      </c>
      <c r="AC27" s="12">
        <v>5000</v>
      </c>
      <c r="AD27" s="12">
        <v>5000</v>
      </c>
      <c r="AE27" s="12">
        <v>5000</v>
      </c>
      <c r="AF27" s="12">
        <v>4000</v>
      </c>
      <c r="AG27" s="12">
        <v>4000</v>
      </c>
      <c r="AH27" s="12">
        <v>4000</v>
      </c>
      <c r="AI27" s="12">
        <v>4000</v>
      </c>
      <c r="AJ27" s="12">
        <v>4000</v>
      </c>
      <c r="AK27" s="12"/>
    </row>
    <row r="28" spans="1:37" x14ac:dyDescent="0.4">
      <c r="A28" s="45"/>
      <c r="B28" s="11" t="s">
        <v>33</v>
      </c>
      <c r="C28" s="11">
        <v>277</v>
      </c>
      <c r="D28" s="11">
        <v>320</v>
      </c>
      <c r="E28" s="11">
        <v>440</v>
      </c>
      <c r="F28" s="15"/>
      <c r="G28" s="15">
        <v>570</v>
      </c>
      <c r="H28" s="18">
        <v>350</v>
      </c>
      <c r="I28" s="18">
        <v>287</v>
      </c>
      <c r="J28" s="24">
        <v>278</v>
      </c>
      <c r="K28" s="15">
        <v>270</v>
      </c>
      <c r="L28" s="11"/>
      <c r="M28" s="11">
        <v>576</v>
      </c>
      <c r="N28" s="11">
        <v>465</v>
      </c>
      <c r="O28" s="11">
        <v>380</v>
      </c>
      <c r="P28" s="11">
        <v>325</v>
      </c>
      <c r="Q28" s="11">
        <v>282</v>
      </c>
      <c r="R28" s="11"/>
      <c r="S28" s="31">
        <v>340</v>
      </c>
      <c r="T28" s="31">
        <v>435</v>
      </c>
      <c r="U28" s="11"/>
      <c r="V28" s="18">
        <v>576</v>
      </c>
      <c r="W28" s="11">
        <v>510</v>
      </c>
      <c r="X28" s="11">
        <v>446</v>
      </c>
      <c r="Y28" s="11">
        <v>380</v>
      </c>
      <c r="Z28" s="11"/>
      <c r="AA28" s="11">
        <v>460</v>
      </c>
      <c r="AB28" s="11">
        <v>576</v>
      </c>
      <c r="AC28" s="11">
        <v>300</v>
      </c>
      <c r="AD28" s="33">
        <v>344</v>
      </c>
      <c r="AE28" s="11">
        <v>383</v>
      </c>
      <c r="AF28" s="11">
        <v>271</v>
      </c>
      <c r="AG28" s="11">
        <v>277</v>
      </c>
      <c r="AH28" s="33">
        <v>282</v>
      </c>
      <c r="AI28" s="11">
        <v>285</v>
      </c>
      <c r="AJ28" s="11">
        <v>335</v>
      </c>
      <c r="AK28" s="11"/>
    </row>
    <row r="29" spans="1:37" s="39" customFormat="1" ht="16.149999999999999" x14ac:dyDescent="0.4">
      <c r="A29" s="45"/>
      <c r="B29" s="38" t="s">
        <v>34</v>
      </c>
      <c r="C29" s="38">
        <v>81.8</v>
      </c>
      <c r="D29" s="38">
        <v>101.6</v>
      </c>
      <c r="E29" s="38">
        <v>121.2</v>
      </c>
      <c r="F29" s="38"/>
      <c r="G29" s="38">
        <v>140.19999999999999</v>
      </c>
      <c r="H29" s="38">
        <v>123.3</v>
      </c>
      <c r="I29" s="38">
        <v>117.2</v>
      </c>
      <c r="J29" s="38">
        <v>111.5</v>
      </c>
      <c r="K29" s="38">
        <v>103.8</v>
      </c>
      <c r="L29" s="38"/>
      <c r="M29" s="38">
        <v>154.19999999999999</v>
      </c>
      <c r="N29" s="38">
        <v>148.19999999999999</v>
      </c>
      <c r="O29" s="38">
        <v>140</v>
      </c>
      <c r="P29" s="38">
        <v>135.5</v>
      </c>
      <c r="Q29" s="38">
        <v>127.9</v>
      </c>
      <c r="R29" s="38"/>
      <c r="S29" s="38">
        <v>138.1</v>
      </c>
      <c r="T29" s="38">
        <v>144.4</v>
      </c>
      <c r="U29" s="38"/>
      <c r="V29" s="38">
        <v>164.5</v>
      </c>
      <c r="W29" s="38">
        <v>161.19999999999999</v>
      </c>
      <c r="X29" s="38">
        <v>157.80000000000001</v>
      </c>
      <c r="Y29" s="38">
        <v>152.9</v>
      </c>
      <c r="Z29" s="38"/>
      <c r="AA29" s="38">
        <v>135.9</v>
      </c>
      <c r="AB29" s="38">
        <v>140.69999999999999</v>
      </c>
      <c r="AC29" s="38">
        <v>118.1</v>
      </c>
      <c r="AD29" s="38">
        <v>119.6</v>
      </c>
      <c r="AE29" s="38">
        <v>122.3</v>
      </c>
      <c r="AF29" s="38">
        <v>95.7</v>
      </c>
      <c r="AG29" s="38">
        <v>100.1</v>
      </c>
      <c r="AH29" s="38">
        <v>102.5</v>
      </c>
      <c r="AI29" s="38">
        <v>104.1</v>
      </c>
      <c r="AJ29" s="38">
        <v>108.6</v>
      </c>
      <c r="AK29" s="38"/>
    </row>
    <row r="30" spans="1:37" ht="16.149999999999999" x14ac:dyDescent="0.4">
      <c r="A30" s="45"/>
      <c r="B30" s="11" t="s">
        <v>35</v>
      </c>
      <c r="C30" s="11">
        <v>479.75200000000001</v>
      </c>
      <c r="D30" s="11">
        <v>481.98500000000001</v>
      </c>
      <c r="E30" s="11">
        <v>480.82799999999997</v>
      </c>
      <c r="F30" s="15"/>
      <c r="G30" s="15">
        <v>484.41300000000001</v>
      </c>
      <c r="H30" s="18">
        <v>482.44</v>
      </c>
      <c r="I30" s="18">
        <v>484.26499999999999</v>
      </c>
      <c r="J30" s="24">
        <v>483.37700000000001</v>
      </c>
      <c r="K30" s="15">
        <v>484.82499999999999</v>
      </c>
      <c r="L30" s="11"/>
      <c r="M30" s="11">
        <v>483.64699999999999</v>
      </c>
      <c r="N30" s="11">
        <v>482.46600000000001</v>
      </c>
      <c r="O30" s="11">
        <v>483.70400000000001</v>
      </c>
      <c r="P30" s="11">
        <v>482.62700000000001</v>
      </c>
      <c r="Q30" s="11">
        <v>481.47699999999998</v>
      </c>
      <c r="R30" s="11"/>
      <c r="S30" s="31">
        <v>481.654</v>
      </c>
      <c r="T30" s="31">
        <v>481.87400000000002</v>
      </c>
      <c r="U30" s="11"/>
      <c r="V30" s="18">
        <v>482.553</v>
      </c>
      <c r="W30" s="11">
        <v>482.39</v>
      </c>
      <c r="X30" s="11">
        <v>481.42500000000001</v>
      </c>
      <c r="Y30" s="11">
        <v>482.78</v>
      </c>
      <c r="Z30" s="11"/>
      <c r="AA30" s="11">
        <v>478.37799999999999</v>
      </c>
      <c r="AB30" s="11">
        <v>479.83300000000003</v>
      </c>
      <c r="AC30" s="11">
        <v>479.17599999999999</v>
      </c>
      <c r="AD30" s="33">
        <v>479.72</v>
      </c>
      <c r="AE30" s="11">
        <v>480.99599999999998</v>
      </c>
      <c r="AF30" s="11">
        <v>481.31700000000001</v>
      </c>
      <c r="AG30" s="11">
        <v>480.10599999999999</v>
      </c>
      <c r="AH30" s="33">
        <v>482.02100000000002</v>
      </c>
      <c r="AI30" s="11">
        <v>480.21699999999998</v>
      </c>
      <c r="AJ30" s="11">
        <v>481.34800000000001</v>
      </c>
      <c r="AK30" s="11"/>
    </row>
    <row r="31" spans="1:37" s="41" customFormat="1" x14ac:dyDescent="0.4">
      <c r="A31" s="45"/>
      <c r="B31" s="40" t="s">
        <v>36</v>
      </c>
      <c r="C31" s="40">
        <v>2759.08</v>
      </c>
      <c r="D31" s="40">
        <v>3472.15</v>
      </c>
      <c r="E31" s="40">
        <v>3632.93</v>
      </c>
      <c r="F31" s="40"/>
      <c r="G31" s="40">
        <v>3057</v>
      </c>
      <c r="H31" s="40">
        <v>3369.06</v>
      </c>
      <c r="I31" s="40">
        <v>3484.29</v>
      </c>
      <c r="J31" s="40">
        <v>3585</v>
      </c>
      <c r="K31" s="40">
        <v>3677.12</v>
      </c>
      <c r="L31" s="40"/>
      <c r="M31" s="40">
        <v>3491.47</v>
      </c>
      <c r="N31" s="40">
        <v>3689.68</v>
      </c>
      <c r="O31" s="40">
        <v>3811</v>
      </c>
      <c r="P31" s="40">
        <v>3938.54</v>
      </c>
      <c r="Q31" s="40">
        <v>4003.18</v>
      </c>
      <c r="R31" s="40"/>
      <c r="S31" s="40">
        <v>3862.35</v>
      </c>
      <c r="T31" s="40">
        <v>3724.58</v>
      </c>
      <c r="U31" s="40"/>
      <c r="V31" s="40">
        <v>3908.44</v>
      </c>
      <c r="W31" s="40">
        <v>3976.58</v>
      </c>
      <c r="X31" s="40">
        <v>4167.16</v>
      </c>
      <c r="Y31" s="40">
        <v>4202.74</v>
      </c>
      <c r="Z31" s="40"/>
      <c r="AA31" s="40">
        <v>4031.38</v>
      </c>
      <c r="AB31" s="40">
        <v>3888.32</v>
      </c>
      <c r="AC31" s="40">
        <v>3927.92</v>
      </c>
      <c r="AD31" s="40">
        <v>3884.73</v>
      </c>
      <c r="AE31" s="40">
        <v>3807.14</v>
      </c>
      <c r="AF31" s="40">
        <v>3668.77</v>
      </c>
      <c r="AG31" s="40">
        <v>3576.14</v>
      </c>
      <c r="AH31" s="40">
        <v>3548.26</v>
      </c>
      <c r="AI31" s="40">
        <v>3486.08</v>
      </c>
      <c r="AJ31" s="40">
        <v>3362.21</v>
      </c>
      <c r="AK31" s="40"/>
    </row>
    <row r="32" spans="1:37" x14ac:dyDescent="0.4">
      <c r="A32" s="45"/>
      <c r="B32" s="11" t="s">
        <v>37</v>
      </c>
      <c r="C32" s="11">
        <f>C24*C25</f>
        <v>2242.5</v>
      </c>
      <c r="D32" s="11">
        <f>D24*D25</f>
        <v>2863.5000000000005</v>
      </c>
      <c r="E32" s="11">
        <f>E24*E25</f>
        <v>3484.5</v>
      </c>
      <c r="F32" s="15"/>
      <c r="G32" s="15">
        <f>G24*G25</f>
        <v>2242.5</v>
      </c>
      <c r="H32" s="15">
        <f>H24*H25</f>
        <v>2380.5</v>
      </c>
      <c r="I32" s="15">
        <f>I24*I25</f>
        <v>2449.5</v>
      </c>
      <c r="J32" s="24">
        <f>J24*J25</f>
        <v>2518.5</v>
      </c>
      <c r="K32" s="15">
        <f>K24*K25</f>
        <v>2622</v>
      </c>
      <c r="L32" s="13"/>
      <c r="M32" s="11">
        <f>M24*M25</f>
        <v>3036.0000000000005</v>
      </c>
      <c r="N32" s="13">
        <f>N24*N25</f>
        <v>3105</v>
      </c>
      <c r="O32" s="13">
        <f>O24*O25</f>
        <v>3173.9999999999995</v>
      </c>
      <c r="P32" s="13">
        <f>P24*P25</f>
        <v>3243</v>
      </c>
      <c r="Q32" s="13">
        <f>Q24*Q25</f>
        <v>3312</v>
      </c>
      <c r="R32" s="11"/>
      <c r="S32" s="31">
        <f>S24*S25</f>
        <v>3243</v>
      </c>
      <c r="T32" s="31">
        <f>T24*T25</f>
        <v>3139.5</v>
      </c>
      <c r="U32" s="11"/>
      <c r="V32" s="18">
        <f>V24*V25</f>
        <v>3795</v>
      </c>
      <c r="W32" s="18">
        <f>W24*W25</f>
        <v>3829.5</v>
      </c>
      <c r="X32" s="18">
        <f>X24*X25</f>
        <v>3898.5000000000005</v>
      </c>
      <c r="Y32" s="18">
        <f>Y24*Y25</f>
        <v>4002</v>
      </c>
      <c r="Z32" s="33"/>
      <c r="AA32" s="33">
        <f>AA24*AA25</f>
        <v>3346.4999999999995</v>
      </c>
      <c r="AB32" s="33">
        <f>AB24*AB25</f>
        <v>3277.5</v>
      </c>
      <c r="AC32" s="33">
        <f>AC24*AC25</f>
        <v>2760</v>
      </c>
      <c r="AD32" s="33">
        <f>AD24*AD25</f>
        <v>2725.5</v>
      </c>
      <c r="AE32" s="33">
        <f>AE24*AE25</f>
        <v>2691</v>
      </c>
      <c r="AF32" s="33">
        <f>AF24*AF25</f>
        <v>2242.5</v>
      </c>
      <c r="AG32" s="34">
        <f>AG24*AG25</f>
        <v>2173.5</v>
      </c>
      <c r="AH32" s="34">
        <f>AH24*AH25</f>
        <v>2139</v>
      </c>
      <c r="AI32" s="33">
        <f>AI24*AI25</f>
        <v>2104.5</v>
      </c>
      <c r="AJ32" s="33">
        <f>AJ24*AJ25</f>
        <v>2070</v>
      </c>
      <c r="AK32" s="11"/>
    </row>
    <row r="33" spans="1:37" x14ac:dyDescent="0.4">
      <c r="A33" s="45"/>
      <c r="B33" s="11" t="s">
        <v>38</v>
      </c>
      <c r="C33" s="11">
        <f>C31/C32</f>
        <v>1.2303589743589742</v>
      </c>
      <c r="D33" s="11">
        <f>D31/D32</f>
        <v>1.2125545660904486</v>
      </c>
      <c r="E33" s="11">
        <f>E31/E32</f>
        <v>1.0425972162433634</v>
      </c>
      <c r="F33" s="15"/>
      <c r="G33" s="15">
        <f>G31/G32</f>
        <v>1.3632107023411371</v>
      </c>
      <c r="H33" s="15">
        <f>H31/H32</f>
        <v>1.4152741020793951</v>
      </c>
      <c r="I33" s="15">
        <f>I31/I32</f>
        <v>1.4224494794856093</v>
      </c>
      <c r="J33" s="24">
        <f>J31/J32</f>
        <v>1.4234663490172721</v>
      </c>
      <c r="K33" s="15">
        <f>K31/K32</f>
        <v>1.402410373760488</v>
      </c>
      <c r="L33" s="13"/>
      <c r="M33" s="11">
        <f>M31/M32</f>
        <v>1.1500230566534912</v>
      </c>
      <c r="N33" s="13">
        <f>N31/N32</f>
        <v>1.1883027375201287</v>
      </c>
      <c r="O33" s="13">
        <f>O31/O32</f>
        <v>1.2006931316950222</v>
      </c>
      <c r="P33" s="13">
        <f>P31/P32</f>
        <v>1.2144742522355843</v>
      </c>
      <c r="Q33" s="13">
        <f>Q31/Q32</f>
        <v>1.2086896135265699</v>
      </c>
      <c r="R33" s="11"/>
      <c r="S33" s="31">
        <f>S31/S32</f>
        <v>1.1909805735430157</v>
      </c>
      <c r="T33" s="31">
        <f>T31/T32</f>
        <v>1.1863608854913203</v>
      </c>
      <c r="U33" s="11"/>
      <c r="V33" s="18">
        <f>V31/V32</f>
        <v>1.0298919631093544</v>
      </c>
      <c r="W33" s="18">
        <f>W31/W32</f>
        <v>1.0384071027549289</v>
      </c>
      <c r="X33" s="18">
        <f>X31/X32</f>
        <v>1.0689136847505449</v>
      </c>
      <c r="Y33" s="18">
        <f>Y31/Y32</f>
        <v>1.05015992003998</v>
      </c>
      <c r="Z33" s="33"/>
      <c r="AA33" s="33">
        <f>AA31/AA32</f>
        <v>1.2046556103391606</v>
      </c>
      <c r="AB33" s="33">
        <f>AB31/AB32</f>
        <v>1.1863676582761251</v>
      </c>
      <c r="AC33" s="33">
        <f>AC31/AC32</f>
        <v>1.4231594202898552</v>
      </c>
      <c r="AD33" s="33">
        <f>AD31/AD32</f>
        <v>1.425327462850853</v>
      </c>
      <c r="AE33" s="33">
        <f>AE31/AE32</f>
        <v>1.4147677443329616</v>
      </c>
      <c r="AF33" s="33">
        <f>AF31/AF32</f>
        <v>1.6360178372352285</v>
      </c>
      <c r="AG33" s="33">
        <f>AG31/AG32</f>
        <v>1.6453370140326662</v>
      </c>
      <c r="AH33" s="34">
        <f>AH31/AH32</f>
        <v>1.6588405797101451</v>
      </c>
      <c r="AI33" s="33">
        <f>AI31/AI32</f>
        <v>1.6564884770729389</v>
      </c>
      <c r="AJ33" s="33">
        <f>AJ31/AJ32</f>
        <v>1.624256038647343</v>
      </c>
      <c r="AK33" s="11"/>
    </row>
    <row r="34" spans="1:37" x14ac:dyDescent="0.4">
      <c r="A34" s="45"/>
      <c r="B34" s="11" t="s">
        <v>39</v>
      </c>
      <c r="C34" s="11">
        <v>14.07</v>
      </c>
      <c r="D34" s="11">
        <v>12.33</v>
      </c>
      <c r="E34" s="11">
        <v>11.58</v>
      </c>
      <c r="F34" s="15"/>
      <c r="G34" s="15">
        <v>13.33</v>
      </c>
      <c r="H34" s="18">
        <v>12.45</v>
      </c>
      <c r="I34" s="18">
        <v>12.18</v>
      </c>
      <c r="J34" s="24">
        <v>11.9</v>
      </c>
      <c r="K34" s="15">
        <v>11.67</v>
      </c>
      <c r="L34" s="11"/>
      <c r="M34" s="11">
        <v>12.11</v>
      </c>
      <c r="N34" s="11">
        <v>11.59</v>
      </c>
      <c r="O34" s="11">
        <v>11.27</v>
      </c>
      <c r="P34" s="11">
        <v>10.99</v>
      </c>
      <c r="Q34" s="11">
        <v>10.77</v>
      </c>
      <c r="R34" s="11"/>
      <c r="S34" s="31">
        <v>11.33</v>
      </c>
      <c r="T34" s="31">
        <v>11.62</v>
      </c>
      <c r="U34" s="11"/>
      <c r="V34" s="18">
        <v>11.06</v>
      </c>
      <c r="W34" s="11">
        <v>10.84</v>
      </c>
      <c r="X34" s="11">
        <v>10.52</v>
      </c>
      <c r="Y34" s="11">
        <v>10.23</v>
      </c>
      <c r="Z34" s="11"/>
      <c r="AA34" s="11">
        <v>10.45</v>
      </c>
      <c r="AB34" s="11">
        <v>11.04</v>
      </c>
      <c r="AC34" s="11">
        <v>10.8</v>
      </c>
      <c r="AD34" s="33">
        <v>10.93</v>
      </c>
      <c r="AE34" s="11">
        <v>11.24</v>
      </c>
      <c r="AF34" s="11">
        <v>11.58</v>
      </c>
      <c r="AG34" s="11">
        <v>11.82</v>
      </c>
      <c r="AH34" s="33">
        <v>12</v>
      </c>
      <c r="AI34" s="11">
        <v>12.08</v>
      </c>
      <c r="AJ34" s="11">
        <v>12.37</v>
      </c>
      <c r="AK34" s="11"/>
    </row>
    <row r="35" spans="1:37" x14ac:dyDescent="0.4">
      <c r="A35" s="45"/>
      <c r="B35" s="11" t="s">
        <v>40</v>
      </c>
      <c r="C35" s="11">
        <v>13.62</v>
      </c>
      <c r="D35" s="11">
        <v>11.87</v>
      </c>
      <c r="E35" s="11">
        <v>11.44</v>
      </c>
      <c r="F35" s="15"/>
      <c r="G35" s="15">
        <v>12.88</v>
      </c>
      <c r="H35" s="18">
        <v>12.12</v>
      </c>
      <c r="I35" s="18">
        <v>11.86</v>
      </c>
      <c r="J35" s="24">
        <v>11.62</v>
      </c>
      <c r="K35" s="15">
        <v>11.41</v>
      </c>
      <c r="L35" s="11"/>
      <c r="M35" s="11">
        <v>11.84</v>
      </c>
      <c r="N35" s="11">
        <v>11.31</v>
      </c>
      <c r="O35" s="11">
        <v>11</v>
      </c>
      <c r="P35" s="11">
        <v>10.71</v>
      </c>
      <c r="Q35" s="11">
        <v>10.53</v>
      </c>
      <c r="R35" s="11"/>
      <c r="S35" s="31">
        <v>10.88</v>
      </c>
      <c r="T35" s="31">
        <v>11.23</v>
      </c>
      <c r="U35" s="11"/>
      <c r="V35" s="18">
        <v>10.76</v>
      </c>
      <c r="W35" s="11">
        <v>10.6</v>
      </c>
      <c r="X35" s="11">
        <v>10.29</v>
      </c>
      <c r="Y35" s="11">
        <v>10.02</v>
      </c>
      <c r="Z35" s="11"/>
      <c r="AA35" s="11">
        <v>10.42</v>
      </c>
      <c r="AB35" s="11">
        <v>10.81</v>
      </c>
      <c r="AC35" s="11">
        <v>10.71</v>
      </c>
      <c r="AD35" s="33">
        <v>10.76</v>
      </c>
      <c r="AE35" s="11">
        <v>11.04</v>
      </c>
      <c r="AF35" s="11">
        <v>11.39</v>
      </c>
      <c r="AG35" s="11">
        <v>11.61</v>
      </c>
      <c r="AH35" s="33">
        <v>11.69</v>
      </c>
      <c r="AI35" s="11">
        <v>11.83</v>
      </c>
      <c r="AJ35" s="11">
        <v>12.14</v>
      </c>
      <c r="AK35" s="11"/>
    </row>
    <row r="36" spans="1:37" x14ac:dyDescent="0.4">
      <c r="A36" s="45"/>
      <c r="B36" s="11" t="s">
        <v>41</v>
      </c>
      <c r="C36" s="11">
        <v>39.450000000000003</v>
      </c>
      <c r="D36" s="11">
        <v>46.11</v>
      </c>
      <c r="E36" s="11">
        <v>46.64</v>
      </c>
      <c r="F36" s="15"/>
      <c r="G36" s="15">
        <v>45.19</v>
      </c>
      <c r="H36" s="18">
        <v>45.59</v>
      </c>
      <c r="I36" s="18">
        <v>45.7</v>
      </c>
      <c r="J36" s="24">
        <v>45.82</v>
      </c>
      <c r="K36" s="15">
        <v>45.9</v>
      </c>
      <c r="L36" s="11"/>
      <c r="M36" s="11">
        <v>46.12</v>
      </c>
      <c r="N36" s="11">
        <v>46.3</v>
      </c>
      <c r="O36" s="11">
        <v>46.53</v>
      </c>
      <c r="P36" s="11">
        <v>46.62</v>
      </c>
      <c r="Q36" s="11">
        <v>46.75</v>
      </c>
      <c r="R36" s="11"/>
      <c r="S36" s="31">
        <v>46.73</v>
      </c>
      <c r="T36" s="31">
        <v>46.5</v>
      </c>
      <c r="U36" s="11"/>
      <c r="V36" s="18">
        <v>47.01</v>
      </c>
      <c r="W36" s="11">
        <v>47.15</v>
      </c>
      <c r="X36" s="11">
        <v>47.21</v>
      </c>
      <c r="Y36" s="11">
        <v>47.4</v>
      </c>
      <c r="Z36" s="11"/>
      <c r="AA36" s="11">
        <v>46.83</v>
      </c>
      <c r="AB36" s="11">
        <v>46.64</v>
      </c>
      <c r="AC36" s="11">
        <v>46.31</v>
      </c>
      <c r="AD36" s="33">
        <v>46.13</v>
      </c>
      <c r="AE36" s="11">
        <v>46.1</v>
      </c>
      <c r="AF36" s="11">
        <v>45.66</v>
      </c>
      <c r="AG36" s="11">
        <v>45.58</v>
      </c>
      <c r="AH36" s="33">
        <v>45.43</v>
      </c>
      <c r="AI36" s="11">
        <v>45.39</v>
      </c>
      <c r="AJ36" s="11">
        <v>45.28</v>
      </c>
      <c r="AK36" s="11"/>
    </row>
    <row r="37" spans="1:37" x14ac:dyDescent="0.4">
      <c r="A37" s="45"/>
      <c r="B37" s="11" t="s">
        <v>42</v>
      </c>
      <c r="C37" s="11">
        <v>34.96</v>
      </c>
      <c r="D37" s="11">
        <v>36.78</v>
      </c>
      <c r="E37" s="11">
        <v>37.659999999999997</v>
      </c>
      <c r="F37" s="15"/>
      <c r="G37" s="15">
        <v>33.590000000000003</v>
      </c>
      <c r="H37" s="18">
        <v>34.409999999999997</v>
      </c>
      <c r="I37" s="18">
        <v>33.89</v>
      </c>
      <c r="J37" s="24">
        <v>34.03</v>
      </c>
      <c r="K37" s="15">
        <v>33.65</v>
      </c>
      <c r="L37" s="11"/>
      <c r="M37" s="11">
        <v>33.99</v>
      </c>
      <c r="N37" s="11">
        <v>33.75</v>
      </c>
      <c r="O37" s="11">
        <v>33.92</v>
      </c>
      <c r="P37" s="11">
        <v>33.880000000000003</v>
      </c>
      <c r="Q37" s="11">
        <v>34.020000000000003</v>
      </c>
      <c r="R37" s="11"/>
      <c r="S37" s="31">
        <v>36.1</v>
      </c>
      <c r="T37" s="31">
        <v>34.590000000000003</v>
      </c>
      <c r="U37" s="11"/>
      <c r="V37" s="18">
        <v>33.85</v>
      </c>
      <c r="W37" s="11">
        <v>33.950000000000003</v>
      </c>
      <c r="X37" s="11">
        <v>34.11</v>
      </c>
      <c r="Y37" s="11">
        <v>34.25</v>
      </c>
      <c r="Z37" s="11"/>
      <c r="AA37" s="11">
        <v>33.950000000000003</v>
      </c>
      <c r="AB37" s="11">
        <v>34.15</v>
      </c>
      <c r="AC37" s="11">
        <v>34.01</v>
      </c>
      <c r="AD37" s="33">
        <v>32.58</v>
      </c>
      <c r="AE37" s="11">
        <v>33.25</v>
      </c>
      <c r="AF37" s="11">
        <v>32.49</v>
      </c>
      <c r="AG37" s="11">
        <v>32.479999999999997</v>
      </c>
      <c r="AH37" s="33">
        <v>32.26</v>
      </c>
      <c r="AI37" s="11">
        <v>32.39</v>
      </c>
      <c r="AJ37" s="11">
        <v>32.380000000000003</v>
      </c>
      <c r="AK37" s="11"/>
    </row>
    <row r="38" spans="1:37" x14ac:dyDescent="0.4">
      <c r="A38" s="45"/>
      <c r="B38" s="11"/>
      <c r="C38" s="11"/>
      <c r="D38" s="11"/>
      <c r="E38" s="11"/>
      <c r="F38" s="15"/>
      <c r="G38" s="15"/>
      <c r="H38" s="15"/>
      <c r="I38" s="15"/>
      <c r="J38" s="24"/>
      <c r="K38" s="15"/>
      <c r="L38" s="11"/>
      <c r="M38" s="11"/>
      <c r="N38" s="11"/>
      <c r="O38" s="11"/>
      <c r="P38" s="11"/>
      <c r="Q38" s="11"/>
      <c r="R38" s="11"/>
      <c r="S38" s="31"/>
      <c r="T38" s="31"/>
      <c r="U38" s="11"/>
      <c r="V38" s="11"/>
      <c r="W38" s="11"/>
      <c r="X38" s="11"/>
      <c r="Y38" s="11"/>
      <c r="Z38" s="11"/>
      <c r="AA38" s="11"/>
      <c r="AB38" s="11"/>
      <c r="AC38" s="11"/>
      <c r="AD38" s="33"/>
      <c r="AE38" s="11"/>
      <c r="AF38" s="11"/>
      <c r="AG38" s="11"/>
      <c r="AH38" s="33"/>
      <c r="AI38" s="11"/>
      <c r="AJ38" s="11"/>
      <c r="AK38" s="11"/>
    </row>
  </sheetData>
  <mergeCells count="4">
    <mergeCell ref="A3:A6"/>
    <mergeCell ref="A7:A18"/>
    <mergeCell ref="A19:A23"/>
    <mergeCell ref="A24:A38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550A-6080-493F-AE82-E56A64390FD8}">
  <dimension ref="A1:G35"/>
  <sheetViews>
    <sheetView workbookViewId="0">
      <selection activeCell="I2" sqref="I2:AP2"/>
    </sheetView>
  </sheetViews>
  <sheetFormatPr defaultRowHeight="13.9" x14ac:dyDescent="0.4"/>
  <sheetData>
    <row r="1" spans="1:7" x14ac:dyDescent="0.4">
      <c r="A1" t="s">
        <v>50</v>
      </c>
      <c r="B1" t="s">
        <v>51</v>
      </c>
      <c r="C1" t="s">
        <v>52</v>
      </c>
      <c r="D1" t="s">
        <v>53</v>
      </c>
    </row>
    <row r="2" spans="1:7" x14ac:dyDescent="0.4">
      <c r="A2" s="38">
        <v>81.8</v>
      </c>
      <c r="B2" s="37">
        <v>129.16</v>
      </c>
      <c r="C2" s="10">
        <v>9.93</v>
      </c>
      <c r="D2" s="10">
        <v>9.8960000000000008</v>
      </c>
      <c r="G2" s="37">
        <v>42.28</v>
      </c>
    </row>
    <row r="3" spans="1:7" x14ac:dyDescent="0.4">
      <c r="A3" s="38">
        <v>101.6</v>
      </c>
      <c r="B3" s="37">
        <v>130.5</v>
      </c>
      <c r="C3" s="10">
        <v>10.023</v>
      </c>
      <c r="D3" s="10">
        <v>9.9629999999999992</v>
      </c>
      <c r="G3" s="37">
        <v>42.77</v>
      </c>
    </row>
    <row r="4" spans="1:7" x14ac:dyDescent="0.4">
      <c r="A4" s="38">
        <v>121.2</v>
      </c>
      <c r="B4" s="37">
        <v>129.08000000000001</v>
      </c>
      <c r="C4" s="10">
        <v>10.109</v>
      </c>
      <c r="D4" s="10">
        <v>9.9570000000000007</v>
      </c>
      <c r="G4" s="37">
        <v>43.37</v>
      </c>
    </row>
    <row r="5" spans="1:7" x14ac:dyDescent="0.4">
      <c r="A5" s="38"/>
      <c r="B5" s="37"/>
      <c r="C5" s="10"/>
      <c r="D5" s="10"/>
      <c r="G5" s="37"/>
    </row>
    <row r="6" spans="1:7" x14ac:dyDescent="0.4">
      <c r="A6" s="38">
        <v>140.19999999999999</v>
      </c>
      <c r="B6" s="37">
        <v>81.39</v>
      </c>
      <c r="C6" s="10">
        <v>10.065</v>
      </c>
      <c r="D6" s="10">
        <v>9.8849999999999998</v>
      </c>
      <c r="G6" s="37">
        <v>42.91</v>
      </c>
    </row>
    <row r="7" spans="1:7" x14ac:dyDescent="0.4">
      <c r="A7" s="38">
        <v>123.3</v>
      </c>
      <c r="B7" s="37">
        <v>95.06</v>
      </c>
      <c r="C7" s="10">
        <v>10.443</v>
      </c>
      <c r="D7" s="10">
        <v>10.343</v>
      </c>
      <c r="G7" s="37">
        <v>42.82</v>
      </c>
    </row>
    <row r="8" spans="1:7" x14ac:dyDescent="0.4">
      <c r="A8" s="38">
        <v>117.2</v>
      </c>
      <c r="B8" s="37">
        <v>100.71</v>
      </c>
      <c r="C8" s="10">
        <v>10.696999999999999</v>
      </c>
      <c r="D8" s="10">
        <v>10.667</v>
      </c>
      <c r="G8" s="37">
        <v>42.38</v>
      </c>
    </row>
    <row r="9" spans="1:7" x14ac:dyDescent="0.4">
      <c r="A9" s="38">
        <v>111.5</v>
      </c>
      <c r="B9" s="22">
        <v>107.43</v>
      </c>
      <c r="C9" s="23">
        <v>11.084</v>
      </c>
      <c r="D9" s="23">
        <v>10.946</v>
      </c>
      <c r="G9" s="22">
        <v>41.98</v>
      </c>
    </row>
    <row r="10" spans="1:7" x14ac:dyDescent="0.4">
      <c r="A10" s="38">
        <v>103.8</v>
      </c>
      <c r="B10" s="37">
        <v>119.28</v>
      </c>
      <c r="C10" s="10">
        <v>11.531000000000001</v>
      </c>
      <c r="D10" s="10">
        <v>11.468</v>
      </c>
      <c r="G10" s="37">
        <v>41.57</v>
      </c>
    </row>
    <row r="11" spans="1:7" x14ac:dyDescent="0.4">
      <c r="A11" s="38"/>
      <c r="B11" s="37"/>
      <c r="C11" s="10"/>
      <c r="D11" s="10"/>
      <c r="G11" s="37"/>
    </row>
    <row r="12" spans="1:7" x14ac:dyDescent="0.4">
      <c r="A12" s="38">
        <v>154.19999999999999</v>
      </c>
      <c r="B12" s="37">
        <v>89.85</v>
      </c>
      <c r="C12" s="10">
        <v>10.474</v>
      </c>
      <c r="D12" s="10">
        <v>10.269</v>
      </c>
      <c r="G12" s="37">
        <v>43.49</v>
      </c>
    </row>
    <row r="13" spans="1:7" x14ac:dyDescent="0.4">
      <c r="A13" s="38">
        <v>148.19999999999999</v>
      </c>
      <c r="B13" s="37">
        <v>94.8</v>
      </c>
      <c r="C13" s="10">
        <v>10.763999999999999</v>
      </c>
      <c r="D13" s="10">
        <v>10.57</v>
      </c>
      <c r="G13" s="37">
        <v>43.29</v>
      </c>
    </row>
    <row r="14" spans="1:7" x14ac:dyDescent="0.4">
      <c r="A14" s="38">
        <v>140</v>
      </c>
      <c r="B14" s="37">
        <v>101.08</v>
      </c>
      <c r="C14" s="10">
        <v>10.997999999999999</v>
      </c>
      <c r="D14" s="10">
        <v>10.871</v>
      </c>
      <c r="G14" s="37">
        <v>43.07</v>
      </c>
    </row>
    <row r="15" spans="1:7" x14ac:dyDescent="0.4">
      <c r="A15" s="38">
        <v>135.5</v>
      </c>
      <c r="B15" s="37">
        <v>106.17</v>
      </c>
      <c r="C15" s="10">
        <v>11.122</v>
      </c>
      <c r="D15" s="10">
        <v>10.989000000000001</v>
      </c>
      <c r="G15" s="37">
        <v>42.78</v>
      </c>
    </row>
    <row r="16" spans="1:7" x14ac:dyDescent="0.4">
      <c r="A16" s="38">
        <v>127.9</v>
      </c>
      <c r="B16" s="37">
        <v>113.86</v>
      </c>
      <c r="C16" s="10">
        <v>11.456</v>
      </c>
      <c r="D16" s="10">
        <v>11.313000000000001</v>
      </c>
      <c r="G16" s="37">
        <v>42.44</v>
      </c>
    </row>
    <row r="17" spans="1:7" x14ac:dyDescent="0.4">
      <c r="A17" s="38"/>
      <c r="B17" s="37"/>
      <c r="C17" s="10"/>
      <c r="D17" s="10"/>
      <c r="G17" s="37"/>
    </row>
    <row r="18" spans="1:7" x14ac:dyDescent="0.4">
      <c r="A18" s="38">
        <v>138.1</v>
      </c>
      <c r="B18" s="27">
        <v>103.11</v>
      </c>
      <c r="C18" s="30">
        <v>11.260999999999999</v>
      </c>
      <c r="D18" s="30">
        <v>11.084</v>
      </c>
      <c r="G18" s="27">
        <v>43.03</v>
      </c>
    </row>
    <row r="19" spans="1:7" x14ac:dyDescent="0.4">
      <c r="A19" s="38">
        <v>144.4</v>
      </c>
      <c r="B19" s="28">
        <v>96.62</v>
      </c>
      <c r="C19" s="30">
        <v>10.833</v>
      </c>
      <c r="D19" s="30">
        <v>10.686</v>
      </c>
      <c r="G19" s="28">
        <v>43.36</v>
      </c>
    </row>
    <row r="20" spans="1:7" x14ac:dyDescent="0.4">
      <c r="A20" s="38"/>
      <c r="B20" s="37"/>
      <c r="C20" s="10"/>
      <c r="D20" s="10"/>
      <c r="G20" s="37"/>
    </row>
    <row r="21" spans="1:7" x14ac:dyDescent="0.4">
      <c r="A21" s="38">
        <v>164.5</v>
      </c>
      <c r="B21" s="37">
        <v>98.12</v>
      </c>
      <c r="C21" s="10">
        <v>10.68</v>
      </c>
      <c r="D21" s="10">
        <v>10.459</v>
      </c>
      <c r="G21" s="37">
        <v>43.91</v>
      </c>
    </row>
    <row r="22" spans="1:7" x14ac:dyDescent="0.4">
      <c r="A22" s="38">
        <v>161.19999999999999</v>
      </c>
      <c r="B22" s="37">
        <v>101.12</v>
      </c>
      <c r="C22" s="10">
        <v>10.875999999999999</v>
      </c>
      <c r="D22" s="10">
        <v>10.68</v>
      </c>
      <c r="G22" s="37">
        <v>43.8</v>
      </c>
    </row>
    <row r="23" spans="1:7" x14ac:dyDescent="0.4">
      <c r="A23" s="38">
        <v>157.80000000000001</v>
      </c>
      <c r="B23" s="37">
        <v>104.46</v>
      </c>
      <c r="C23" s="10">
        <v>11.07</v>
      </c>
      <c r="D23" s="10">
        <v>10.882</v>
      </c>
      <c r="G23" s="37">
        <v>43.58</v>
      </c>
    </row>
    <row r="24" spans="1:7" x14ac:dyDescent="0.4">
      <c r="A24" s="38">
        <v>152.9</v>
      </c>
      <c r="B24" s="37">
        <v>109.29</v>
      </c>
      <c r="C24" s="10">
        <v>11.481999999999999</v>
      </c>
      <c r="D24" s="10">
        <v>11</v>
      </c>
      <c r="G24" s="37">
        <v>43.34</v>
      </c>
    </row>
    <row r="25" spans="1:7" x14ac:dyDescent="0.4">
      <c r="A25" s="38"/>
      <c r="B25" s="37"/>
      <c r="C25" s="10"/>
      <c r="D25" s="10"/>
      <c r="G25" s="37"/>
    </row>
    <row r="26" spans="1:7" x14ac:dyDescent="0.4">
      <c r="A26" s="38">
        <v>135.9</v>
      </c>
      <c r="B26" s="37">
        <v>132.65</v>
      </c>
      <c r="C26" s="10">
        <v>9.4039999999999999</v>
      </c>
      <c r="D26" s="10">
        <v>9.2189999999999994</v>
      </c>
      <c r="G26" s="37">
        <v>43.26</v>
      </c>
    </row>
    <row r="27" spans="1:7" x14ac:dyDescent="0.4">
      <c r="A27" s="38">
        <v>140.69999999999999</v>
      </c>
      <c r="B27" s="37">
        <v>127.71</v>
      </c>
      <c r="C27" s="10">
        <v>9.23</v>
      </c>
      <c r="D27" s="10">
        <v>9.0229999999999997</v>
      </c>
      <c r="G27" s="37">
        <v>42.82</v>
      </c>
    </row>
    <row r="28" spans="1:7" x14ac:dyDescent="0.4">
      <c r="A28" s="38">
        <v>118.1</v>
      </c>
      <c r="B28" s="37">
        <v>130.21</v>
      </c>
      <c r="C28" s="10">
        <v>9.6219999999999999</v>
      </c>
      <c r="D28" s="10">
        <v>9.5150000000000006</v>
      </c>
      <c r="G28" s="37">
        <v>42.95</v>
      </c>
    </row>
    <row r="29" spans="1:7" x14ac:dyDescent="0.4">
      <c r="A29" s="38">
        <v>119.6</v>
      </c>
      <c r="B29" s="37">
        <v>127.48</v>
      </c>
      <c r="C29" s="10">
        <v>9.49</v>
      </c>
      <c r="D29" s="10">
        <v>9.3650000000000002</v>
      </c>
      <c r="G29" s="37">
        <v>42.71</v>
      </c>
    </row>
    <row r="30" spans="1:7" x14ac:dyDescent="0.4">
      <c r="A30" s="38">
        <v>122.3</v>
      </c>
      <c r="B30" s="37">
        <v>125.1</v>
      </c>
      <c r="C30" s="10">
        <v>9.5229999999999997</v>
      </c>
      <c r="D30" s="10">
        <v>9.3689999999999998</v>
      </c>
      <c r="G30" s="37">
        <v>42.72</v>
      </c>
    </row>
    <row r="31" spans="1:7" x14ac:dyDescent="0.4">
      <c r="A31" s="38">
        <v>95.7</v>
      </c>
      <c r="B31" s="37">
        <v>130.34</v>
      </c>
      <c r="C31" s="10">
        <v>9.9930000000000003</v>
      </c>
      <c r="D31" s="10">
        <v>9.907</v>
      </c>
      <c r="G31" s="37">
        <v>42.28</v>
      </c>
    </row>
    <row r="32" spans="1:7" x14ac:dyDescent="0.4">
      <c r="A32" s="38">
        <v>100.1</v>
      </c>
      <c r="B32" s="37">
        <v>125.12</v>
      </c>
      <c r="C32" s="10">
        <v>9.7530000000000001</v>
      </c>
      <c r="D32" s="10">
        <v>9.6859999999999999</v>
      </c>
      <c r="G32" s="37">
        <v>42.4</v>
      </c>
    </row>
    <row r="33" spans="1:7" x14ac:dyDescent="0.4">
      <c r="A33" s="38">
        <v>102.5</v>
      </c>
      <c r="B33" s="37">
        <v>122.33</v>
      </c>
      <c r="C33" s="10">
        <v>9.6449999999999996</v>
      </c>
      <c r="D33" s="10">
        <v>9.5429999999999993</v>
      </c>
      <c r="G33" s="37">
        <v>42.36</v>
      </c>
    </row>
    <row r="34" spans="1:7" x14ac:dyDescent="0.4">
      <c r="A34" s="38">
        <v>104.1</v>
      </c>
      <c r="B34" s="37">
        <v>119.72</v>
      </c>
      <c r="C34" s="10">
        <v>9.5510000000000002</v>
      </c>
      <c r="D34" s="10">
        <v>9.4649999999999999</v>
      </c>
      <c r="G34" s="37">
        <v>42.3</v>
      </c>
    </row>
    <row r="35" spans="1:7" x14ac:dyDescent="0.4">
      <c r="A35" s="38">
        <v>108.6</v>
      </c>
      <c r="B35" s="37">
        <v>115.66</v>
      </c>
      <c r="C35" s="10">
        <v>9.3130000000000006</v>
      </c>
      <c r="D35" s="10">
        <v>9.2159999999999993</v>
      </c>
      <c r="G35" s="37">
        <v>42.2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qhr</cp:lastModifiedBy>
  <dcterms:created xsi:type="dcterms:W3CDTF">2015-06-05T18:19:34Z</dcterms:created>
  <dcterms:modified xsi:type="dcterms:W3CDTF">2019-12-19T01:23:51Z</dcterms:modified>
</cp:coreProperties>
</file>