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901" documentId="114_{AFB7D6A6-0A14-458A-9A53-FFB8C98A6C97}" xr6:coauthVersionLast="45" xr6:coauthVersionMax="45" xr10:uidLastSave="{5EF777E3-5F5A-430A-BCA2-072F48828380}"/>
  <bookViews>
    <workbookView xWindow="-98" yWindow="-98" windowWidth="19396" windowHeight="10395" xr2:uid="{00000000-000D-0000-FFFF-FFFF00000000}"/>
  </bookViews>
  <sheets>
    <sheet name="Sheet2" sheetId="2" r:id="rId1"/>
    <sheet name="压降分析" sheetId="7" r:id="rId2"/>
    <sheet name="Sheet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4" i="2" l="1"/>
  <c r="AE35" i="2" s="1"/>
  <c r="AF34" i="2"/>
  <c r="AF35" i="2" s="1"/>
  <c r="AG34" i="2"/>
  <c r="AG35" i="2" s="1"/>
  <c r="AH34" i="2"/>
  <c r="AH35" i="2" s="1"/>
  <c r="AI34" i="2"/>
  <c r="AI35" i="2" s="1"/>
  <c r="X34" i="2"/>
  <c r="X35" i="2" s="1"/>
  <c r="Y34" i="2"/>
  <c r="Y35" i="2" s="1"/>
  <c r="Z34" i="2"/>
  <c r="Z35" i="2" s="1"/>
  <c r="AA34" i="2"/>
  <c r="AA35" i="2" s="1"/>
  <c r="AB34" i="2"/>
  <c r="AB35" i="2" s="1"/>
  <c r="AC34" i="2"/>
  <c r="AC35" i="2" s="1"/>
  <c r="AD34" i="2"/>
  <c r="AD35" i="2" s="1"/>
  <c r="U34" i="2"/>
  <c r="U35" i="2" s="1"/>
  <c r="S34" i="2"/>
  <c r="S35" i="2" s="1"/>
  <c r="T34" i="2"/>
  <c r="T35" i="2" s="1"/>
  <c r="V34" i="2"/>
  <c r="V35" i="2" s="1"/>
  <c r="W34" i="2"/>
  <c r="W35" i="2" s="1"/>
  <c r="R34" i="2"/>
  <c r="R35" i="2" l="1"/>
  <c r="L34" i="2"/>
  <c r="L35" i="2" s="1"/>
  <c r="M34" i="2"/>
  <c r="M35" i="2" s="1"/>
  <c r="N34" i="2"/>
  <c r="N35" i="2" s="1"/>
  <c r="O34" i="2"/>
  <c r="O35" i="2" s="1"/>
  <c r="P34" i="2"/>
  <c r="P35" i="2" s="1"/>
  <c r="Q34" i="2"/>
  <c r="Q35" i="2" s="1"/>
  <c r="K34" i="2" l="1"/>
  <c r="K35" i="2" s="1"/>
  <c r="J34" i="2"/>
  <c r="J35" i="2" s="1"/>
  <c r="I34" i="2"/>
  <c r="I35" i="2" s="1"/>
  <c r="H34" i="2" l="1"/>
  <c r="G34" i="2"/>
  <c r="H35" i="2" l="1"/>
  <c r="G35" i="2"/>
  <c r="C6" i="7"/>
  <c r="C5" i="7"/>
  <c r="C4" i="7"/>
  <c r="C3" i="7"/>
  <c r="C2" i="7"/>
  <c r="C1" i="7"/>
  <c r="F34" i="2" l="1"/>
  <c r="F35" i="2" l="1"/>
  <c r="D34" i="2" l="1"/>
  <c r="E34" i="2"/>
  <c r="C34" i="2"/>
  <c r="D35" i="2" l="1"/>
  <c r="E35" i="2"/>
  <c r="C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M3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  <comment ref="I32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sharedStrings.xml><?xml version="1.0" encoding="utf-8"?>
<sst xmlns="http://schemas.openxmlformats.org/spreadsheetml/2006/main" count="174" uniqueCount="133">
  <si>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</si>
  <si>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</si>
  <si>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</si>
  <si>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</si>
  <si>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</si>
  <si>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</si>
  <si>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</si>
  <si>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</si>
  <si>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</si>
  <si>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</si>
  <si>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</si>
  <si>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</si>
  <si>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</si>
  <si>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</si>
  <si>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</si>
  <si>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</si>
  <si>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</si>
  <si>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</si>
  <si>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</si>
  <si>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</si>
  <si>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组1</t>
    <phoneticPr fontId="5" type="noConversion"/>
  </si>
  <si>
    <t>组3</t>
    <phoneticPr fontId="5" type="noConversion"/>
  </si>
  <si>
    <t>组2</t>
    <phoneticPr fontId="5" type="noConversion"/>
  </si>
  <si>
    <t>组4</t>
    <phoneticPr fontId="5" type="noConversion"/>
  </si>
  <si>
    <t>列0</t>
    <phoneticPr fontId="5" type="noConversion"/>
  </si>
  <si>
    <t>列1</t>
    <phoneticPr fontId="5" type="noConversion"/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</si>
  <si>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</si>
  <si>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</si>
  <si>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</si>
  <si>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室内出风干球/℃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</si>
  <si>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</si>
  <si>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</si>
  <si>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</si>
  <si>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</si>
  <si>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</si>
  <si>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</si>
  <si>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</si>
  <si>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</si>
  <si>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</si>
  <si>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</si>
  <si>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</si>
  <si>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</si>
  <si>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</si>
  <si>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</si>
  <si>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室内侧COP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</si>
  <si>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</si>
  <si>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</si>
  <si>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</si>
  <si>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</si>
  <si>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</si>
  <si>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</si>
  <si>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</si>
  <si>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</si>
  <si>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</si>
  <si>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</si>
  <si>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</si>
  <si>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</si>
  <si>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</si>
  <si>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</si>
  <si>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</si>
  <si>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</si>
  <si>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</si>
  <si>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</si>
  <si>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</si>
  <si>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</si>
  <si>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</si>
  <si>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</si>
  <si>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</si>
  <si>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</si>
  <si>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</si>
  <si>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</si>
  <si>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无回热</t>
    <phoneticPr fontId="5" type="noConversion"/>
  </si>
  <si>
    <t>全回热</t>
    <phoneticPr fontId="5" type="noConversion"/>
  </si>
  <si>
    <t>不回热</t>
    <phoneticPr fontId="5" type="noConversion"/>
  </si>
  <si>
    <t>列11</t>
    <phoneticPr fontId="5" type="noConversion"/>
  </si>
  <si>
    <t>11月6日组1</t>
    <phoneticPr fontId="5" type="noConversion"/>
  </si>
  <si>
    <t>组33</t>
  </si>
  <si>
    <t>列33</t>
  </si>
  <si>
    <t>列4</t>
    <phoneticPr fontId="5" type="noConversion"/>
  </si>
  <si>
    <t>列5</t>
    <phoneticPr fontId="5" type="noConversion"/>
  </si>
  <si>
    <t>组5</t>
    <phoneticPr fontId="5" type="noConversion"/>
  </si>
  <si>
    <t>列6</t>
    <phoneticPr fontId="5" type="noConversion"/>
  </si>
  <si>
    <t>组6</t>
    <phoneticPr fontId="5" type="noConversion"/>
  </si>
  <si>
    <t>列10</t>
    <phoneticPr fontId="5" type="noConversion"/>
  </si>
  <si>
    <t>组10</t>
    <phoneticPr fontId="5" type="noConversion"/>
  </si>
  <si>
    <t>列15</t>
    <phoneticPr fontId="5" type="noConversion"/>
  </si>
  <si>
    <t>组15</t>
    <phoneticPr fontId="5" type="noConversion"/>
  </si>
  <si>
    <t>列17</t>
    <phoneticPr fontId="5" type="noConversion"/>
  </si>
  <si>
    <t>组17</t>
    <phoneticPr fontId="5" type="noConversion"/>
  </si>
  <si>
    <t>列20</t>
    <phoneticPr fontId="5" type="noConversion"/>
  </si>
  <si>
    <t>组20</t>
    <phoneticPr fontId="5" type="noConversion"/>
  </si>
  <si>
    <t>列23</t>
    <phoneticPr fontId="5" type="noConversion"/>
  </si>
  <si>
    <t>组23</t>
    <phoneticPr fontId="5" type="noConversion"/>
  </si>
  <si>
    <t>列26</t>
    <phoneticPr fontId="5" type="noConversion"/>
  </si>
  <si>
    <t>组26</t>
    <phoneticPr fontId="5" type="noConversion"/>
  </si>
  <si>
    <t>列24</t>
    <phoneticPr fontId="5" type="noConversion"/>
  </si>
  <si>
    <t>组24</t>
    <phoneticPr fontId="5" type="noConversion"/>
  </si>
  <si>
    <t>列25</t>
    <phoneticPr fontId="5" type="noConversion"/>
  </si>
  <si>
    <t>组25</t>
    <phoneticPr fontId="5" type="noConversion"/>
  </si>
  <si>
    <t>列21</t>
    <phoneticPr fontId="5" type="noConversion"/>
  </si>
  <si>
    <t>组21</t>
    <phoneticPr fontId="5" type="noConversion"/>
  </si>
  <si>
    <t>列22</t>
    <phoneticPr fontId="5" type="noConversion"/>
  </si>
  <si>
    <t>组22</t>
    <phoneticPr fontId="5" type="noConversion"/>
  </si>
  <si>
    <t>列30</t>
    <phoneticPr fontId="5" type="noConversion"/>
  </si>
  <si>
    <t>组30</t>
    <phoneticPr fontId="5" type="noConversion"/>
  </si>
  <si>
    <t>列32</t>
    <phoneticPr fontId="5" type="noConversion"/>
  </si>
  <si>
    <t>组32</t>
    <phoneticPr fontId="5" type="noConversion"/>
  </si>
  <si>
    <t>列27</t>
    <phoneticPr fontId="5" type="noConversion"/>
  </si>
  <si>
    <t>列28</t>
    <phoneticPr fontId="5" type="noConversion"/>
  </si>
  <si>
    <t>列29</t>
    <phoneticPr fontId="5" type="noConversion"/>
  </si>
  <si>
    <t>列31</t>
    <phoneticPr fontId="5" type="noConversion"/>
  </si>
  <si>
    <t>组27</t>
    <phoneticPr fontId="5" type="noConversion"/>
  </si>
  <si>
    <t>组28</t>
    <phoneticPr fontId="5" type="noConversion"/>
  </si>
  <si>
    <t>组29</t>
    <phoneticPr fontId="5" type="noConversion"/>
  </si>
  <si>
    <t>组31</t>
    <phoneticPr fontId="5" type="noConversion"/>
  </si>
  <si>
    <t>列2</t>
    <phoneticPr fontId="5" type="noConversion"/>
  </si>
  <si>
    <t>列3</t>
    <phoneticPr fontId="5" type="noConversion"/>
  </si>
  <si>
    <t>列7</t>
    <phoneticPr fontId="5" type="noConversion"/>
  </si>
  <si>
    <t>列8</t>
    <phoneticPr fontId="5" type="noConversion"/>
  </si>
  <si>
    <t>列9</t>
    <phoneticPr fontId="5" type="noConversion"/>
  </si>
  <si>
    <t>列12</t>
    <phoneticPr fontId="5" type="noConversion"/>
  </si>
  <si>
    <t>列13</t>
    <phoneticPr fontId="5" type="noConversion"/>
  </si>
  <si>
    <t>列14</t>
    <phoneticPr fontId="5" type="noConversion"/>
  </si>
  <si>
    <t>列16</t>
    <phoneticPr fontId="5" type="noConversion"/>
  </si>
  <si>
    <t>列18</t>
    <phoneticPr fontId="5" type="noConversion"/>
  </si>
  <si>
    <t>列19</t>
    <phoneticPr fontId="5" type="noConversion"/>
  </si>
  <si>
    <t>组7</t>
    <phoneticPr fontId="5" type="noConversion"/>
  </si>
  <si>
    <t>组8</t>
    <phoneticPr fontId="5" type="noConversion"/>
  </si>
  <si>
    <t>组9</t>
    <phoneticPr fontId="5" type="noConversion"/>
  </si>
  <si>
    <t>组14</t>
    <phoneticPr fontId="5" type="noConversion"/>
  </si>
  <si>
    <t>组16</t>
    <phoneticPr fontId="5" type="noConversion"/>
  </si>
  <si>
    <t>组18</t>
    <phoneticPr fontId="5" type="noConversion"/>
  </si>
  <si>
    <t>组19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</si>
</sst>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0" fillId="7" borderId="0" xfId="0" applyFill="1" applyAlignment="1">
      <alignment horizontal="center" vertical="center"/>
    </xf>
    <xf numFmtId="0" fontId="4" fillId="7" borderId="1" xfId="3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2" fillId="8" borderId="4" xfId="1" applyFill="1" applyBorder="1" applyAlignment="1">
      <alignment horizontal="center" vertical="center"/>
    </xf>
    <xf numFmtId="0" fontId="2" fillId="8" borderId="0" xfId="1" applyFill="1" applyAlignment="1">
      <alignment horizontal="center" vertical="center"/>
    </xf>
    <xf numFmtId="0" fontId="0" fillId="8" borderId="0" xfId="0" applyFill="1">
      <alignment vertical="center"/>
    </xf>
    <xf numFmtId="0" fontId="0" fillId="0" borderId="0" xfId="0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7" xfId="3" applyBorder="1" applyAlignment="1">
      <alignment horizontal="center" vertical="center"/>
    </xf>
    <xf numFmtId="0" fontId="4" fillId="4" borderId="11" xfId="3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0" fillId="5" borderId="9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0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2" xfId="5" applyBorder="1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69"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0.42100000000000026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0.42100000000000026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AI39" totalsRowShown="0" dataDxfId="68">
  <autoFilter ref="B1:AI39" xr:uid="{00000000-0009-0000-0100-000003000000}"/>
  <tableColumns count="34">
    <tableColumn id="9" xr3:uid="{00000000-0010-0000-0000-000009000000}" name="列0" dataDxfId="67" totalsRowDxfId="66"/>
    <tableColumn id="4" xr3:uid="{00000000-0010-0000-0000-000004000000}" name="列1" dataDxfId="65" totalsRowDxfId="64"/>
    <tableColumn id="16" xr3:uid="{00000000-0010-0000-0000-000010000000}" name="列2" dataDxfId="21" totalsRowDxfId="63" dataCellStyle="输入"/>
    <tableColumn id="18" xr3:uid="{00000000-0010-0000-0000-000012000000}" name="列3" dataDxfId="20" totalsRowDxfId="62" dataCellStyle="输入"/>
    <tableColumn id="1" xr3:uid="{00000000-0010-0000-0000-000001000000}" name="列4" dataDxfId="30" totalsRowDxfId="61" dataCellStyle="输入"/>
    <tableColumn id="17" xr3:uid="{00000000-0010-0000-0000-000011000000}" name="列5" dataDxfId="29" totalsRowDxfId="60" dataCellStyle="输入"/>
    <tableColumn id="21" xr3:uid="{00000000-0010-0000-0000-000015000000}" name="列6" dataDxfId="28" totalsRowDxfId="59" dataCellStyle="输入"/>
    <tableColumn id="20" xr3:uid="{00000000-0010-0000-0000-000014000000}" name="列7" dataDxfId="19" totalsRowDxfId="58" dataCellStyle="输入"/>
    <tableColumn id="19" xr3:uid="{00000000-0010-0000-0000-000013000000}" name="列8" dataDxfId="18" totalsRowDxfId="57" dataCellStyle="输入"/>
    <tableColumn id="11" xr3:uid="{00000000-0010-0000-0000-00000B000000}" name="列9" dataDxfId="17" totalsRowDxfId="56" dataCellStyle="输入"/>
    <tableColumn id="24" xr3:uid="{00000000-0010-0000-0000-000018000000}" name="列10" dataDxfId="16" totalsRowDxfId="55" dataCellStyle="输入"/>
    <tableColumn id="23" xr3:uid="{00000000-0010-0000-0000-000017000000}" name="列11" dataDxfId="15" totalsRowDxfId="54" dataCellStyle="输入"/>
    <tableColumn id="22" xr3:uid="{00000000-0010-0000-0000-000016000000}" name="列12" dataDxfId="14" totalsRowDxfId="53" dataCellStyle="输入"/>
    <tableColumn id="12" xr3:uid="{00000000-0010-0000-0000-00000C000000}" name="列13" dataDxfId="13" totalsRowDxfId="52" dataCellStyle="输入"/>
    <tableColumn id="13" xr3:uid="{00000000-0010-0000-0000-00000D000000}" name="列14" dataDxfId="12" totalsRowDxfId="51" dataCellStyle="输入"/>
    <tableColumn id="14" xr3:uid="{00000000-0010-0000-0000-00000E000000}" name="列15" dataDxfId="11" totalsRowDxfId="50" dataCellStyle="输入"/>
    <tableColumn id="15" xr3:uid="{00000000-0010-0000-0000-00000F000000}" name="列16" dataDxfId="10" totalsRowDxfId="49" dataCellStyle="输入"/>
    <tableColumn id="2" xr3:uid="{0F95C51C-B079-45CB-9A85-FA4F282056DD}" name="列17" dataDxfId="9" totalsRowDxfId="48" dataCellStyle="输入"/>
    <tableColumn id="3" xr3:uid="{385E8310-AD78-41C2-B15B-568AFD5C87EF}" name="列18" dataDxfId="8" totalsRowDxfId="47" dataCellStyle="输入"/>
    <tableColumn id="5" xr3:uid="{09F56284-445E-4F20-8FB9-1A3E51844225}" name="列19" dataDxfId="7" totalsRowDxfId="46" dataCellStyle="输入"/>
    <tableColumn id="6" xr3:uid="{9370711D-FB84-4783-AC92-25A2D87AC583}" name="列20" dataDxfId="6" totalsRowDxfId="45" dataCellStyle="输入"/>
    <tableColumn id="7" xr3:uid="{0E19F0DE-0516-4430-8071-6A5B6450B891}" name="列21" dataDxfId="5" totalsRowDxfId="44" dataCellStyle="输入"/>
    <tableColumn id="8" xr3:uid="{F16A3F8E-AF7E-4BF2-B2B2-E5AFEF913B6B}" name="列22" dataDxfId="4" totalsRowDxfId="43" dataCellStyle="输入"/>
    <tableColumn id="10" xr3:uid="{00DBAE33-34A3-4BDB-8714-3A24E5725CF7}" name="列23" dataDxfId="3" totalsRowDxfId="42" dataCellStyle="输入"/>
    <tableColumn id="25" xr3:uid="{371E873D-7B20-4240-AABD-BEE16412D35A}" name="列24" dataDxfId="2" totalsRowDxfId="41" dataCellStyle="输入"/>
    <tableColumn id="26" xr3:uid="{7A0E7E20-7CCA-45D6-B3C6-9989228F0D01}" name="列25" dataDxfId="1" totalsRowDxfId="40" dataCellStyle="输入"/>
    <tableColumn id="27" xr3:uid="{63A58DBB-3213-4326-BA97-F41167796D3C}" name="列26" dataDxfId="0" totalsRowDxfId="39" dataCellStyle="输入"/>
    <tableColumn id="28" xr3:uid="{7C69C32E-931F-46A1-9C89-169BDCD6B896}" name="列27" dataDxfId="26" totalsRowDxfId="38" dataCellStyle="输入"/>
    <tableColumn id="29" xr3:uid="{6E1ADA32-F986-492E-A214-5877B63DF9CB}" name="列28" dataDxfId="25" totalsRowDxfId="37" dataCellStyle="输入"/>
    <tableColumn id="30" xr3:uid="{C6C4EC2A-6495-435E-A3A0-BCD11D807F19}" name="列29" dataDxfId="24" totalsRowDxfId="36" dataCellStyle="输入"/>
    <tableColumn id="31" xr3:uid="{664B9297-A24B-4DBA-8E17-09F7A80A2DA7}" name="列30" dataDxfId="23" totalsRowDxfId="35" dataCellStyle="输入"/>
    <tableColumn id="32" xr3:uid="{225828D6-FEED-428A-A3D9-C9EC3C3B7ACD}" name="列31" dataDxfId="22" totalsRowDxfId="34" dataCellStyle="输入"/>
    <tableColumn id="33" xr3:uid="{E1208EF8-582C-4326-B4A7-1A9DA1D065A2}" name="列32" dataDxfId="27" totalsRowDxfId="33" dataCellStyle="输入"/>
    <tableColumn id="34" xr3:uid="{C650F960-A423-4A44-8BB2-321F5D708C19}" name="列33" dataDxfId="32" totalsRowDxfId="3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59"/>
  <sheetViews>
    <sheetView tabSelected="1" zoomScale="85" zoomScaleNormal="85" workbookViewId="0">
      <selection activeCell="B25" sqref="A25:XFD25"/>
    </sheetView>
  </sheetViews>
  <sheetFormatPr defaultRowHeight="13.9" x14ac:dyDescent="0.4"/>
  <cols>
    <col min="2" max="2" width="29.19921875" customWidth="1"/>
    <col min="3" max="34" width="20.6640625" style="6" customWidth="1"/>
  </cols>
  <sheetData>
    <row r="1" spans="1:35" x14ac:dyDescent="0.4">
      <c r="B1" s="6" t="s">
        <v>24</v>
      </c>
      <c r="C1" s="6" t="s">
        <v>25</v>
      </c>
      <c r="D1" s="6" t="s">
        <v>115</v>
      </c>
      <c r="E1" s="6" t="s">
        <v>116</v>
      </c>
      <c r="F1" s="6" t="s">
        <v>78</v>
      </c>
      <c r="G1" s="6" t="s">
        <v>79</v>
      </c>
      <c r="H1" s="6" t="s">
        <v>81</v>
      </c>
      <c r="I1" s="6" t="s">
        <v>117</v>
      </c>
      <c r="J1" s="6" t="s">
        <v>118</v>
      </c>
      <c r="K1" s="6" t="s">
        <v>119</v>
      </c>
      <c r="L1" s="6" t="s">
        <v>83</v>
      </c>
      <c r="M1" s="6" t="s">
        <v>74</v>
      </c>
      <c r="N1" s="6" t="s">
        <v>120</v>
      </c>
      <c r="O1" s="6" t="s">
        <v>121</v>
      </c>
      <c r="P1" s="6" t="s">
        <v>122</v>
      </c>
      <c r="Q1" s="6" t="s">
        <v>85</v>
      </c>
      <c r="R1" s="6" t="s">
        <v>123</v>
      </c>
      <c r="S1" s="6" t="s">
        <v>87</v>
      </c>
      <c r="T1" s="6" t="s">
        <v>124</v>
      </c>
      <c r="U1" s="6" t="s">
        <v>125</v>
      </c>
      <c r="V1" s="6" t="s">
        <v>89</v>
      </c>
      <c r="W1" s="6" t="s">
        <v>99</v>
      </c>
      <c r="X1" s="6" t="s">
        <v>101</v>
      </c>
      <c r="Y1" s="6" t="s">
        <v>91</v>
      </c>
      <c r="Z1" s="6" t="s">
        <v>95</v>
      </c>
      <c r="AA1" s="6" t="s">
        <v>97</v>
      </c>
      <c r="AB1" s="6" t="s">
        <v>93</v>
      </c>
      <c r="AC1" s="6" t="s">
        <v>107</v>
      </c>
      <c r="AD1" s="6" t="s">
        <v>108</v>
      </c>
      <c r="AE1" s="6" t="s">
        <v>109</v>
      </c>
      <c r="AF1" s="6" t="s">
        <v>103</v>
      </c>
      <c r="AG1" s="6" t="s">
        <v>110</v>
      </c>
      <c r="AH1" s="6" t="s">
        <v>105</v>
      </c>
      <c r="AI1" t="s">
        <v>77</v>
      </c>
    </row>
    <row r="2" spans="1:35" x14ac:dyDescent="0.4">
      <c r="B2" s="1" t="s">
        <v>18</v>
      </c>
      <c r="C2" s="1" t="s">
        <v>72</v>
      </c>
      <c r="D2" s="22" t="s">
        <v>71</v>
      </c>
      <c r="E2" s="22" t="s">
        <v>71</v>
      </c>
      <c r="F2" s="22" t="s">
        <v>71</v>
      </c>
      <c r="G2" s="22" t="s">
        <v>72</v>
      </c>
      <c r="H2" s="22" t="s">
        <v>72</v>
      </c>
      <c r="I2" s="22" t="s">
        <v>72</v>
      </c>
      <c r="J2" s="22" t="s">
        <v>72</v>
      </c>
      <c r="K2" s="22" t="s">
        <v>72</v>
      </c>
      <c r="L2" s="22" t="s">
        <v>72</v>
      </c>
      <c r="M2" s="22" t="s">
        <v>73</v>
      </c>
      <c r="N2" s="22" t="s">
        <v>73</v>
      </c>
      <c r="O2" s="22" t="s">
        <v>73</v>
      </c>
      <c r="P2" s="22" t="s">
        <v>73</v>
      </c>
      <c r="Q2" s="22" t="s">
        <v>73</v>
      </c>
      <c r="R2" s="22" t="s">
        <v>73</v>
      </c>
      <c r="S2" s="22" t="s">
        <v>73</v>
      </c>
      <c r="T2" s="22" t="s">
        <v>73</v>
      </c>
      <c r="U2" s="22" t="s">
        <v>72</v>
      </c>
      <c r="V2" s="22" t="s">
        <v>72</v>
      </c>
      <c r="W2" s="22" t="s">
        <v>72</v>
      </c>
      <c r="X2" s="22" t="s">
        <v>72</v>
      </c>
      <c r="Y2" s="22" t="s">
        <v>72</v>
      </c>
      <c r="Z2" s="22" t="s">
        <v>72</v>
      </c>
      <c r="AA2" s="22" t="s">
        <v>72</v>
      </c>
      <c r="AB2" s="22" t="s">
        <v>72</v>
      </c>
      <c r="AC2" s="22" t="s">
        <v>72</v>
      </c>
      <c r="AD2" s="22" t="s">
        <v>72</v>
      </c>
      <c r="AE2" s="22" t="s">
        <v>72</v>
      </c>
      <c r="AF2" s="22" t="s">
        <v>72</v>
      </c>
      <c r="AG2" s="22" t="s">
        <v>72</v>
      </c>
      <c r="AH2" s="22" t="s">
        <v>72</v>
      </c>
      <c r="AI2" s="17" t="s">
        <v>72</v>
      </c>
    </row>
    <row r="3" spans="1:35" x14ac:dyDescent="0.4">
      <c r="A3" t="s">
        <v>15</v>
      </c>
      <c r="B3" s="1" t="s">
        <v>16</v>
      </c>
      <c r="C3" s="15" t="s">
        <v>20</v>
      </c>
      <c r="D3" s="15" t="s">
        <v>22</v>
      </c>
      <c r="E3" s="15" t="s">
        <v>21</v>
      </c>
      <c r="F3" s="15" t="s">
        <v>23</v>
      </c>
      <c r="G3" s="15" t="s">
        <v>80</v>
      </c>
      <c r="H3" s="15" t="s">
        <v>82</v>
      </c>
      <c r="I3" s="15" t="s">
        <v>126</v>
      </c>
      <c r="J3" s="15" t="s">
        <v>127</v>
      </c>
      <c r="K3" s="15" t="s">
        <v>128</v>
      </c>
      <c r="L3" s="15" t="s">
        <v>84</v>
      </c>
      <c r="M3" s="15" t="s">
        <v>75</v>
      </c>
      <c r="N3" s="15" t="s">
        <v>22</v>
      </c>
      <c r="O3" s="15" t="s">
        <v>21</v>
      </c>
      <c r="P3" s="15" t="s">
        <v>129</v>
      </c>
      <c r="Q3" s="15" t="s">
        <v>86</v>
      </c>
      <c r="R3" s="15" t="s">
        <v>130</v>
      </c>
      <c r="S3" s="15" t="s">
        <v>88</v>
      </c>
      <c r="T3" s="15" t="s">
        <v>131</v>
      </c>
      <c r="U3" s="15" t="s">
        <v>132</v>
      </c>
      <c r="V3" s="15" t="s">
        <v>90</v>
      </c>
      <c r="W3" s="15" t="s">
        <v>100</v>
      </c>
      <c r="X3" s="15" t="s">
        <v>102</v>
      </c>
      <c r="Y3" s="15" t="s">
        <v>92</v>
      </c>
      <c r="Z3" s="15" t="s">
        <v>96</v>
      </c>
      <c r="AA3" s="15" t="s">
        <v>98</v>
      </c>
      <c r="AB3" s="15" t="s">
        <v>94</v>
      </c>
      <c r="AC3" s="15" t="s">
        <v>111</v>
      </c>
      <c r="AD3" s="15" t="s">
        <v>112</v>
      </c>
      <c r="AE3" s="15" t="s">
        <v>113</v>
      </c>
      <c r="AF3" s="15" t="s">
        <v>104</v>
      </c>
      <c r="AG3" s="15" t="s">
        <v>114</v>
      </c>
      <c r="AH3" s="15" t="s">
        <v>106</v>
      </c>
      <c r="AI3" s="17" t="s">
        <v>76</v>
      </c>
    </row>
    <row r="4" spans="1:35" ht="13.5" customHeight="1" x14ac:dyDescent="0.4">
      <c r="A4" s="23" t="s">
        <v>17</v>
      </c>
      <c r="B4" s="7" t="s">
        <v>11</v>
      </c>
      <c r="C4" s="16">
        <v>27.2</v>
      </c>
      <c r="D4" s="16">
        <v>27</v>
      </c>
      <c r="E4" s="16">
        <v>27</v>
      </c>
      <c r="F4" s="16">
        <v>27</v>
      </c>
      <c r="G4" s="16">
        <v>27</v>
      </c>
      <c r="H4" s="16">
        <v>27</v>
      </c>
      <c r="I4" s="16">
        <v>27</v>
      </c>
      <c r="J4" s="16">
        <v>27</v>
      </c>
      <c r="K4" s="16">
        <v>27</v>
      </c>
      <c r="L4" s="16">
        <v>27</v>
      </c>
      <c r="M4" s="16">
        <v>27</v>
      </c>
      <c r="N4" s="16">
        <v>27</v>
      </c>
      <c r="O4" s="16">
        <v>27</v>
      </c>
      <c r="P4" s="16">
        <v>27</v>
      </c>
      <c r="Q4" s="16">
        <v>27</v>
      </c>
      <c r="R4" s="16">
        <v>26.9</v>
      </c>
      <c r="S4" s="16">
        <v>27</v>
      </c>
      <c r="T4" s="16">
        <v>27</v>
      </c>
      <c r="U4" s="16">
        <v>27</v>
      </c>
      <c r="V4" s="16">
        <v>27</v>
      </c>
      <c r="W4" s="16">
        <v>27</v>
      </c>
      <c r="X4" s="16">
        <v>27</v>
      </c>
      <c r="Y4" s="16">
        <v>27</v>
      </c>
      <c r="Z4" s="16">
        <v>27</v>
      </c>
      <c r="AA4" s="16">
        <v>27</v>
      </c>
      <c r="AB4" s="16">
        <v>27</v>
      </c>
      <c r="AC4" s="16">
        <v>27</v>
      </c>
      <c r="AD4" s="16">
        <v>27</v>
      </c>
      <c r="AE4" s="16">
        <v>27</v>
      </c>
      <c r="AF4" s="16">
        <v>27</v>
      </c>
      <c r="AG4" s="16">
        <v>27</v>
      </c>
      <c r="AH4" s="16">
        <v>27</v>
      </c>
      <c r="AI4" s="18">
        <v>27</v>
      </c>
    </row>
    <row r="5" spans="1:35" ht="13.5" customHeight="1" x14ac:dyDescent="0.4">
      <c r="A5" s="24"/>
      <c r="B5" s="7" t="s">
        <v>12</v>
      </c>
      <c r="C5" s="16">
        <v>19.7</v>
      </c>
      <c r="D5" s="16">
        <v>19.5</v>
      </c>
      <c r="E5" s="16">
        <v>19.600000000000001</v>
      </c>
      <c r="F5" s="16">
        <v>19.5</v>
      </c>
      <c r="G5" s="16">
        <v>19.5</v>
      </c>
      <c r="H5" s="16">
        <v>19.5</v>
      </c>
      <c r="I5" s="16">
        <v>19.600000000000001</v>
      </c>
      <c r="J5" s="16">
        <v>19.5</v>
      </c>
      <c r="K5" s="16">
        <v>19.5</v>
      </c>
      <c r="L5" s="16">
        <v>19.5</v>
      </c>
      <c r="M5" s="16">
        <v>19.5</v>
      </c>
      <c r="N5" s="16">
        <v>19.5</v>
      </c>
      <c r="O5" s="16">
        <v>19.5</v>
      </c>
      <c r="P5" s="16">
        <v>19.5</v>
      </c>
      <c r="Q5" s="16">
        <v>19.5</v>
      </c>
      <c r="R5" s="16">
        <v>19.5</v>
      </c>
      <c r="S5" s="16">
        <v>19.5</v>
      </c>
      <c r="T5" s="16">
        <v>19.5</v>
      </c>
      <c r="U5" s="16">
        <v>19.5</v>
      </c>
      <c r="V5" s="16">
        <v>19.5</v>
      </c>
      <c r="W5" s="16">
        <v>19.5</v>
      </c>
      <c r="X5" s="16">
        <v>19.5</v>
      </c>
      <c r="Y5" s="16">
        <v>19.5</v>
      </c>
      <c r="Z5" s="16">
        <v>19.5</v>
      </c>
      <c r="AA5" s="16">
        <v>19.5</v>
      </c>
      <c r="AB5" s="16">
        <v>19.5</v>
      </c>
      <c r="AC5" s="16">
        <v>19.5</v>
      </c>
      <c r="AD5" s="16">
        <v>19.5</v>
      </c>
      <c r="AE5" s="16">
        <v>19.5</v>
      </c>
      <c r="AF5" s="16">
        <v>19.5</v>
      </c>
      <c r="AG5" s="16">
        <v>19.5</v>
      </c>
      <c r="AH5" s="16">
        <v>19.5</v>
      </c>
      <c r="AI5" s="18">
        <v>19.5</v>
      </c>
    </row>
    <row r="6" spans="1:35" ht="13.5" customHeight="1" x14ac:dyDescent="0.4">
      <c r="A6" s="24"/>
      <c r="B6" s="7" t="s">
        <v>13</v>
      </c>
      <c r="C6" s="16">
        <v>35.299999999999997</v>
      </c>
      <c r="D6" s="16">
        <v>35</v>
      </c>
      <c r="E6" s="16">
        <v>35</v>
      </c>
      <c r="F6" s="16">
        <v>34.799999999999997</v>
      </c>
      <c r="G6" s="16">
        <v>35</v>
      </c>
      <c r="H6" s="16">
        <v>35</v>
      </c>
      <c r="I6" s="16">
        <v>34.9</v>
      </c>
      <c r="J6" s="16">
        <v>35</v>
      </c>
      <c r="K6" s="16">
        <v>35</v>
      </c>
      <c r="L6" s="16">
        <v>35</v>
      </c>
      <c r="M6" s="16">
        <v>35</v>
      </c>
      <c r="N6" s="16">
        <v>35</v>
      </c>
      <c r="O6" s="16">
        <v>35</v>
      </c>
      <c r="P6" s="16">
        <v>35</v>
      </c>
      <c r="Q6" s="16">
        <v>35</v>
      </c>
      <c r="R6" s="16">
        <v>35</v>
      </c>
      <c r="S6" s="16">
        <v>35</v>
      </c>
      <c r="T6" s="16">
        <v>35</v>
      </c>
      <c r="U6" s="16">
        <v>35</v>
      </c>
      <c r="V6" s="16">
        <v>35</v>
      </c>
      <c r="W6" s="16">
        <v>35</v>
      </c>
      <c r="X6" s="16">
        <v>35</v>
      </c>
      <c r="Y6" s="16">
        <v>35</v>
      </c>
      <c r="Z6" s="16">
        <v>35</v>
      </c>
      <c r="AA6" s="16">
        <v>35</v>
      </c>
      <c r="AB6" s="16">
        <v>35</v>
      </c>
      <c r="AC6" s="16">
        <v>35</v>
      </c>
      <c r="AD6" s="16">
        <v>35</v>
      </c>
      <c r="AE6" s="16">
        <v>35</v>
      </c>
      <c r="AF6" s="16">
        <v>35</v>
      </c>
      <c r="AG6" s="16">
        <v>35</v>
      </c>
      <c r="AH6" s="16">
        <v>35</v>
      </c>
      <c r="AI6" s="18">
        <v>35</v>
      </c>
    </row>
    <row r="7" spans="1:35" ht="13.5" customHeight="1" x14ac:dyDescent="0.4">
      <c r="A7" s="25"/>
      <c r="B7" s="7" t="s">
        <v>14</v>
      </c>
      <c r="C7" s="16">
        <v>26.1</v>
      </c>
      <c r="D7" s="16">
        <v>26.1</v>
      </c>
      <c r="E7" s="16">
        <v>26.1</v>
      </c>
      <c r="F7" s="16">
        <v>27.8</v>
      </c>
      <c r="G7" s="16">
        <v>27.3</v>
      </c>
      <c r="H7" s="16">
        <v>27</v>
      </c>
      <c r="I7" s="16">
        <v>27</v>
      </c>
      <c r="J7" s="16">
        <v>27.2</v>
      </c>
      <c r="K7" s="16">
        <v>27.2</v>
      </c>
      <c r="L7" s="16">
        <v>27.4</v>
      </c>
      <c r="M7" s="16">
        <v>27</v>
      </c>
      <c r="N7" s="16">
        <v>27</v>
      </c>
      <c r="O7" s="16">
        <v>27</v>
      </c>
      <c r="P7" s="16">
        <v>27</v>
      </c>
      <c r="Q7" s="16">
        <v>27</v>
      </c>
      <c r="R7" s="16">
        <v>27</v>
      </c>
      <c r="S7" s="16">
        <v>26.8</v>
      </c>
      <c r="T7" s="16">
        <v>26.9</v>
      </c>
      <c r="U7" s="16">
        <v>26.5</v>
      </c>
      <c r="V7" s="16">
        <v>26</v>
      </c>
      <c r="W7" s="16">
        <v>26.1</v>
      </c>
      <c r="X7" s="16">
        <v>26.1</v>
      </c>
      <c r="Y7" s="16">
        <v>26.1</v>
      </c>
      <c r="Z7" s="16">
        <v>26.5</v>
      </c>
      <c r="AA7" s="16">
        <v>26.5</v>
      </c>
      <c r="AB7" s="16">
        <v>26.1</v>
      </c>
      <c r="AC7" s="16">
        <v>26.1</v>
      </c>
      <c r="AD7" s="16">
        <v>26.1</v>
      </c>
      <c r="AE7" s="16">
        <v>26.1</v>
      </c>
      <c r="AF7" s="16">
        <v>26.1</v>
      </c>
      <c r="AG7" s="16">
        <v>26.1</v>
      </c>
      <c r="AH7" s="16">
        <v>26.1</v>
      </c>
      <c r="AI7" s="18">
        <v>26.1</v>
      </c>
    </row>
    <row r="8" spans="1:35" x14ac:dyDescent="0.4">
      <c r="A8" s="26" t="s">
        <v>26</v>
      </c>
      <c r="B8" s="3" t="s">
        <v>0</v>
      </c>
      <c r="C8" s="3">
        <v>35.159999999999997</v>
      </c>
      <c r="D8" s="3">
        <v>19.43</v>
      </c>
      <c r="E8" s="3">
        <v>16.010000000000002</v>
      </c>
      <c r="F8" s="3">
        <v>17.8</v>
      </c>
      <c r="G8" s="3">
        <v>35.729999999999997</v>
      </c>
      <c r="H8" s="3">
        <v>34.64</v>
      </c>
      <c r="I8" s="3">
        <v>31.58</v>
      </c>
      <c r="J8" s="3">
        <v>32.049999999999997</v>
      </c>
      <c r="K8" s="3">
        <v>31.92</v>
      </c>
      <c r="L8" s="3">
        <v>31.79</v>
      </c>
      <c r="M8" s="3">
        <v>1.55</v>
      </c>
      <c r="N8" s="3">
        <v>2.2999999999999998</v>
      </c>
      <c r="O8" s="3">
        <v>3.41</v>
      </c>
      <c r="P8" s="3">
        <v>4.4349999999999996</v>
      </c>
      <c r="Q8" s="3">
        <v>2.85</v>
      </c>
      <c r="R8" s="3">
        <v>-1.04</v>
      </c>
      <c r="S8" s="3">
        <v>-1.06</v>
      </c>
      <c r="T8" s="3">
        <v>-0.93</v>
      </c>
      <c r="U8" s="3">
        <v>31.73</v>
      </c>
      <c r="V8" s="3">
        <v>31.22</v>
      </c>
      <c r="W8" s="3">
        <v>30.72</v>
      </c>
      <c r="X8" s="3">
        <v>31.02</v>
      </c>
      <c r="Y8" s="3">
        <v>31.01</v>
      </c>
      <c r="Z8" s="3">
        <v>30.67</v>
      </c>
      <c r="AA8" s="3">
        <v>31.32</v>
      </c>
      <c r="AB8" s="3">
        <v>31.15</v>
      </c>
      <c r="AC8" s="3">
        <v>30.59</v>
      </c>
      <c r="AD8" s="3">
        <v>31.39</v>
      </c>
      <c r="AE8" s="3">
        <v>25.72</v>
      </c>
      <c r="AF8" s="3">
        <v>26.86</v>
      </c>
      <c r="AG8" s="3">
        <v>27.5</v>
      </c>
      <c r="AH8" s="3">
        <v>6.14</v>
      </c>
      <c r="AI8" s="3">
        <v>3.27</v>
      </c>
    </row>
    <row r="9" spans="1:35" x14ac:dyDescent="0.4">
      <c r="A9" s="27"/>
      <c r="B9" s="3" t="s">
        <v>1</v>
      </c>
      <c r="C9" s="3">
        <v>135.24</v>
      </c>
      <c r="D9" s="3">
        <v>135.71</v>
      </c>
      <c r="E9" s="3">
        <v>122.2</v>
      </c>
      <c r="F9" s="3">
        <v>135.44999999999999</v>
      </c>
      <c r="G9" s="3">
        <v>135.72</v>
      </c>
      <c r="H9" s="3">
        <v>125.26</v>
      </c>
      <c r="I9" s="3">
        <v>117.48</v>
      </c>
      <c r="J9" s="3">
        <v>125.58</v>
      </c>
      <c r="K9" s="3">
        <v>129.52000000000001</v>
      </c>
      <c r="L9" s="3">
        <v>133.12</v>
      </c>
      <c r="M9" s="3">
        <v>100.31</v>
      </c>
      <c r="N9" s="3">
        <v>104.62</v>
      </c>
      <c r="O9" s="3">
        <v>109.81</v>
      </c>
      <c r="P9" s="3">
        <v>114.64400000000001</v>
      </c>
      <c r="Q9" s="3">
        <v>107.69</v>
      </c>
      <c r="R9" s="3">
        <v>97.91</v>
      </c>
      <c r="S9" s="3">
        <v>94.86</v>
      </c>
      <c r="T9" s="3">
        <v>91.71</v>
      </c>
      <c r="U9" s="3">
        <v>124.19</v>
      </c>
      <c r="V9" s="3">
        <v>129.86000000000001</v>
      </c>
      <c r="W9" s="3">
        <v>132.44999999999999</v>
      </c>
      <c r="X9" s="3">
        <v>131.26</v>
      </c>
      <c r="Y9" s="3">
        <v>130.85</v>
      </c>
      <c r="Z9" s="3">
        <v>133.11000000000001</v>
      </c>
      <c r="AA9" s="3">
        <v>129.29</v>
      </c>
      <c r="AB9" s="3">
        <v>128.78</v>
      </c>
      <c r="AC9" s="3">
        <v>130.47</v>
      </c>
      <c r="AD9" s="3">
        <v>127.58</v>
      </c>
      <c r="AE9" s="3">
        <v>116.19</v>
      </c>
      <c r="AF9" s="3">
        <v>121.21</v>
      </c>
      <c r="AG9" s="3">
        <v>125.09</v>
      </c>
      <c r="AH9" s="3">
        <v>93.48</v>
      </c>
      <c r="AI9" s="3">
        <v>79.08</v>
      </c>
    </row>
    <row r="10" spans="1:35" x14ac:dyDescent="0.4">
      <c r="A10" s="27"/>
      <c r="B10" s="3" t="s">
        <v>2</v>
      </c>
      <c r="C10" s="3">
        <v>129.27000000000001</v>
      </c>
      <c r="D10" s="3">
        <v>129.66</v>
      </c>
      <c r="E10" s="3">
        <v>117.83</v>
      </c>
      <c r="F10" s="3">
        <v>129.83000000000001</v>
      </c>
      <c r="G10" s="3">
        <v>130.24</v>
      </c>
      <c r="H10" s="3">
        <v>120.61</v>
      </c>
      <c r="I10" s="3">
        <v>114.07</v>
      </c>
      <c r="J10" s="3">
        <v>121</v>
      </c>
      <c r="K10" s="3">
        <v>124.75</v>
      </c>
      <c r="L10" s="3">
        <v>128.22</v>
      </c>
      <c r="M10" s="3">
        <v>97.36</v>
      </c>
      <c r="N10" s="3">
        <v>101.43</v>
      </c>
      <c r="O10" s="3">
        <v>106.27</v>
      </c>
      <c r="P10" s="3">
        <v>110.83</v>
      </c>
      <c r="Q10" s="3">
        <v>104.21</v>
      </c>
      <c r="R10" s="3">
        <v>95.08</v>
      </c>
      <c r="S10" s="3">
        <v>92.16</v>
      </c>
      <c r="T10" s="3">
        <v>89.14</v>
      </c>
      <c r="U10" s="3">
        <v>119.63</v>
      </c>
      <c r="V10" s="3">
        <v>124.98</v>
      </c>
      <c r="W10" s="3">
        <v>127.35</v>
      </c>
      <c r="X10" s="3">
        <v>126.21</v>
      </c>
      <c r="Y10" s="3">
        <v>125.83</v>
      </c>
      <c r="Z10" s="3">
        <v>127.97</v>
      </c>
      <c r="AA10" s="3">
        <v>124.28</v>
      </c>
      <c r="AB10" s="3">
        <v>123.8</v>
      </c>
      <c r="AC10" s="3">
        <v>125.43</v>
      </c>
      <c r="AD10" s="3">
        <v>122.68</v>
      </c>
      <c r="AE10" s="3">
        <v>112.05</v>
      </c>
      <c r="AF10" s="3">
        <v>116.83</v>
      </c>
      <c r="AG10" s="3">
        <v>120.45</v>
      </c>
      <c r="AH10" s="3">
        <v>91.14</v>
      </c>
      <c r="AI10" s="3">
        <v>77.239999999999995</v>
      </c>
    </row>
    <row r="11" spans="1:35" x14ac:dyDescent="0.4">
      <c r="A11" s="27"/>
      <c r="B11" s="3" t="s">
        <v>6</v>
      </c>
      <c r="C11" s="3">
        <v>36.69</v>
      </c>
      <c r="D11" s="3">
        <v>36.89</v>
      </c>
      <c r="E11" s="3">
        <v>38.65</v>
      </c>
      <c r="F11" s="3">
        <v>37.71</v>
      </c>
      <c r="G11" s="3">
        <v>37.81</v>
      </c>
      <c r="H11" s="3">
        <v>37.46</v>
      </c>
      <c r="I11" s="3">
        <v>37.94</v>
      </c>
      <c r="J11" s="3">
        <v>38.51</v>
      </c>
      <c r="K11" s="3">
        <v>38.479999999999997</v>
      </c>
      <c r="L11" s="3">
        <v>38.46</v>
      </c>
      <c r="M11" s="3">
        <v>38.65</v>
      </c>
      <c r="N11" s="3">
        <v>38.35</v>
      </c>
      <c r="O11" s="3">
        <v>38</v>
      </c>
      <c r="P11" s="3">
        <v>37.68</v>
      </c>
      <c r="Q11" s="3">
        <v>38.159999999999997</v>
      </c>
      <c r="R11" s="3">
        <v>37.979999999999997</v>
      </c>
      <c r="S11" s="3">
        <v>38.32</v>
      </c>
      <c r="T11" s="3">
        <v>38.659999999999997</v>
      </c>
      <c r="U11" s="3">
        <v>38.4</v>
      </c>
      <c r="V11" s="3">
        <v>38.479999999999997</v>
      </c>
      <c r="W11" s="3">
        <v>38.369999999999997</v>
      </c>
      <c r="X11" s="3">
        <v>38.49</v>
      </c>
      <c r="Y11" s="3">
        <v>38.369999999999997</v>
      </c>
      <c r="Z11" s="3">
        <v>38.270000000000003</v>
      </c>
      <c r="AA11" s="3">
        <v>38.43</v>
      </c>
      <c r="AB11" s="3">
        <v>38.380000000000003</v>
      </c>
      <c r="AC11" s="3">
        <v>38.340000000000003</v>
      </c>
      <c r="AD11" s="3">
        <v>38.369999999999997</v>
      </c>
      <c r="AE11" s="3">
        <v>38.369999999999997</v>
      </c>
      <c r="AF11" s="3">
        <v>38.36</v>
      </c>
      <c r="AG11" s="3">
        <v>38.450000000000003</v>
      </c>
      <c r="AH11" s="3">
        <v>39.01</v>
      </c>
      <c r="AI11" s="3">
        <v>38.94</v>
      </c>
    </row>
    <row r="12" spans="1:35" x14ac:dyDescent="0.4">
      <c r="A12" s="27"/>
      <c r="B12" s="3" t="s">
        <v>5</v>
      </c>
      <c r="C12" s="3">
        <v>33.81</v>
      </c>
      <c r="D12" s="3">
        <v>36.32</v>
      </c>
      <c r="E12" s="3">
        <v>38.26</v>
      </c>
      <c r="F12" s="3">
        <v>37.46</v>
      </c>
      <c r="G12" s="3">
        <v>35.64</v>
      </c>
      <c r="H12" s="3">
        <v>35.32</v>
      </c>
      <c r="I12" s="3">
        <v>33.200000000000003</v>
      </c>
      <c r="J12" s="3">
        <v>31.09</v>
      </c>
      <c r="K12" s="3">
        <v>29.93</v>
      </c>
      <c r="L12" s="3">
        <v>28.78</v>
      </c>
      <c r="M12" s="3">
        <v>38.25</v>
      </c>
      <c r="N12" s="3">
        <v>38</v>
      </c>
      <c r="O12" s="3">
        <v>37.68</v>
      </c>
      <c r="P12" s="3">
        <v>37.44</v>
      </c>
      <c r="Q12" s="3">
        <v>37.86</v>
      </c>
      <c r="R12" s="3">
        <v>37.659999999999997</v>
      </c>
      <c r="S12" s="3">
        <v>37.97</v>
      </c>
      <c r="T12" s="3">
        <v>38.270000000000003</v>
      </c>
      <c r="U12" s="3">
        <v>30.65</v>
      </c>
      <c r="V12" s="3">
        <v>27.83</v>
      </c>
      <c r="W12" s="3">
        <v>26.52</v>
      </c>
      <c r="X12" s="3">
        <v>27.19</v>
      </c>
      <c r="Y12" s="3">
        <v>26.82</v>
      </c>
      <c r="Z12" s="3">
        <v>25.81</v>
      </c>
      <c r="AA12" s="3">
        <v>27.81</v>
      </c>
      <c r="AB12" s="3">
        <v>27.51</v>
      </c>
      <c r="AC12" s="3">
        <v>26.13</v>
      </c>
      <c r="AD12" s="3">
        <v>28.41</v>
      </c>
      <c r="AE12" s="3">
        <v>25.33</v>
      </c>
      <c r="AF12" s="3">
        <v>24.31</v>
      </c>
      <c r="AG12" s="3">
        <v>23.55</v>
      </c>
      <c r="AH12" s="3">
        <v>18.53</v>
      </c>
      <c r="AI12" s="3">
        <v>21.86</v>
      </c>
    </row>
    <row r="13" spans="1:35" s="21" customFormat="1" x14ac:dyDescent="0.4">
      <c r="A13" s="27"/>
      <c r="B13" s="19" t="s">
        <v>3</v>
      </c>
      <c r="C13" s="20">
        <v>33.33</v>
      </c>
      <c r="D13" s="20">
        <v>35.74</v>
      </c>
      <c r="E13" s="20">
        <v>37.75</v>
      </c>
      <c r="F13" s="20">
        <v>36.76</v>
      </c>
      <c r="G13" s="20">
        <v>35.409999999999997</v>
      </c>
      <c r="H13" s="20">
        <v>34.96</v>
      </c>
      <c r="I13" s="20">
        <v>32.94</v>
      </c>
      <c r="J13" s="20">
        <v>30.77</v>
      </c>
      <c r="K13" s="20">
        <v>29.6</v>
      </c>
      <c r="L13" s="20">
        <v>28.37</v>
      </c>
      <c r="M13" s="20">
        <v>37.69</v>
      </c>
      <c r="N13" s="20">
        <v>37.36</v>
      </c>
      <c r="O13" s="20">
        <v>36.99</v>
      </c>
      <c r="P13" s="20">
        <v>36.72</v>
      </c>
      <c r="Q13" s="20">
        <v>37.159999999999997</v>
      </c>
      <c r="R13" s="20">
        <v>37.07</v>
      </c>
      <c r="S13" s="20">
        <v>37.369999999999997</v>
      </c>
      <c r="T13" s="20">
        <v>37.71</v>
      </c>
      <c r="U13" s="20">
        <v>30.33</v>
      </c>
      <c r="V13" s="20">
        <v>27.5</v>
      </c>
      <c r="W13" s="20">
        <v>26.21</v>
      </c>
      <c r="X13" s="20">
        <v>26.88</v>
      </c>
      <c r="Y13" s="20">
        <v>26.61</v>
      </c>
      <c r="Z13" s="20">
        <v>25.62</v>
      </c>
      <c r="AA13" s="20">
        <v>27.73</v>
      </c>
      <c r="AB13" s="20">
        <v>27.48</v>
      </c>
      <c r="AC13" s="20">
        <v>25.99</v>
      </c>
      <c r="AD13" s="20">
        <v>28.31</v>
      </c>
      <c r="AE13" s="20">
        <v>25.46</v>
      </c>
      <c r="AF13" s="20">
        <v>24.37</v>
      </c>
      <c r="AG13" s="20">
        <v>23.54</v>
      </c>
      <c r="AH13" s="20">
        <v>18.54</v>
      </c>
      <c r="AI13" s="20">
        <v>21.87</v>
      </c>
    </row>
    <row r="14" spans="1:35" x14ac:dyDescent="0.4">
      <c r="A14" s="27"/>
      <c r="B14" s="4" t="s">
        <v>4</v>
      </c>
      <c r="C14" s="3">
        <v>2.0499999999999998</v>
      </c>
      <c r="D14" s="3">
        <v>-1.53</v>
      </c>
      <c r="E14" s="3">
        <v>4.49</v>
      </c>
      <c r="F14" s="3">
        <v>1.49</v>
      </c>
      <c r="G14" s="3">
        <v>4.8</v>
      </c>
      <c r="H14" s="3">
        <v>7.07</v>
      </c>
      <c r="I14" s="3">
        <v>7.67</v>
      </c>
      <c r="J14" s="3">
        <v>6.08</v>
      </c>
      <c r="K14" s="3">
        <v>5.32</v>
      </c>
      <c r="L14" s="3">
        <v>4.71</v>
      </c>
      <c r="M14" s="3">
        <v>7.04</v>
      </c>
      <c r="N14" s="3">
        <v>6.56</v>
      </c>
      <c r="O14" s="3">
        <v>6.04</v>
      </c>
      <c r="P14" s="3">
        <v>5.6</v>
      </c>
      <c r="Q14" s="3">
        <v>6.02</v>
      </c>
      <c r="R14" s="3">
        <v>6.75</v>
      </c>
      <c r="S14" s="3">
        <v>7.07</v>
      </c>
      <c r="T14" s="3">
        <v>7.49</v>
      </c>
      <c r="U14" s="3">
        <v>6.14</v>
      </c>
      <c r="V14" s="3">
        <v>4.8899999999999997</v>
      </c>
      <c r="W14" s="3">
        <v>4.54</v>
      </c>
      <c r="X14" s="3">
        <v>4.76</v>
      </c>
      <c r="Y14" s="3">
        <v>4.6399999999999997</v>
      </c>
      <c r="Z14" s="3">
        <v>4.29</v>
      </c>
      <c r="AA14" s="3">
        <v>4.96</v>
      </c>
      <c r="AB14" s="3">
        <v>5.04</v>
      </c>
      <c r="AC14" s="3">
        <v>4.57</v>
      </c>
      <c r="AD14" s="3">
        <v>5.24</v>
      </c>
      <c r="AE14" s="3">
        <v>6.12</v>
      </c>
      <c r="AF14" s="3">
        <v>5.31</v>
      </c>
      <c r="AG14" s="3">
        <v>4.6900000000000004</v>
      </c>
      <c r="AH14" s="3">
        <v>6.57</v>
      </c>
      <c r="AI14" s="3">
        <v>8.92</v>
      </c>
    </row>
    <row r="15" spans="1:35" x14ac:dyDescent="0.4">
      <c r="A15" s="27"/>
      <c r="B15" s="4" t="s">
        <v>30</v>
      </c>
      <c r="C15" s="3">
        <v>1.66</v>
      </c>
      <c r="D15" s="3">
        <v>-1.73</v>
      </c>
      <c r="E15" s="3">
        <v>4.26</v>
      </c>
      <c r="F15" s="3">
        <v>1.44</v>
      </c>
      <c r="G15" s="3">
        <v>4.76</v>
      </c>
      <c r="H15" s="3">
        <v>6.92</v>
      </c>
      <c r="I15" s="3">
        <v>7.56</v>
      </c>
      <c r="J15" s="3">
        <v>6.04</v>
      </c>
      <c r="K15" s="3">
        <v>5.31</v>
      </c>
      <c r="L15" s="3">
        <v>4.72</v>
      </c>
      <c r="M15" s="3">
        <v>6.74</v>
      </c>
      <c r="N15" s="3">
        <v>6.31</v>
      </c>
      <c r="O15" s="3">
        <v>5.84</v>
      </c>
      <c r="P15" s="3">
        <v>5.4740000000000002</v>
      </c>
      <c r="Q15" s="3">
        <v>6.0030000000000001</v>
      </c>
      <c r="R15" s="3">
        <v>6.57</v>
      </c>
      <c r="S15" s="3">
        <v>6.79</v>
      </c>
      <c r="T15" s="3">
        <v>7.18</v>
      </c>
      <c r="U15" s="3">
        <v>6.12</v>
      </c>
      <c r="V15" s="3">
        <v>4.91</v>
      </c>
      <c r="W15" s="3">
        <v>4.58</v>
      </c>
      <c r="X15" s="3">
        <v>4.79</v>
      </c>
      <c r="Y15" s="3">
        <v>4.6900000000000004</v>
      </c>
      <c r="Z15" s="3">
        <v>4.33</v>
      </c>
      <c r="AA15" s="3">
        <v>4.95</v>
      </c>
      <c r="AB15" s="3">
        <v>5.01</v>
      </c>
      <c r="AC15" s="3">
        <v>4.57</v>
      </c>
      <c r="AD15" s="3">
        <v>5.22</v>
      </c>
      <c r="AE15" s="3">
        <v>6.07</v>
      </c>
      <c r="AF15" s="3">
        <v>5.28</v>
      </c>
      <c r="AG15" s="3">
        <v>4.7300000000000004</v>
      </c>
      <c r="AH15" s="3">
        <v>6.52</v>
      </c>
      <c r="AI15" s="3">
        <v>8.81</v>
      </c>
    </row>
    <row r="16" spans="1:35" x14ac:dyDescent="0.4">
      <c r="A16" s="27"/>
      <c r="B16" s="4" t="s">
        <v>19</v>
      </c>
      <c r="C16" s="3">
        <v>20.21</v>
      </c>
      <c r="D16" s="3">
        <v>19.57</v>
      </c>
      <c r="E16" s="3">
        <v>17.47</v>
      </c>
      <c r="F16" s="3">
        <v>18.489999999999998</v>
      </c>
      <c r="G16" s="3">
        <v>16.78</v>
      </c>
      <c r="H16" s="3">
        <v>14.62</v>
      </c>
      <c r="I16" s="3">
        <v>4.6399999999999997</v>
      </c>
      <c r="J16" s="3">
        <v>3.38</v>
      </c>
      <c r="K16" s="3">
        <v>2.67</v>
      </c>
      <c r="L16" s="3">
        <v>2.15</v>
      </c>
      <c r="M16" s="3">
        <v>4.22</v>
      </c>
      <c r="N16" s="3">
        <v>4.7699999999999996</v>
      </c>
      <c r="O16" s="3">
        <v>5.47</v>
      </c>
      <c r="P16" s="3">
        <v>6.23</v>
      </c>
      <c r="Q16" s="3">
        <v>5.1509999999999998</v>
      </c>
      <c r="R16" s="3">
        <v>2.59</v>
      </c>
      <c r="S16" s="3">
        <v>2.66</v>
      </c>
      <c r="T16" s="3">
        <v>2.92</v>
      </c>
      <c r="U16" s="3">
        <v>3.57</v>
      </c>
      <c r="V16" s="3">
        <v>2.5299999999999998</v>
      </c>
      <c r="W16" s="3">
        <v>2.25</v>
      </c>
      <c r="X16" s="3">
        <v>2.4500000000000002</v>
      </c>
      <c r="Y16" s="3">
        <v>2.5</v>
      </c>
      <c r="Z16" s="3">
        <v>2.21</v>
      </c>
      <c r="AA16" s="3">
        <v>2.69</v>
      </c>
      <c r="AB16" s="3">
        <v>2.86</v>
      </c>
      <c r="AC16" s="3">
        <v>2.5</v>
      </c>
      <c r="AD16" s="3">
        <v>2.98</v>
      </c>
      <c r="AE16" s="3">
        <v>4.03</v>
      </c>
      <c r="AF16" s="3">
        <v>3.31</v>
      </c>
      <c r="AG16" s="3">
        <v>2.8</v>
      </c>
      <c r="AH16" s="3">
        <v>4.59</v>
      </c>
      <c r="AI16" s="3">
        <v>6.4</v>
      </c>
    </row>
    <row r="17" spans="1:35" x14ac:dyDescent="0.4">
      <c r="A17" s="27"/>
      <c r="B17" s="3" t="s">
        <v>7</v>
      </c>
      <c r="C17" s="3">
        <v>19.350000000000001</v>
      </c>
      <c r="D17" s="3">
        <v>18.75</v>
      </c>
      <c r="E17" s="3">
        <v>16.420000000000002</v>
      </c>
      <c r="F17" s="3">
        <v>17.420000000000002</v>
      </c>
      <c r="G17" s="3">
        <v>15.74</v>
      </c>
      <c r="H17" s="3">
        <v>13.57</v>
      </c>
      <c r="I17" s="3">
        <v>3.89</v>
      </c>
      <c r="J17" s="3">
        <v>2.59</v>
      </c>
      <c r="K17" s="3">
        <v>1.87</v>
      </c>
      <c r="L17" s="3">
        <v>1.41</v>
      </c>
      <c r="M17" s="3">
        <v>3.09</v>
      </c>
      <c r="N17" s="3">
        <v>3.65</v>
      </c>
      <c r="O17" s="3">
        <v>4.4000000000000004</v>
      </c>
      <c r="P17" s="3">
        <v>5.12</v>
      </c>
      <c r="Q17" s="3">
        <v>3.98</v>
      </c>
      <c r="R17" s="3">
        <v>1.5</v>
      </c>
      <c r="S17" s="3">
        <v>1.57</v>
      </c>
      <c r="T17" s="3">
        <v>1.77</v>
      </c>
      <c r="U17" s="3">
        <v>2.83</v>
      </c>
      <c r="V17" s="3">
        <v>1.85</v>
      </c>
      <c r="W17" s="3">
        <v>1.59</v>
      </c>
      <c r="X17" s="3">
        <v>1.76</v>
      </c>
      <c r="Y17" s="3">
        <v>1.9</v>
      </c>
      <c r="Z17" s="3">
        <v>1.61</v>
      </c>
      <c r="AA17" s="3">
        <v>2.06</v>
      </c>
      <c r="AB17" s="3">
        <v>2.25</v>
      </c>
      <c r="AC17" s="3">
        <v>1.9</v>
      </c>
      <c r="AD17" s="3">
        <v>2.38</v>
      </c>
      <c r="AE17" s="3">
        <v>3.39</v>
      </c>
      <c r="AF17" s="3">
        <v>2.72</v>
      </c>
      <c r="AG17" s="3">
        <v>2.15</v>
      </c>
      <c r="AH17" s="3">
        <v>3.86</v>
      </c>
      <c r="AI17" s="3">
        <v>5.51</v>
      </c>
    </row>
    <row r="18" spans="1:35" x14ac:dyDescent="0.4">
      <c r="A18" s="27"/>
      <c r="B18" s="3" t="s">
        <v>8</v>
      </c>
      <c r="C18" s="3">
        <v>20.04</v>
      </c>
      <c r="D18" s="3">
        <v>19.39</v>
      </c>
      <c r="E18" s="3">
        <v>16.86</v>
      </c>
      <c r="F18" s="3">
        <v>18.16</v>
      </c>
      <c r="G18" s="3">
        <v>16.37</v>
      </c>
      <c r="H18" s="3">
        <v>14.07</v>
      </c>
      <c r="I18" s="3">
        <v>3.47</v>
      </c>
      <c r="J18" s="3">
        <v>2.27</v>
      </c>
      <c r="K18" s="3">
        <v>1.57</v>
      </c>
      <c r="L18" s="3">
        <v>1.53</v>
      </c>
      <c r="M18" s="3">
        <v>3.2</v>
      </c>
      <c r="N18" s="3">
        <v>3.83</v>
      </c>
      <c r="O18" s="3">
        <v>4.6900000000000004</v>
      </c>
      <c r="P18" s="3">
        <v>5.57</v>
      </c>
      <c r="Q18" s="3">
        <v>4.2</v>
      </c>
      <c r="R18" s="3">
        <v>1.02</v>
      </c>
      <c r="S18" s="3">
        <v>1.1100000000000001</v>
      </c>
      <c r="T18" s="3">
        <v>1.29</v>
      </c>
      <c r="U18" s="3">
        <v>2.4900000000000002</v>
      </c>
      <c r="V18" s="3">
        <v>1.5</v>
      </c>
      <c r="W18" s="3">
        <v>1.27</v>
      </c>
      <c r="X18" s="3">
        <v>1.42</v>
      </c>
      <c r="Y18" s="3">
        <v>1.5</v>
      </c>
      <c r="Z18" s="3">
        <v>1.3</v>
      </c>
      <c r="AA18" s="3">
        <v>1.71</v>
      </c>
      <c r="AB18" s="3">
        <v>1.95</v>
      </c>
      <c r="AC18" s="3">
        <v>1.56</v>
      </c>
      <c r="AD18" s="3">
        <v>2.08</v>
      </c>
      <c r="AE18" s="3">
        <v>3.07</v>
      </c>
      <c r="AF18" s="3">
        <v>2.39</v>
      </c>
      <c r="AG18" s="3">
        <v>1.86</v>
      </c>
      <c r="AH18" s="3">
        <v>3.54</v>
      </c>
      <c r="AI18" s="3">
        <v>5.24</v>
      </c>
    </row>
    <row r="19" spans="1:35" x14ac:dyDescent="0.4">
      <c r="A19" s="27"/>
      <c r="B19" s="3" t="s">
        <v>9</v>
      </c>
      <c r="C19" s="3">
        <v>19.12</v>
      </c>
      <c r="D19" s="3">
        <v>35.17</v>
      </c>
      <c r="E19" s="3">
        <v>37.22</v>
      </c>
      <c r="F19" s="3">
        <v>36.75</v>
      </c>
      <c r="G19" s="3">
        <v>15.43</v>
      </c>
      <c r="H19" s="3">
        <v>12.93</v>
      </c>
      <c r="I19" s="3">
        <v>1.66</v>
      </c>
      <c r="J19" s="3">
        <v>0.68</v>
      </c>
      <c r="K19" s="3">
        <v>0.2</v>
      </c>
      <c r="L19" s="3">
        <v>0.55000000000000004</v>
      </c>
      <c r="M19" s="3">
        <v>32.659999999999997</v>
      </c>
      <c r="N19" s="3">
        <v>35.03</v>
      </c>
      <c r="O19" s="3">
        <v>35.82</v>
      </c>
      <c r="P19" s="3">
        <v>36.18</v>
      </c>
      <c r="Q19" s="3">
        <v>36.64</v>
      </c>
      <c r="R19" s="3">
        <v>36.64</v>
      </c>
      <c r="S19" s="3">
        <v>36.89</v>
      </c>
      <c r="T19" s="3">
        <v>37.020000000000003</v>
      </c>
      <c r="U19" s="3">
        <v>0.87</v>
      </c>
      <c r="V19" s="3">
        <v>-0.08</v>
      </c>
      <c r="W19" s="3">
        <v>-0.28000000000000003</v>
      </c>
      <c r="X19" s="3">
        <v>-0.13</v>
      </c>
      <c r="Y19" s="3">
        <v>0.02</v>
      </c>
      <c r="Z19" s="3">
        <v>-0.27</v>
      </c>
      <c r="AA19" s="3">
        <v>0.19</v>
      </c>
      <c r="AB19" s="3">
        <v>0.37</v>
      </c>
      <c r="AC19" s="3">
        <v>0.09</v>
      </c>
      <c r="AD19" s="3">
        <v>0.51</v>
      </c>
      <c r="AE19" s="3">
        <v>1.37</v>
      </c>
      <c r="AF19" s="3">
        <v>0.77</v>
      </c>
      <c r="AG19" s="3">
        <v>0.23</v>
      </c>
      <c r="AH19" s="3">
        <v>1.67</v>
      </c>
      <c r="AI19" s="3">
        <v>3.1</v>
      </c>
    </row>
    <row r="20" spans="1:35" x14ac:dyDescent="0.4">
      <c r="A20" s="28" t="s">
        <v>27</v>
      </c>
      <c r="B20" s="2" t="s">
        <v>10</v>
      </c>
      <c r="C20" s="8">
        <v>2.86</v>
      </c>
      <c r="D20" s="8">
        <v>2.5499999999999998</v>
      </c>
      <c r="E20" s="8">
        <v>3.05</v>
      </c>
      <c r="F20" s="8">
        <v>2.84</v>
      </c>
      <c r="G20" s="8">
        <v>3.21</v>
      </c>
      <c r="H20" s="8">
        <v>3.4</v>
      </c>
      <c r="I20" s="8">
        <v>3.55</v>
      </c>
      <c r="J20" s="8">
        <v>3.45</v>
      </c>
      <c r="K20" s="8">
        <v>3.39</v>
      </c>
      <c r="L20" s="8">
        <v>3.34</v>
      </c>
      <c r="M20" s="8">
        <v>3.3</v>
      </c>
      <c r="N20" s="8">
        <v>3.28</v>
      </c>
      <c r="O20" s="8">
        <v>3.27</v>
      </c>
      <c r="P20" s="8">
        <v>3.25</v>
      </c>
      <c r="Q20" s="8">
        <v>3.27</v>
      </c>
      <c r="R20" s="8">
        <v>3.34</v>
      </c>
      <c r="S20" s="8">
        <v>3.34</v>
      </c>
      <c r="T20" s="8">
        <v>3.36</v>
      </c>
      <c r="U20" s="8">
        <v>3.48</v>
      </c>
      <c r="V20" s="8">
        <v>3.4</v>
      </c>
      <c r="W20" s="8">
        <v>3.37</v>
      </c>
      <c r="X20" s="8">
        <v>3.39</v>
      </c>
      <c r="Y20" s="8">
        <v>3.41</v>
      </c>
      <c r="Z20" s="8">
        <v>3.38</v>
      </c>
      <c r="AA20" s="8">
        <v>3.42</v>
      </c>
      <c r="AB20" s="8">
        <v>3.44</v>
      </c>
      <c r="AC20" s="8">
        <v>3.41</v>
      </c>
      <c r="AD20" s="8">
        <v>3.4540000000000002</v>
      </c>
      <c r="AE20" s="8">
        <v>3.55</v>
      </c>
      <c r="AF20" s="8">
        <v>3.49</v>
      </c>
      <c r="AG20" s="8">
        <v>3.44</v>
      </c>
      <c r="AH20" s="8">
        <v>3.57</v>
      </c>
      <c r="AI20" s="8">
        <v>3.7</v>
      </c>
    </row>
    <row r="21" spans="1:35" x14ac:dyDescent="0.4">
      <c r="A21" s="29"/>
      <c r="B21" s="2" t="s">
        <v>32</v>
      </c>
      <c r="C21" s="8">
        <v>7.84</v>
      </c>
      <c r="D21" s="8">
        <v>8.17</v>
      </c>
      <c r="E21" s="8">
        <v>9.11</v>
      </c>
      <c r="F21" s="8">
        <v>9.2200000000000006</v>
      </c>
      <c r="G21" s="8">
        <v>8.7200000000000006</v>
      </c>
      <c r="H21" s="8">
        <v>8.5500000000000007</v>
      </c>
      <c r="I21" s="8">
        <v>8.74</v>
      </c>
      <c r="J21" s="8">
        <v>9.0399999999999991</v>
      </c>
      <c r="K21" s="8">
        <v>9.2100000000000009</v>
      </c>
      <c r="L21" s="8">
        <v>9.3800000000000008</v>
      </c>
      <c r="M21" s="8">
        <v>10.07</v>
      </c>
      <c r="N21" s="8">
        <v>10.220000000000001</v>
      </c>
      <c r="O21" s="8">
        <v>10.38</v>
      </c>
      <c r="P21" s="8">
        <v>10.54</v>
      </c>
      <c r="Q21" s="8">
        <v>10.3</v>
      </c>
      <c r="R21" s="8">
        <v>10.54</v>
      </c>
      <c r="S21" s="8">
        <v>10.32</v>
      </c>
      <c r="T21" s="8">
        <v>10.11</v>
      </c>
      <c r="U21" s="8">
        <v>9</v>
      </c>
      <c r="V21" s="8">
        <v>9.25</v>
      </c>
      <c r="W21" s="8">
        <v>9.41</v>
      </c>
      <c r="X21" s="8">
        <v>9.34</v>
      </c>
      <c r="Y21" s="8">
        <v>9.26</v>
      </c>
      <c r="Z21" s="8">
        <v>9.3800000000000008</v>
      </c>
      <c r="AA21" s="8">
        <v>9.16</v>
      </c>
      <c r="AB21" s="8">
        <v>9.15</v>
      </c>
      <c r="AC21" s="8">
        <v>9.26</v>
      </c>
      <c r="AD21" s="8">
        <v>9.08</v>
      </c>
      <c r="AE21" s="8">
        <v>9.01</v>
      </c>
      <c r="AF21" s="8">
        <v>9.1300000000000008</v>
      </c>
      <c r="AG21" s="8">
        <v>9.25</v>
      </c>
      <c r="AH21" s="8">
        <v>9.42</v>
      </c>
      <c r="AI21" s="8">
        <v>9.23</v>
      </c>
    </row>
    <row r="22" spans="1:35" x14ac:dyDescent="0.4">
      <c r="A22" s="29"/>
      <c r="B22" s="2" t="s">
        <v>33</v>
      </c>
      <c r="C22" s="8">
        <v>7.6189999999999998</v>
      </c>
      <c r="D22" s="8">
        <v>8.01</v>
      </c>
      <c r="E22" s="8">
        <v>8.8989999999999991</v>
      </c>
      <c r="F22" s="8">
        <v>9.0660000000000007</v>
      </c>
      <c r="G22" s="8">
        <v>8.4960000000000004</v>
      </c>
      <c r="H22" s="8">
        <v>8.2560000000000002</v>
      </c>
      <c r="I22" s="8">
        <v>8.391</v>
      </c>
      <c r="J22" s="8">
        <v>8.7609999999999992</v>
      </c>
      <c r="K22" s="8">
        <v>8.9659999999999993</v>
      </c>
      <c r="L22" s="8">
        <v>9.1549999999999994</v>
      </c>
      <c r="M22" s="8">
        <v>9.7629999999999999</v>
      </c>
      <c r="N22" s="8">
        <v>9.9429999999999996</v>
      </c>
      <c r="O22" s="8">
        <v>10.135</v>
      </c>
      <c r="P22" s="8">
        <v>10.321</v>
      </c>
      <c r="Q22" s="8">
        <v>10.051</v>
      </c>
      <c r="R22" s="8">
        <v>10.246</v>
      </c>
      <c r="S22" s="8">
        <v>10.007999999999999</v>
      </c>
      <c r="T22" s="8">
        <v>9.7729999999999997</v>
      </c>
      <c r="U22" s="8">
        <v>8.7309999999999999</v>
      </c>
      <c r="V22" s="8">
        <v>9.0150000000000006</v>
      </c>
      <c r="W22" s="8">
        <v>9.2040000000000006</v>
      </c>
      <c r="X22" s="8">
        <v>9.1120000000000001</v>
      </c>
      <c r="Y22" s="8">
        <v>9.0549999999999997</v>
      </c>
      <c r="Z22" s="8">
        <v>9.1690000000000005</v>
      </c>
      <c r="AA22" s="8">
        <v>8.9280000000000008</v>
      </c>
      <c r="AB22" s="8">
        <v>8.9280000000000008</v>
      </c>
      <c r="AC22" s="8">
        <v>9.0609999999999999</v>
      </c>
      <c r="AD22" s="8">
        <v>8.8450000000000006</v>
      </c>
      <c r="AE22" s="8">
        <v>8.718</v>
      </c>
      <c r="AF22" s="8">
        <v>8.8469999999999995</v>
      </c>
      <c r="AG22" s="8">
        <v>9.0090000000000003</v>
      </c>
      <c r="AH22" s="8">
        <v>9.0630000000000006</v>
      </c>
      <c r="AI22" s="8">
        <v>8.7289999999999992</v>
      </c>
    </row>
    <row r="23" spans="1:35" x14ac:dyDescent="0.4">
      <c r="A23" s="29"/>
      <c r="B23" s="2" t="s">
        <v>34</v>
      </c>
      <c r="C23" s="8">
        <v>3.5920000000000001</v>
      </c>
      <c r="D23" s="8">
        <v>3.1720000000000002</v>
      </c>
      <c r="E23" s="8">
        <v>3.85</v>
      </c>
      <c r="F23" s="8">
        <v>3.581</v>
      </c>
      <c r="G23" s="8">
        <v>3.9009999999999998</v>
      </c>
      <c r="H23" s="8">
        <v>4.1429999999999998</v>
      </c>
      <c r="I23" s="8">
        <v>4.2160000000000002</v>
      </c>
      <c r="J23" s="8">
        <v>4.0590000000000002</v>
      </c>
      <c r="K23" s="8">
        <v>3.9740000000000002</v>
      </c>
      <c r="L23" s="8">
        <v>3.92</v>
      </c>
      <c r="M23" s="8">
        <v>4.1239999999999997</v>
      </c>
      <c r="N23" s="8">
        <v>4.077</v>
      </c>
      <c r="O23" s="8">
        <v>4.0309999999999997</v>
      </c>
      <c r="P23" s="8">
        <v>3.996</v>
      </c>
      <c r="Q23" s="8">
        <v>4.048</v>
      </c>
      <c r="R23" s="8">
        <v>4.1070000000000002</v>
      </c>
      <c r="S23" s="8">
        <v>4.1429999999999998</v>
      </c>
      <c r="T23" s="8">
        <v>4.1719999999999997</v>
      </c>
      <c r="U23" s="8">
        <v>4.0940000000000003</v>
      </c>
      <c r="V23" s="8">
        <v>3.9550000000000001</v>
      </c>
      <c r="W23" s="8">
        <v>3.915</v>
      </c>
      <c r="X23" s="8">
        <v>3.9390000000000001</v>
      </c>
      <c r="Y23" s="8">
        <v>3.9359999999999999</v>
      </c>
      <c r="Z23" s="8">
        <v>3.8980000000000001</v>
      </c>
      <c r="AA23" s="8">
        <v>3.9609999999999999</v>
      </c>
      <c r="AB23" s="8">
        <v>3.972</v>
      </c>
      <c r="AC23" s="8">
        <v>3.9279999999999999</v>
      </c>
      <c r="AD23" s="8">
        <v>3.9910000000000001</v>
      </c>
      <c r="AE23" s="8">
        <v>4.0880000000000001</v>
      </c>
      <c r="AF23" s="8">
        <v>4.0119999999999996</v>
      </c>
      <c r="AG23" s="8">
        <v>3.9529999999999998</v>
      </c>
      <c r="AH23" s="8">
        <v>4.1589999999999998</v>
      </c>
      <c r="AI23" s="8">
        <v>4.3949999999999996</v>
      </c>
    </row>
    <row r="24" spans="1:35" x14ac:dyDescent="0.4">
      <c r="A24" s="29"/>
      <c r="B24" s="2" t="s">
        <v>68</v>
      </c>
      <c r="C24" s="8">
        <v>3.1709999999999998</v>
      </c>
      <c r="D24" s="8">
        <v>2.8149999999999999</v>
      </c>
      <c r="E24" s="8">
        <v>3.3719999999999999</v>
      </c>
      <c r="F24" s="8">
        <v>3.1280000000000001</v>
      </c>
      <c r="G24" s="8">
        <v>3.532</v>
      </c>
      <c r="H24" s="8">
        <v>3.7519999999999998</v>
      </c>
      <c r="I24" s="8">
        <v>3.89</v>
      </c>
      <c r="J24" s="8">
        <v>3.7759999999999998</v>
      </c>
      <c r="K24" s="8">
        <v>3.7</v>
      </c>
      <c r="L24" s="8">
        <v>3.6349999999999998</v>
      </c>
      <c r="M24" s="8">
        <v>3.665</v>
      </c>
      <c r="N24" s="8">
        <v>3.6379999999999999</v>
      </c>
      <c r="O24" s="8">
        <v>3.6080000000000001</v>
      </c>
      <c r="P24" s="8">
        <v>3.5840000000000001</v>
      </c>
      <c r="Q24" s="8">
        <v>3.613</v>
      </c>
      <c r="R24" s="8">
        <v>3.7</v>
      </c>
      <c r="S24" s="8">
        <v>3.6949999999999998</v>
      </c>
      <c r="T24" s="8">
        <v>3.722</v>
      </c>
      <c r="U24" s="8">
        <v>3.7930000000000001</v>
      </c>
      <c r="V24" s="8">
        <v>3.6869999999999998</v>
      </c>
      <c r="W24" s="8">
        <v>3.66</v>
      </c>
      <c r="X24" s="8">
        <v>3.681</v>
      </c>
      <c r="Y24" s="8">
        <v>3.6949999999999998</v>
      </c>
      <c r="Z24" s="8">
        <v>3.6539999999999999</v>
      </c>
      <c r="AA24" s="8">
        <v>3.706</v>
      </c>
      <c r="AB24" s="8">
        <v>3.7170000000000001</v>
      </c>
      <c r="AC24" s="8">
        <v>3.6890000000000001</v>
      </c>
      <c r="AD24" s="8">
        <v>3.738</v>
      </c>
      <c r="AE24" s="8">
        <v>3.8519999999999999</v>
      </c>
      <c r="AF24" s="8">
        <v>3.7789999999999999</v>
      </c>
      <c r="AG24" s="8">
        <v>3.7269999999999999</v>
      </c>
      <c r="AH24" s="8">
        <v>3.9009999999999998</v>
      </c>
      <c r="AI24" s="8">
        <v>4.1050000000000004</v>
      </c>
    </row>
    <row r="25" spans="1:35" s="8" customFormat="1" x14ac:dyDescent="0.4">
      <c r="A25" s="30" t="s">
        <v>31</v>
      </c>
      <c r="B25" s="10" t="s">
        <v>35</v>
      </c>
      <c r="C25" s="10">
        <v>345</v>
      </c>
      <c r="D25" s="10">
        <v>345</v>
      </c>
      <c r="E25" s="10">
        <v>345</v>
      </c>
      <c r="F25" s="10">
        <v>345</v>
      </c>
      <c r="G25" s="10">
        <v>345</v>
      </c>
      <c r="H25" s="10">
        <v>345</v>
      </c>
      <c r="I25" s="10">
        <v>345</v>
      </c>
      <c r="J25" s="10">
        <v>345</v>
      </c>
      <c r="K25" s="10">
        <v>345</v>
      </c>
      <c r="L25" s="10">
        <v>345</v>
      </c>
      <c r="M25" s="10">
        <v>345</v>
      </c>
      <c r="N25" s="10">
        <v>345</v>
      </c>
      <c r="O25" s="10">
        <v>345</v>
      </c>
      <c r="P25" s="10">
        <v>345</v>
      </c>
      <c r="Q25" s="10">
        <v>345</v>
      </c>
      <c r="R25" s="10">
        <v>345</v>
      </c>
      <c r="S25" s="10">
        <v>345</v>
      </c>
      <c r="T25" s="10">
        <v>345</v>
      </c>
      <c r="U25" s="10">
        <v>345</v>
      </c>
      <c r="V25" s="10">
        <v>345</v>
      </c>
      <c r="W25" s="10">
        <v>345</v>
      </c>
      <c r="X25" s="10">
        <v>345</v>
      </c>
      <c r="Y25" s="10">
        <v>345</v>
      </c>
      <c r="Z25" s="10">
        <v>345</v>
      </c>
      <c r="AA25" s="10">
        <v>345</v>
      </c>
      <c r="AB25" s="10">
        <v>345</v>
      </c>
      <c r="AC25" s="10">
        <v>345</v>
      </c>
      <c r="AD25" s="10">
        <v>345</v>
      </c>
      <c r="AE25" s="10">
        <v>345</v>
      </c>
      <c r="AF25" s="10">
        <v>345</v>
      </c>
      <c r="AG25" s="10">
        <v>345</v>
      </c>
      <c r="AH25" s="10">
        <v>345</v>
      </c>
      <c r="AI25" s="10">
        <v>345</v>
      </c>
    </row>
    <row r="26" spans="1:35" x14ac:dyDescent="0.4">
      <c r="A26" s="30"/>
      <c r="B26" s="10" t="s">
        <v>36</v>
      </c>
      <c r="C26" s="10">
        <v>6.4</v>
      </c>
      <c r="D26" s="10">
        <v>6.7</v>
      </c>
      <c r="E26" s="10">
        <v>7.5</v>
      </c>
      <c r="F26" s="10">
        <v>7.6</v>
      </c>
      <c r="G26" s="10">
        <v>7.15</v>
      </c>
      <c r="H26" s="10">
        <v>7</v>
      </c>
      <c r="I26" s="10">
        <v>7.1</v>
      </c>
      <c r="J26" s="10">
        <v>7.4</v>
      </c>
      <c r="K26" s="10">
        <v>7.6</v>
      </c>
      <c r="L26" s="10">
        <v>7.7</v>
      </c>
      <c r="M26" s="10">
        <v>8.4</v>
      </c>
      <c r="N26" s="10">
        <v>8.5</v>
      </c>
      <c r="O26" s="10">
        <v>8.6</v>
      </c>
      <c r="P26" s="10">
        <v>8.8000000000000007</v>
      </c>
      <c r="Q26" s="10">
        <v>8.6</v>
      </c>
      <c r="R26" s="10">
        <v>8.8000000000000007</v>
      </c>
      <c r="S26" s="10">
        <v>8.6</v>
      </c>
      <c r="T26" s="10">
        <v>8.4499999999999993</v>
      </c>
      <c r="U26" s="10">
        <v>7.4</v>
      </c>
      <c r="V26" s="10">
        <v>7.6</v>
      </c>
      <c r="W26" s="10">
        <v>7.8</v>
      </c>
      <c r="X26" s="10">
        <v>7.7</v>
      </c>
      <c r="Y26" s="10">
        <v>7.6</v>
      </c>
      <c r="Z26" s="10">
        <v>7.75</v>
      </c>
      <c r="AA26" s="10">
        <v>7.5</v>
      </c>
      <c r="AB26" s="10">
        <v>7.5</v>
      </c>
      <c r="AC26" s="10">
        <v>7.6</v>
      </c>
      <c r="AD26" s="10">
        <v>7.4</v>
      </c>
      <c r="AE26" s="10">
        <v>7.4</v>
      </c>
      <c r="AF26" s="10">
        <v>7.5</v>
      </c>
      <c r="AG26" s="10">
        <v>7.7</v>
      </c>
      <c r="AH26" s="10">
        <v>7.8</v>
      </c>
      <c r="AI26" s="10">
        <v>7.7</v>
      </c>
    </row>
    <row r="27" spans="1:35" s="6" customFormat="1" x14ac:dyDescent="0.4">
      <c r="A27" s="30"/>
      <c r="B27" s="10" t="s">
        <v>28</v>
      </c>
      <c r="C27" s="10">
        <v>300</v>
      </c>
      <c r="D27" s="10">
        <v>300</v>
      </c>
      <c r="E27" s="10">
        <v>400</v>
      </c>
      <c r="F27" s="10">
        <v>400</v>
      </c>
      <c r="G27" s="10">
        <v>400</v>
      </c>
      <c r="H27" s="10">
        <v>400</v>
      </c>
      <c r="I27" s="10">
        <v>500</v>
      </c>
      <c r="J27" s="10">
        <v>500</v>
      </c>
      <c r="K27" s="10">
        <v>500</v>
      </c>
      <c r="L27" s="10">
        <v>500</v>
      </c>
      <c r="M27" s="10">
        <v>500</v>
      </c>
      <c r="N27" s="10">
        <v>500</v>
      </c>
      <c r="O27" s="10">
        <v>500</v>
      </c>
      <c r="P27" s="10">
        <v>500</v>
      </c>
      <c r="Q27" s="10">
        <v>500</v>
      </c>
      <c r="R27" s="10">
        <v>600</v>
      </c>
      <c r="S27" s="10">
        <v>600</v>
      </c>
      <c r="T27" s="10">
        <v>600</v>
      </c>
      <c r="U27" s="10">
        <v>600</v>
      </c>
      <c r="V27" s="10">
        <v>600</v>
      </c>
      <c r="W27" s="10">
        <v>600</v>
      </c>
      <c r="X27" s="10">
        <v>600</v>
      </c>
      <c r="Y27" s="10">
        <v>700</v>
      </c>
      <c r="Z27" s="10">
        <v>700</v>
      </c>
      <c r="AA27" s="10">
        <v>700</v>
      </c>
      <c r="AB27" s="10">
        <v>800</v>
      </c>
      <c r="AC27" s="10">
        <v>800</v>
      </c>
      <c r="AD27" s="10">
        <v>800</v>
      </c>
      <c r="AE27" s="10">
        <v>900</v>
      </c>
      <c r="AF27" s="10">
        <v>900</v>
      </c>
      <c r="AG27" s="10">
        <v>900</v>
      </c>
      <c r="AH27" s="10">
        <v>1000</v>
      </c>
      <c r="AI27" s="10">
        <v>1000</v>
      </c>
    </row>
    <row r="28" spans="1:35" s="5" customFormat="1" x14ac:dyDescent="0.4">
      <c r="A28" s="30"/>
      <c r="B28" s="10" t="s">
        <v>37</v>
      </c>
      <c r="C28" s="10">
        <v>5000</v>
      </c>
      <c r="D28" s="10">
        <v>5000</v>
      </c>
      <c r="E28" s="10">
        <v>5000</v>
      </c>
      <c r="F28" s="10">
        <v>5000</v>
      </c>
      <c r="G28" s="10">
        <v>5000</v>
      </c>
      <c r="H28" s="10">
        <v>5000</v>
      </c>
      <c r="I28" s="10">
        <v>5000</v>
      </c>
      <c r="J28" s="10">
        <v>5000</v>
      </c>
      <c r="K28" s="10">
        <v>5000</v>
      </c>
      <c r="L28" s="10">
        <v>5000</v>
      </c>
      <c r="M28" s="10">
        <v>5000</v>
      </c>
      <c r="N28" s="10">
        <v>5000</v>
      </c>
      <c r="O28" s="10">
        <v>5000</v>
      </c>
      <c r="P28" s="10">
        <v>5000</v>
      </c>
      <c r="Q28" s="10">
        <v>5000</v>
      </c>
      <c r="R28" s="10">
        <v>5000</v>
      </c>
      <c r="S28" s="10">
        <v>5000</v>
      </c>
      <c r="T28" s="10">
        <v>5000</v>
      </c>
      <c r="U28" s="10">
        <v>5000</v>
      </c>
      <c r="V28" s="10">
        <v>5000</v>
      </c>
      <c r="W28" s="10">
        <v>5000</v>
      </c>
      <c r="X28" s="10">
        <v>5000</v>
      </c>
      <c r="Y28" s="10">
        <v>5000</v>
      </c>
      <c r="Z28" s="10">
        <v>5000</v>
      </c>
      <c r="AA28" s="10">
        <v>5000</v>
      </c>
      <c r="AB28" s="10">
        <v>5000</v>
      </c>
      <c r="AC28" s="10">
        <v>5000</v>
      </c>
      <c r="AD28" s="10">
        <v>5000</v>
      </c>
      <c r="AE28" s="10">
        <v>5000</v>
      </c>
      <c r="AF28" s="10">
        <v>5000</v>
      </c>
      <c r="AG28" s="10">
        <v>5000</v>
      </c>
      <c r="AH28" s="10">
        <v>5000</v>
      </c>
      <c r="AI28" s="10">
        <v>5000</v>
      </c>
    </row>
    <row r="29" spans="1:35" x14ac:dyDescent="0.4">
      <c r="A29" s="30"/>
      <c r="B29" s="10" t="s">
        <v>38</v>
      </c>
      <c r="C29" s="10">
        <v>555</v>
      </c>
      <c r="D29" s="10">
        <v>435</v>
      </c>
      <c r="E29" s="10">
        <v>410</v>
      </c>
      <c r="F29" s="10">
        <v>291</v>
      </c>
      <c r="G29" s="10">
        <v>400</v>
      </c>
      <c r="H29" s="10">
        <v>530</v>
      </c>
      <c r="I29" s="10">
        <v>500</v>
      </c>
      <c r="J29" s="10">
        <v>310</v>
      </c>
      <c r="K29" s="10">
        <v>280</v>
      </c>
      <c r="L29" s="10">
        <v>274</v>
      </c>
      <c r="M29" s="10">
        <v>400</v>
      </c>
      <c r="N29" s="10">
        <v>350</v>
      </c>
      <c r="O29" s="10">
        <v>300</v>
      </c>
      <c r="P29" s="10">
        <v>283</v>
      </c>
      <c r="Q29" s="10">
        <v>320</v>
      </c>
      <c r="R29" s="10">
        <v>340</v>
      </c>
      <c r="S29" s="10">
        <v>385</v>
      </c>
      <c r="T29" s="10">
        <v>440</v>
      </c>
      <c r="U29" s="10">
        <v>310</v>
      </c>
      <c r="V29" s="10">
        <v>275</v>
      </c>
      <c r="W29" s="10">
        <v>271</v>
      </c>
      <c r="X29" s="10">
        <v>273</v>
      </c>
      <c r="Y29" s="10">
        <v>271</v>
      </c>
      <c r="Z29" s="10">
        <v>270</v>
      </c>
      <c r="AA29" s="10">
        <v>276</v>
      </c>
      <c r="AB29" s="10">
        <v>276</v>
      </c>
      <c r="AC29" s="10">
        <v>272</v>
      </c>
      <c r="AD29" s="10">
        <v>279</v>
      </c>
      <c r="AE29" s="10">
        <v>279</v>
      </c>
      <c r="AF29" s="10">
        <v>274</v>
      </c>
      <c r="AG29" s="10">
        <v>271</v>
      </c>
      <c r="AH29" s="10">
        <v>278</v>
      </c>
      <c r="AI29" s="10">
        <v>350</v>
      </c>
    </row>
    <row r="30" spans="1:35" ht="16.149999999999999" x14ac:dyDescent="0.4">
      <c r="A30" s="30"/>
      <c r="B30" s="10" t="s">
        <v>39</v>
      </c>
      <c r="C30" s="10">
        <v>88.2</v>
      </c>
      <c r="D30" s="10">
        <v>78.900000000000006</v>
      </c>
      <c r="E30" s="10">
        <v>105.7</v>
      </c>
      <c r="F30" s="10">
        <v>92.6</v>
      </c>
      <c r="G30" s="10">
        <v>102.4</v>
      </c>
      <c r="H30" s="10">
        <v>112.2</v>
      </c>
      <c r="I30" s="10">
        <v>124.7</v>
      </c>
      <c r="J30" s="10">
        <v>117.4</v>
      </c>
      <c r="K30" s="10">
        <v>114.2</v>
      </c>
      <c r="L30" s="10">
        <v>110.6</v>
      </c>
      <c r="M30" s="10">
        <v>130.1</v>
      </c>
      <c r="N30" s="10">
        <v>130</v>
      </c>
      <c r="O30" s="10">
        <v>125.8</v>
      </c>
      <c r="P30" s="10">
        <v>124</v>
      </c>
      <c r="Q30" s="10">
        <v>127.2</v>
      </c>
      <c r="R30" s="10">
        <v>138.69999999999999</v>
      </c>
      <c r="S30" s="10">
        <v>140.4</v>
      </c>
      <c r="T30" s="10">
        <v>143.80000000000001</v>
      </c>
      <c r="U30" s="10">
        <v>118.7</v>
      </c>
      <c r="V30" s="10">
        <v>113.6</v>
      </c>
      <c r="W30" s="10">
        <v>111.8</v>
      </c>
      <c r="X30" s="10">
        <v>113.1</v>
      </c>
      <c r="Y30" s="10">
        <v>112.1</v>
      </c>
      <c r="Z30" s="10">
        <v>111.3</v>
      </c>
      <c r="AA30" s="10">
        <v>113.5</v>
      </c>
      <c r="AB30" s="10">
        <v>114.3</v>
      </c>
      <c r="AC30" s="10">
        <v>112.5</v>
      </c>
      <c r="AD30" s="10">
        <v>115</v>
      </c>
      <c r="AE30" s="10">
        <v>124.6</v>
      </c>
      <c r="AF30" s="10">
        <v>120.1</v>
      </c>
      <c r="AG30" s="10">
        <v>116.3</v>
      </c>
      <c r="AH30" s="10">
        <v>146.5</v>
      </c>
      <c r="AI30" s="10">
        <v>170.3</v>
      </c>
    </row>
    <row r="31" spans="1:35" ht="16.149999999999999" x14ac:dyDescent="0.4">
      <c r="A31" s="30"/>
      <c r="B31" s="10" t="s">
        <v>40</v>
      </c>
      <c r="C31" s="10">
        <v>485.65</v>
      </c>
      <c r="D31" s="10">
        <v>483.67099999999999</v>
      </c>
      <c r="E31" s="10">
        <v>481.92899999999997</v>
      </c>
      <c r="F31" s="10">
        <v>482.21499999999997</v>
      </c>
      <c r="G31" s="10">
        <v>483.60399999999998</v>
      </c>
      <c r="H31" s="10">
        <v>482.35199999999998</v>
      </c>
      <c r="I31" s="10">
        <v>481.92099999999999</v>
      </c>
      <c r="J31" s="10">
        <v>481.291</v>
      </c>
      <c r="K31" s="10">
        <v>481.10899999999998</v>
      </c>
      <c r="L31" s="10">
        <v>479.56299999999999</v>
      </c>
      <c r="M31" s="10">
        <v>482.51499999999999</v>
      </c>
      <c r="N31" s="10">
        <v>482.48099999999999</v>
      </c>
      <c r="O31" s="10">
        <v>480.92099999999999</v>
      </c>
      <c r="P31" s="10">
        <v>482.21100000000001</v>
      </c>
      <c r="Q31" s="10">
        <v>482.20400000000001</v>
      </c>
      <c r="R31" s="10">
        <v>482.39</v>
      </c>
      <c r="S31" s="10">
        <v>483.82499999999999</v>
      </c>
      <c r="T31" s="10">
        <v>481.26299999999998</v>
      </c>
      <c r="U31" s="10">
        <v>480.89499999999998</v>
      </c>
      <c r="V31" s="10">
        <v>479.03800000000001</v>
      </c>
      <c r="W31" s="10">
        <v>480.32400000000001</v>
      </c>
      <c r="X31" s="10">
        <v>478.80099999999999</v>
      </c>
      <c r="Y31" s="10">
        <v>481.85399999999998</v>
      </c>
      <c r="Z31" s="10">
        <v>481.577</v>
      </c>
      <c r="AA31" s="10">
        <v>480.51299999999998</v>
      </c>
      <c r="AB31" s="10">
        <v>481.75799999999998</v>
      </c>
      <c r="AC31" s="10">
        <v>481.63200000000001</v>
      </c>
      <c r="AD31" s="10">
        <v>480.49299999999999</v>
      </c>
      <c r="AE31" s="10">
        <v>481.88</v>
      </c>
      <c r="AF31" s="10">
        <v>480.46100000000001</v>
      </c>
      <c r="AG31" s="10">
        <v>478.75200000000001</v>
      </c>
      <c r="AH31" s="10">
        <v>483.35399999999998</v>
      </c>
      <c r="AI31" s="10">
        <v>481.35199999999998</v>
      </c>
    </row>
    <row r="32" spans="1:35" x14ac:dyDescent="0.4">
      <c r="A32" s="30"/>
      <c r="B32" s="10" t="s">
        <v>41</v>
      </c>
      <c r="C32" s="10">
        <v>4514.22</v>
      </c>
      <c r="D32" s="10">
        <v>4527.32</v>
      </c>
      <c r="E32" s="10">
        <v>4542.96</v>
      </c>
      <c r="F32" s="10">
        <v>4532.43</v>
      </c>
      <c r="G32" s="10">
        <v>4538.83</v>
      </c>
      <c r="H32" s="10">
        <v>4542.9399999999996</v>
      </c>
      <c r="I32" s="10">
        <v>4532.26</v>
      </c>
      <c r="J32" s="10">
        <v>4547.7700000000004</v>
      </c>
      <c r="K32" s="10">
        <v>4542.46</v>
      </c>
      <c r="L32" s="10">
        <v>4584.7299999999996</v>
      </c>
      <c r="M32" s="10">
        <v>4534.51</v>
      </c>
      <c r="N32" s="10">
        <v>4545.9399999999996</v>
      </c>
      <c r="O32" s="10">
        <v>4539.5600000000004</v>
      </c>
      <c r="P32" s="10">
        <v>4534.2</v>
      </c>
      <c r="Q32" s="10">
        <v>4544.91</v>
      </c>
      <c r="R32" s="10">
        <v>4539.84</v>
      </c>
      <c r="S32" s="10">
        <v>442.74</v>
      </c>
      <c r="T32" s="10">
        <v>4544.42</v>
      </c>
      <c r="U32" s="10">
        <v>4528.6499999999996</v>
      </c>
      <c r="V32" s="10">
        <v>4534.0600000000004</v>
      </c>
      <c r="W32" s="10">
        <v>4522.92</v>
      </c>
      <c r="X32" s="10">
        <v>4532.9399999999996</v>
      </c>
      <c r="Y32" s="10">
        <v>4528.3599999999997</v>
      </c>
      <c r="Z32" s="10">
        <v>4538.5</v>
      </c>
      <c r="AA32" s="10">
        <v>4527.09</v>
      </c>
      <c r="AB32" s="10">
        <v>4525.2299999999996</v>
      </c>
      <c r="AC32" s="10">
        <v>4531.37</v>
      </c>
      <c r="AD32" s="10">
        <v>4322.07</v>
      </c>
      <c r="AE32" s="10">
        <v>4526.62</v>
      </c>
      <c r="AF32" s="10">
        <v>4530.2299999999996</v>
      </c>
      <c r="AG32" s="10">
        <v>4534.8999999999996</v>
      </c>
      <c r="AH32" s="10">
        <v>4528.34</v>
      </c>
      <c r="AI32" s="10">
        <v>4525.92</v>
      </c>
    </row>
    <row r="33" spans="1:35" x14ac:dyDescent="0.4">
      <c r="A33" s="30"/>
      <c r="B33" s="10" t="s">
        <v>42</v>
      </c>
      <c r="C33" s="10">
        <v>1352.36</v>
      </c>
      <c r="D33" s="10">
        <v>1688.82</v>
      </c>
      <c r="E33" s="10">
        <v>3472.5</v>
      </c>
      <c r="F33" s="10">
        <v>3703.5</v>
      </c>
      <c r="G33" s="10">
        <v>3861.15</v>
      </c>
      <c r="H33" s="10">
        <v>3715.92</v>
      </c>
      <c r="I33" s="10">
        <v>4035.04</v>
      </c>
      <c r="J33" s="10">
        <v>4302.91</v>
      </c>
      <c r="K33" s="10">
        <v>4441</v>
      </c>
      <c r="L33" s="10">
        <v>4579.6099999999997</v>
      </c>
      <c r="M33" s="10">
        <v>4226</v>
      </c>
      <c r="N33" s="10">
        <v>4337.12</v>
      </c>
      <c r="O33" s="10">
        <v>4388.12</v>
      </c>
      <c r="P33" s="10">
        <v>4452.01</v>
      </c>
      <c r="Q33" s="10">
        <v>4410.21</v>
      </c>
      <c r="R33" s="10">
        <v>4384.5600000000004</v>
      </c>
      <c r="S33" s="10">
        <v>4355.3900000000003</v>
      </c>
      <c r="T33" s="10">
        <v>4203.93</v>
      </c>
      <c r="U33" s="10">
        <v>4275.5200000000004</v>
      </c>
      <c r="V33" s="10">
        <v>4471.08</v>
      </c>
      <c r="W33" s="10">
        <v>4528</v>
      </c>
      <c r="X33" s="10">
        <v>4513.34</v>
      </c>
      <c r="Y33" s="10">
        <v>4503.47</v>
      </c>
      <c r="Z33" s="10">
        <v>4517.6499999999996</v>
      </c>
      <c r="AA33" s="10">
        <v>4398.91</v>
      </c>
      <c r="AB33" s="10">
        <v>4402.34</v>
      </c>
      <c r="AC33" s="10">
        <v>4451.8599999999997</v>
      </c>
      <c r="AD33" s="10">
        <v>4322.07</v>
      </c>
      <c r="AE33" s="10">
        <v>4227.2700000000004</v>
      </c>
      <c r="AF33" s="10">
        <v>4307</v>
      </c>
      <c r="AG33" s="10">
        <v>4375.99</v>
      </c>
      <c r="AH33" s="10">
        <v>4138.6099999999997</v>
      </c>
      <c r="AI33" s="10">
        <v>3702.82</v>
      </c>
    </row>
    <row r="34" spans="1:35" x14ac:dyDescent="0.4">
      <c r="A34" s="30"/>
      <c r="B34" s="10" t="s">
        <v>43</v>
      </c>
      <c r="C34" s="10">
        <f>C25*C26</f>
        <v>2208</v>
      </c>
      <c r="D34" s="10">
        <f>D25*D26</f>
        <v>2311.5</v>
      </c>
      <c r="E34" s="10">
        <f>E25*E26</f>
        <v>2587.5</v>
      </c>
      <c r="F34" s="10">
        <f>F25*F26</f>
        <v>2622</v>
      </c>
      <c r="G34" s="10">
        <f>G25*G26</f>
        <v>2466.75</v>
      </c>
      <c r="H34" s="10">
        <f>H25*H26</f>
        <v>2415</v>
      </c>
      <c r="I34" s="10">
        <f>I25*I26</f>
        <v>2449.5</v>
      </c>
      <c r="J34" s="10">
        <f>J25*J26</f>
        <v>2553</v>
      </c>
      <c r="K34" s="10">
        <f>K25*K26</f>
        <v>2622</v>
      </c>
      <c r="L34" s="10">
        <f>L25*L26</f>
        <v>2656.5</v>
      </c>
      <c r="M34" s="10">
        <f>M25*M26</f>
        <v>2898</v>
      </c>
      <c r="N34" s="10">
        <f>N25*N26</f>
        <v>2932.5</v>
      </c>
      <c r="O34" s="10">
        <f>O25*O26</f>
        <v>2967</v>
      </c>
      <c r="P34" s="10">
        <f>P25*P26</f>
        <v>3036.0000000000005</v>
      </c>
      <c r="Q34" s="10">
        <f>Q25*Q26</f>
        <v>2967</v>
      </c>
      <c r="R34" s="10">
        <f>R25*R26</f>
        <v>3036.0000000000005</v>
      </c>
      <c r="S34" s="10">
        <f>S25*S26</f>
        <v>2967</v>
      </c>
      <c r="T34" s="10">
        <f>T25*T26</f>
        <v>2915.2499999999995</v>
      </c>
      <c r="U34" s="10">
        <f>U25*U26</f>
        <v>2553</v>
      </c>
      <c r="V34" s="10">
        <f>V25*V26</f>
        <v>2622</v>
      </c>
      <c r="W34" s="10">
        <f>W25*W26</f>
        <v>2691</v>
      </c>
      <c r="X34" s="10">
        <f>X25*X26</f>
        <v>2656.5</v>
      </c>
      <c r="Y34" s="10">
        <f>Y25*Y26</f>
        <v>2622</v>
      </c>
      <c r="Z34" s="10">
        <f>Z25*Z26</f>
        <v>2673.75</v>
      </c>
      <c r="AA34" s="10">
        <f>AA25*AA26</f>
        <v>2587.5</v>
      </c>
      <c r="AB34" s="10">
        <f>AB25*AB26</f>
        <v>2587.5</v>
      </c>
      <c r="AC34" s="10">
        <f>AC25*AC26</f>
        <v>2622</v>
      </c>
      <c r="AD34" s="10">
        <f>AD25*AD26</f>
        <v>2553</v>
      </c>
      <c r="AE34" s="10">
        <f>AE25*AE26</f>
        <v>2553</v>
      </c>
      <c r="AF34" s="10">
        <f>AF25*AF26</f>
        <v>2587.5</v>
      </c>
      <c r="AG34" s="10">
        <f>AG25*AG26</f>
        <v>2656.5</v>
      </c>
      <c r="AH34" s="10">
        <f>AH25*AH26</f>
        <v>2691</v>
      </c>
      <c r="AI34" s="10">
        <f>AI25*AI26</f>
        <v>2656.5</v>
      </c>
    </row>
    <row r="35" spans="1:35" s="6" customFormat="1" x14ac:dyDescent="0.4">
      <c r="A35" s="30"/>
      <c r="B35" s="10" t="s">
        <v>44</v>
      </c>
      <c r="C35" s="10">
        <f>C33/C34</f>
        <v>0.61248188405797099</v>
      </c>
      <c r="D35" s="10">
        <f>D33/D34</f>
        <v>0.73061648280337443</v>
      </c>
      <c r="E35" s="10">
        <f>E33/E34</f>
        <v>1.3420289855072465</v>
      </c>
      <c r="F35" s="10">
        <f>F33/F34</f>
        <v>1.4124713958810069</v>
      </c>
      <c r="G35" s="10">
        <f>G33/G34</f>
        <v>1.5652782000608088</v>
      </c>
      <c r="H35" s="10">
        <f>H33/H34</f>
        <v>1.5386832298136646</v>
      </c>
      <c r="I35" s="10">
        <f>I33/I34</f>
        <v>1.647291283935497</v>
      </c>
      <c r="J35" s="10">
        <f>J33/J34</f>
        <v>1.6854328241284762</v>
      </c>
      <c r="K35" s="10">
        <f>K33/K34</f>
        <v>1.6937452326468345</v>
      </c>
      <c r="L35" s="10">
        <f>L33/L34</f>
        <v>1.7239262187088273</v>
      </c>
      <c r="M35" s="10">
        <f>M33/M34</f>
        <v>1.4582470669427192</v>
      </c>
      <c r="N35" s="10">
        <f>N33/N34</f>
        <v>1.4789838022165387</v>
      </c>
      <c r="O35" s="10">
        <f>O33/O34</f>
        <v>1.4789753960229188</v>
      </c>
      <c r="P35" s="10">
        <f>P33/P34</f>
        <v>1.4664064558629775</v>
      </c>
      <c r="Q35" s="10">
        <f>Q33/Q34</f>
        <v>1.4864206268958544</v>
      </c>
      <c r="R35" s="10">
        <f>R33/R34</f>
        <v>1.4441897233201579</v>
      </c>
      <c r="S35" s="10">
        <f>S33/S34</f>
        <v>1.4679440512301989</v>
      </c>
      <c r="T35" s="10">
        <f>T33/T34</f>
        <v>1.4420478518137385</v>
      </c>
      <c r="U35" s="10">
        <f>U33/U34</f>
        <v>1.6747042694868783</v>
      </c>
      <c r="V35" s="10">
        <f>V33/V34</f>
        <v>1.7052173913043478</v>
      </c>
      <c r="W35" s="10">
        <f>W33/W34</f>
        <v>1.6826458565589</v>
      </c>
      <c r="X35" s="10">
        <f>X33/X34</f>
        <v>1.6989798607189912</v>
      </c>
      <c r="Y35" s="10">
        <f>Y33/Y34</f>
        <v>1.7175705568268498</v>
      </c>
      <c r="Z35" s="10">
        <f>Z33/Z34</f>
        <v>1.6896306685366993</v>
      </c>
      <c r="AA35" s="10">
        <f>AA33/AA34</f>
        <v>1.7000618357487922</v>
      </c>
      <c r="AB35" s="10">
        <f>AB33/AB34</f>
        <v>1.7013874396135267</v>
      </c>
      <c r="AC35" s="10">
        <f>AC33/AC34</f>
        <v>1.6978871090770402</v>
      </c>
      <c r="AD35" s="10">
        <f>AD33/AD34</f>
        <v>1.6929377203290246</v>
      </c>
      <c r="AE35" s="10">
        <f>AE33/AE34</f>
        <v>1.6558049353701529</v>
      </c>
      <c r="AF35" s="10">
        <f>AF33/AF34</f>
        <v>1.6645410628019324</v>
      </c>
      <c r="AG35" s="10">
        <f>AG33/AG34</f>
        <v>1.6472764916243177</v>
      </c>
      <c r="AH35" s="10">
        <f>AH33/AH34</f>
        <v>1.5379450018580452</v>
      </c>
      <c r="AI35" s="10">
        <f>AI33/AI34</f>
        <v>1.3938716356107661</v>
      </c>
    </row>
    <row r="36" spans="1:35" x14ac:dyDescent="0.4">
      <c r="A36" s="30"/>
      <c r="B36" s="10" t="s">
        <v>29</v>
      </c>
      <c r="C36" s="10">
        <v>16.670000000000002</v>
      </c>
      <c r="D36" s="10">
        <v>16.29</v>
      </c>
      <c r="E36" s="10">
        <v>11.52</v>
      </c>
      <c r="F36" s="10">
        <v>11.35</v>
      </c>
      <c r="G36" s="10">
        <v>11.02</v>
      </c>
      <c r="H36" s="10">
        <v>11.37</v>
      </c>
      <c r="I36" s="10">
        <v>10.69</v>
      </c>
      <c r="J36" s="10">
        <v>9.65</v>
      </c>
      <c r="K36" s="10">
        <v>9.26</v>
      </c>
      <c r="L36" s="10">
        <v>8.91</v>
      </c>
      <c r="M36" s="10">
        <v>9.9700000000000006</v>
      </c>
      <c r="N36" s="10">
        <v>9.74</v>
      </c>
      <c r="O36" s="10">
        <v>9.56</v>
      </c>
      <c r="P36" s="10">
        <v>9.39</v>
      </c>
      <c r="Q36" s="10">
        <v>9.52</v>
      </c>
      <c r="R36" s="10">
        <v>9.81</v>
      </c>
      <c r="S36" s="10">
        <v>10.029999999999999</v>
      </c>
      <c r="T36" s="10">
        <v>10.23</v>
      </c>
      <c r="U36" s="10">
        <v>9.9600000000000009</v>
      </c>
      <c r="V36" s="10">
        <v>9.27</v>
      </c>
      <c r="W36" s="10">
        <v>9.11</v>
      </c>
      <c r="X36" s="10">
        <v>9.1999999999999993</v>
      </c>
      <c r="Y36" s="10">
        <v>9.52</v>
      </c>
      <c r="Z36" s="10">
        <v>9.39</v>
      </c>
      <c r="AA36" s="10">
        <v>9.6999999999999993</v>
      </c>
      <c r="AB36" s="10">
        <v>9.85</v>
      </c>
      <c r="AC36" s="10">
        <v>9.6199999999999992</v>
      </c>
      <c r="AD36" s="10">
        <v>9.94</v>
      </c>
      <c r="AE36" s="10">
        <v>10.4</v>
      </c>
      <c r="AF36" s="10">
        <v>10.02</v>
      </c>
      <c r="AG36" s="10">
        <v>9.75</v>
      </c>
      <c r="AH36" s="10">
        <v>10.64</v>
      </c>
      <c r="AI36" s="10">
        <v>11.81</v>
      </c>
    </row>
    <row r="37" spans="1:35" x14ac:dyDescent="0.4">
      <c r="A37" s="30"/>
      <c r="B37" s="10" t="s">
        <v>45</v>
      </c>
      <c r="C37" s="10">
        <v>16.940000000000001</v>
      </c>
      <c r="D37" s="10">
        <v>16.02</v>
      </c>
      <c r="E37" s="10">
        <v>12</v>
      </c>
      <c r="F37" s="10">
        <v>11.29</v>
      </c>
      <c r="G37" s="10">
        <v>11.06</v>
      </c>
      <c r="H37" s="10">
        <v>11.26</v>
      </c>
      <c r="I37" s="10">
        <v>10.6</v>
      </c>
      <c r="J37" s="10">
        <v>9.74</v>
      </c>
      <c r="K37" s="10">
        <v>9.33</v>
      </c>
      <c r="L37" s="10">
        <v>8.9600000000000009</v>
      </c>
      <c r="M37" s="10">
        <v>9.92</v>
      </c>
      <c r="N37" s="10">
        <v>9.68</v>
      </c>
      <c r="O37" s="10">
        <v>9.51</v>
      </c>
      <c r="P37" s="10">
        <v>9.3699999999999992</v>
      </c>
      <c r="Q37" s="10">
        <v>9.49</v>
      </c>
      <c r="R37" s="10">
        <v>9.5399999999999991</v>
      </c>
      <c r="S37" s="10">
        <v>9.8000000000000007</v>
      </c>
      <c r="T37" s="10">
        <v>9.99</v>
      </c>
      <c r="U37" s="10">
        <v>9.82</v>
      </c>
      <c r="V37" s="10">
        <v>9.26</v>
      </c>
      <c r="W37" s="10">
        <v>9.1300000000000008</v>
      </c>
      <c r="X37" s="10">
        <v>9.2100000000000009</v>
      </c>
      <c r="Y37" s="10">
        <v>9.23</v>
      </c>
      <c r="Z37" s="10">
        <v>9.18</v>
      </c>
      <c r="AA37" s="10">
        <v>9.5</v>
      </c>
      <c r="AB37" s="10">
        <v>9.5</v>
      </c>
      <c r="AC37" s="10">
        <v>9.3800000000000008</v>
      </c>
      <c r="AD37" s="10">
        <v>9.68</v>
      </c>
      <c r="AE37" s="10">
        <v>9.9700000000000006</v>
      </c>
      <c r="AF37" s="10">
        <v>9.74</v>
      </c>
      <c r="AG37" s="10">
        <v>9.49</v>
      </c>
      <c r="AH37" s="10">
        <v>10.23</v>
      </c>
      <c r="AI37" s="10">
        <v>11.29</v>
      </c>
    </row>
    <row r="38" spans="1:35" x14ac:dyDescent="0.4">
      <c r="A38" s="30"/>
      <c r="B38" s="10" t="s">
        <v>46</v>
      </c>
      <c r="C38" s="10">
        <v>39.479999999999997</v>
      </c>
      <c r="D38" s="10">
        <v>39.549999999999997</v>
      </c>
      <c r="E38" s="10">
        <v>40.97</v>
      </c>
      <c r="F38" s="10">
        <v>40.57</v>
      </c>
      <c r="G38" s="10">
        <v>40.630000000000003</v>
      </c>
      <c r="H38" s="10">
        <v>40.479999999999997</v>
      </c>
      <c r="I38" s="10">
        <v>40.700000000000003</v>
      </c>
      <c r="J38" s="10">
        <v>41.12</v>
      </c>
      <c r="K38" s="10">
        <v>41.27</v>
      </c>
      <c r="L38" s="10">
        <v>41.1</v>
      </c>
      <c r="M38" s="10">
        <v>41.19</v>
      </c>
      <c r="N38" s="10">
        <v>41.55</v>
      </c>
      <c r="O38" s="10">
        <v>41.58</v>
      </c>
      <c r="P38" s="10">
        <v>41.57</v>
      </c>
      <c r="Q38" s="10">
        <v>42.58</v>
      </c>
      <c r="R38" s="10">
        <v>41.53</v>
      </c>
      <c r="S38" s="10">
        <v>41.48</v>
      </c>
      <c r="T38" s="10">
        <v>41.42</v>
      </c>
      <c r="U38" s="10">
        <v>41.06</v>
      </c>
      <c r="V38" s="10">
        <v>41.3</v>
      </c>
      <c r="W38" s="10">
        <v>41.4</v>
      </c>
      <c r="X38" s="10">
        <v>41.41</v>
      </c>
      <c r="Y38" s="10">
        <v>41.28</v>
      </c>
      <c r="Z38" s="10">
        <v>41.4</v>
      </c>
      <c r="AA38" s="10">
        <v>41.23</v>
      </c>
      <c r="AB38" s="10">
        <v>41.26</v>
      </c>
      <c r="AC38" s="10">
        <v>41.28</v>
      </c>
      <c r="AD38" s="10">
        <v>41.15</v>
      </c>
      <c r="AE38" s="10">
        <v>41.01</v>
      </c>
      <c r="AF38" s="10">
        <v>41.06</v>
      </c>
      <c r="AG38" s="10">
        <v>41.29</v>
      </c>
      <c r="AH38" s="10">
        <v>41.2</v>
      </c>
      <c r="AI38" s="10">
        <v>40.79</v>
      </c>
    </row>
    <row r="39" spans="1:35" x14ac:dyDescent="0.4">
      <c r="A39" s="30"/>
      <c r="B39" s="10" t="s">
        <v>47</v>
      </c>
      <c r="C39" s="10">
        <v>27.46</v>
      </c>
      <c r="D39" s="10">
        <v>29.96</v>
      </c>
      <c r="E39" s="10">
        <v>31.05</v>
      </c>
      <c r="F39" s="10">
        <v>30.36</v>
      </c>
      <c r="G39" s="10">
        <v>29.85</v>
      </c>
      <c r="H39" s="10">
        <v>29.54</v>
      </c>
      <c r="I39" s="10">
        <v>29.52</v>
      </c>
      <c r="J39" s="10">
        <v>29.73</v>
      </c>
      <c r="K39" s="10">
        <v>29.73</v>
      </c>
      <c r="L39" s="10">
        <v>29.89</v>
      </c>
      <c r="M39" s="10">
        <v>29.61</v>
      </c>
      <c r="N39" s="10">
        <v>29.6</v>
      </c>
      <c r="O39" s="10">
        <v>29.63</v>
      </c>
      <c r="P39" s="10">
        <v>29.59</v>
      </c>
      <c r="Q39" s="10">
        <v>29.55</v>
      </c>
      <c r="R39" s="10">
        <v>29.51</v>
      </c>
      <c r="S39" s="10">
        <v>29.38</v>
      </c>
      <c r="T39" s="10">
        <v>29.36</v>
      </c>
      <c r="U39" s="10">
        <v>28.93</v>
      </c>
      <c r="V39" s="10">
        <v>28.46</v>
      </c>
      <c r="W39" s="10">
        <v>28.66</v>
      </c>
      <c r="X39" s="10">
        <v>28.56</v>
      </c>
      <c r="Y39" s="10">
        <v>29.18</v>
      </c>
      <c r="Z39" s="10">
        <v>29.03</v>
      </c>
      <c r="AA39" s="10">
        <v>28.99</v>
      </c>
      <c r="AB39" s="10">
        <v>28.9</v>
      </c>
      <c r="AC39" s="10">
        <v>28.87</v>
      </c>
      <c r="AD39" s="10">
        <v>28.64</v>
      </c>
      <c r="AE39" s="10">
        <v>28.53</v>
      </c>
      <c r="AF39" s="10">
        <v>29.17</v>
      </c>
      <c r="AG39" s="10">
        <v>2.75</v>
      </c>
      <c r="AH39" s="10">
        <v>28.52</v>
      </c>
      <c r="AI39" s="10">
        <v>28.4</v>
      </c>
    </row>
    <row r="40" spans="1:35" x14ac:dyDescent="0.4"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5" x14ac:dyDescent="0.4"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5" x14ac:dyDescent="0.4"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5" x14ac:dyDescent="0.4"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5" x14ac:dyDescent="0.4"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5" x14ac:dyDescent="0.4"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5" x14ac:dyDescent="0.4"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5" x14ac:dyDescent="0.4"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5" x14ac:dyDescent="0.4"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3:34" x14ac:dyDescent="0.4"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3:34" x14ac:dyDescent="0.4"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3:34" x14ac:dyDescent="0.4"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3:34" x14ac:dyDescent="0.4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3:34" x14ac:dyDescent="0.4"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3:34" x14ac:dyDescent="0.4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3:34" x14ac:dyDescent="0.4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3:34" x14ac:dyDescent="0.4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3:34" x14ac:dyDescent="0.4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3:34" x14ac:dyDescent="0.4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3:34" x14ac:dyDescent="0.4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3:34" x14ac:dyDescent="0.4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3:34" x14ac:dyDescent="0.4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3:34" x14ac:dyDescent="0.4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3:34" x14ac:dyDescent="0.4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3:34" x14ac:dyDescent="0.4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3:34" x14ac:dyDescent="0.4"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3:34" x14ac:dyDescent="0.4"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3:34" x14ac:dyDescent="0.4"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3:34" x14ac:dyDescent="0.4"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3:34" x14ac:dyDescent="0.4"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3:34" x14ac:dyDescent="0.4"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3:34" x14ac:dyDescent="0.4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3:34" x14ac:dyDescent="0.4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3:34" x14ac:dyDescent="0.4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3:34" x14ac:dyDescent="0.4"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3:34" x14ac:dyDescent="0.4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3:34" x14ac:dyDescent="0.4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3:34" x14ac:dyDescent="0.4"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3:34" x14ac:dyDescent="0.4"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3:34" x14ac:dyDescent="0.4"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3:34" x14ac:dyDescent="0.4"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3:34" x14ac:dyDescent="0.4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3:34" x14ac:dyDescent="0.4"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3:34" x14ac:dyDescent="0.4"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3:34" x14ac:dyDescent="0.4"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3:34" x14ac:dyDescent="0.4"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3:34" x14ac:dyDescent="0.4"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3:34" x14ac:dyDescent="0.4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3:34" x14ac:dyDescent="0.4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3:34" x14ac:dyDescent="0.4"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3:34" x14ac:dyDescent="0.4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3:34" x14ac:dyDescent="0.4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3:34" x14ac:dyDescent="0.4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3:34" x14ac:dyDescent="0.4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3:34" x14ac:dyDescent="0.4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3:34" x14ac:dyDescent="0.4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3:34" x14ac:dyDescent="0.4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3:34" x14ac:dyDescent="0.4"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3:34" x14ac:dyDescent="0.4"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3:34" x14ac:dyDescent="0.4"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3:34" x14ac:dyDescent="0.4"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3:34" x14ac:dyDescent="0.4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3:34" x14ac:dyDescent="0.4"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3:34" x14ac:dyDescent="0.4"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3:34" x14ac:dyDescent="0.4"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3:34" x14ac:dyDescent="0.4"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3:34" x14ac:dyDescent="0.4"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3:34" x14ac:dyDescent="0.4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3:34" x14ac:dyDescent="0.4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3:34" x14ac:dyDescent="0.4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3:34" x14ac:dyDescent="0.4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3:34" x14ac:dyDescent="0.4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3:34" x14ac:dyDescent="0.4"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3:34" x14ac:dyDescent="0.4"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3:34" x14ac:dyDescent="0.4"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3:34" x14ac:dyDescent="0.4"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3:34" x14ac:dyDescent="0.4"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3:34" x14ac:dyDescent="0.4"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3:34" x14ac:dyDescent="0.4"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3:34" x14ac:dyDescent="0.4"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3:34" x14ac:dyDescent="0.4"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3:34" x14ac:dyDescent="0.4"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3:34" x14ac:dyDescent="0.4"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3:34" x14ac:dyDescent="0.4"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3:34" x14ac:dyDescent="0.4"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3:34" x14ac:dyDescent="0.4"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3:34" x14ac:dyDescent="0.4"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3:34" x14ac:dyDescent="0.4"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3:34" x14ac:dyDescent="0.4"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3:34" x14ac:dyDescent="0.4"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3:34" x14ac:dyDescent="0.4"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3:34" x14ac:dyDescent="0.4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3:34" x14ac:dyDescent="0.4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3:34" x14ac:dyDescent="0.4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3:34" x14ac:dyDescent="0.4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3:34" x14ac:dyDescent="0.4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3:34" x14ac:dyDescent="0.4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3:34" x14ac:dyDescent="0.4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3:34" x14ac:dyDescent="0.4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3:34" x14ac:dyDescent="0.4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3:34" x14ac:dyDescent="0.4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3:34" x14ac:dyDescent="0.4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3:34" x14ac:dyDescent="0.4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3:34" x14ac:dyDescent="0.4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3:34" x14ac:dyDescent="0.4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3:34" x14ac:dyDescent="0.4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3:34" x14ac:dyDescent="0.4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3:34" x14ac:dyDescent="0.4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3:34" x14ac:dyDescent="0.4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3:34" x14ac:dyDescent="0.4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3:34" x14ac:dyDescent="0.4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3:34" x14ac:dyDescent="0.4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3:34" x14ac:dyDescent="0.4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3:34" x14ac:dyDescent="0.4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3:34" x14ac:dyDescent="0.4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3:34" x14ac:dyDescent="0.4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3:34" x14ac:dyDescent="0.4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3:34" x14ac:dyDescent="0.4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3:34" x14ac:dyDescent="0.4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3:34" x14ac:dyDescent="0.4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</sheetData>
  <mergeCells count="4">
    <mergeCell ref="A4:A7"/>
    <mergeCell ref="A8:A19"/>
    <mergeCell ref="A20:A24"/>
    <mergeCell ref="A25:A39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3.9" x14ac:dyDescent="0.4"/>
  <cols>
    <col min="2" max="2" width="11.1328125" customWidth="1"/>
  </cols>
  <sheetData>
    <row r="1" spans="1:3" x14ac:dyDescent="0.4">
      <c r="B1" t="s">
        <v>48</v>
      </c>
      <c r="C1">
        <f>Sheet2!C30</f>
        <v>88.2</v>
      </c>
    </row>
    <row r="2" spans="1:3" x14ac:dyDescent="0.4">
      <c r="A2" s="31" t="s">
        <v>49</v>
      </c>
      <c r="B2" t="s">
        <v>50</v>
      </c>
      <c r="C2">
        <f>Sheet2!C23-Sheet2!C24</f>
        <v>0.42100000000000026</v>
      </c>
    </row>
    <row r="3" spans="1:3" x14ac:dyDescent="0.4">
      <c r="A3" s="31"/>
      <c r="B3" t="s">
        <v>51</v>
      </c>
      <c r="C3" t="e">
        <f>Sheet2!C24-Sheet2!#REF!</f>
        <v>#REF!</v>
      </c>
    </row>
    <row r="4" spans="1:3" x14ac:dyDescent="0.4">
      <c r="A4" s="31"/>
      <c r="B4" t="s">
        <v>52</v>
      </c>
      <c r="C4" t="e">
        <f>Sheet2!#REF!-Sheet2!C20</f>
        <v>#REF!</v>
      </c>
    </row>
    <row r="5" spans="1:3" x14ac:dyDescent="0.4">
      <c r="A5" s="31"/>
      <c r="B5" t="s">
        <v>69</v>
      </c>
      <c r="C5" t="e">
        <f>Sheet2!C21-Sheet2!#REF!</f>
        <v>#REF!</v>
      </c>
    </row>
    <row r="6" spans="1:3" x14ac:dyDescent="0.4">
      <c r="A6" s="31"/>
      <c r="B6" t="s">
        <v>70</v>
      </c>
      <c r="C6" t="e">
        <f>Sheet2!#REF!-Sheet2!#REF!</f>
        <v>#REF!</v>
      </c>
    </row>
    <row r="7" spans="1:3" x14ac:dyDescent="0.4">
      <c r="A7" s="12"/>
    </row>
    <row r="28" spans="1:7" x14ac:dyDescent="0.4">
      <c r="A28" s="32" t="s">
        <v>56</v>
      </c>
      <c r="B28" s="32" t="s">
        <v>53</v>
      </c>
      <c r="C28" s="32"/>
      <c r="D28" s="32" t="s">
        <v>54</v>
      </c>
      <c r="E28" s="32"/>
      <c r="F28" s="32" t="s">
        <v>55</v>
      </c>
      <c r="G28" s="32"/>
    </row>
    <row r="29" spans="1:7" x14ac:dyDescent="0.4">
      <c r="A29" s="32"/>
      <c r="B29" s="13" t="s">
        <v>58</v>
      </c>
      <c r="C29" s="13" t="s">
        <v>49</v>
      </c>
      <c r="D29" s="13" t="s">
        <v>57</v>
      </c>
      <c r="E29" s="13" t="s">
        <v>49</v>
      </c>
      <c r="F29" s="13" t="s">
        <v>58</v>
      </c>
      <c r="G29" s="13" t="s">
        <v>49</v>
      </c>
    </row>
    <row r="30" spans="1:7" x14ac:dyDescent="0.4">
      <c r="A30" s="32"/>
      <c r="B30" s="13"/>
      <c r="C30" s="13"/>
      <c r="D30" s="13">
        <v>100.3</v>
      </c>
      <c r="E30" s="13">
        <v>0.29199999999999982</v>
      </c>
      <c r="F30" s="13"/>
      <c r="G30" s="13"/>
    </row>
    <row r="31" spans="1:7" x14ac:dyDescent="0.4">
      <c r="A31" s="32"/>
      <c r="B31" s="13">
        <v>99</v>
      </c>
      <c r="C31" s="13">
        <v>0.53900000000000015</v>
      </c>
      <c r="D31" s="13">
        <v>104.7</v>
      </c>
      <c r="E31" s="13">
        <v>0.32200000000000006</v>
      </c>
      <c r="F31" s="13"/>
      <c r="G31" s="13"/>
    </row>
    <row r="32" spans="1:7" x14ac:dyDescent="0.4">
      <c r="A32" s="32"/>
      <c r="B32" s="13">
        <v>105.2</v>
      </c>
      <c r="C32" s="13">
        <v>0.5950000000000002</v>
      </c>
      <c r="D32" s="13">
        <v>106.3</v>
      </c>
      <c r="E32" s="13">
        <v>0.33599999999999985</v>
      </c>
      <c r="F32" s="13">
        <v>106.19</v>
      </c>
      <c r="G32" s="13">
        <v>0.26400000000000001</v>
      </c>
    </row>
    <row r="33" spans="1:7" x14ac:dyDescent="0.4">
      <c r="A33" s="32"/>
      <c r="B33" s="13">
        <v>128.1</v>
      </c>
      <c r="C33" s="13">
        <v>0.82499999999999973</v>
      </c>
      <c r="D33" s="13">
        <v>131.19999999999999</v>
      </c>
      <c r="E33" s="13">
        <v>0.5089999999999999</v>
      </c>
      <c r="F33" s="13">
        <v>118.92</v>
      </c>
      <c r="G33" s="13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9" x14ac:dyDescent="0.4"/>
  <sheetData>
    <row r="1" spans="2:14" x14ac:dyDescent="0.4">
      <c r="B1" s="34" t="s">
        <v>59</v>
      </c>
      <c r="C1" s="35"/>
      <c r="D1" s="35"/>
      <c r="E1" s="36"/>
      <c r="F1" s="33" t="s">
        <v>63</v>
      </c>
      <c r="G1" s="33"/>
      <c r="H1" s="33"/>
      <c r="I1" s="33"/>
      <c r="J1" s="34" t="s">
        <v>64</v>
      </c>
      <c r="K1" s="35"/>
      <c r="L1" s="36"/>
      <c r="M1" s="14"/>
      <c r="N1" s="11"/>
    </row>
    <row r="2" spans="2:14" x14ac:dyDescent="0.4">
      <c r="B2" s="13" t="s">
        <v>60</v>
      </c>
      <c r="C2" s="13" t="s">
        <v>65</v>
      </c>
      <c r="D2" s="13" t="s">
        <v>61</v>
      </c>
      <c r="E2" s="13" t="s">
        <v>62</v>
      </c>
      <c r="F2" s="9" t="s">
        <v>60</v>
      </c>
      <c r="G2" s="9" t="s">
        <v>66</v>
      </c>
      <c r="H2" s="9" t="s">
        <v>61</v>
      </c>
      <c r="I2" s="9" t="s">
        <v>62</v>
      </c>
      <c r="J2" s="13" t="s">
        <v>60</v>
      </c>
      <c r="K2" s="13" t="s">
        <v>67</v>
      </c>
      <c r="L2" s="13" t="s">
        <v>61</v>
      </c>
      <c r="M2" s="11"/>
    </row>
    <row r="3" spans="2:14" x14ac:dyDescent="0.4">
      <c r="B3" s="13">
        <v>302.07900000000001</v>
      </c>
      <c r="C3" s="13">
        <v>113</v>
      </c>
      <c r="D3" s="13">
        <v>2632.99</v>
      </c>
      <c r="E3" s="13">
        <v>0.61547218326320707</v>
      </c>
      <c r="F3" s="9">
        <v>297.30399999999997</v>
      </c>
      <c r="G3" s="9">
        <v>100.3</v>
      </c>
      <c r="H3" s="9">
        <v>3564.06</v>
      </c>
      <c r="I3" s="9">
        <v>1.2753837895866882</v>
      </c>
      <c r="J3" s="13">
        <v>200</v>
      </c>
      <c r="K3" s="13">
        <v>57.11</v>
      </c>
      <c r="L3" s="13">
        <v>2405</v>
      </c>
      <c r="M3" s="11"/>
    </row>
    <row r="4" spans="2:14" x14ac:dyDescent="0.4">
      <c r="B4" s="13">
        <v>420.173</v>
      </c>
      <c r="C4" s="13">
        <v>129.30000000000001</v>
      </c>
      <c r="D4" s="13">
        <v>4043.3</v>
      </c>
      <c r="E4" s="13">
        <v>1.0752046270442759</v>
      </c>
      <c r="F4" s="9">
        <v>421.09699999999998</v>
      </c>
      <c r="G4" s="9">
        <v>104.7</v>
      </c>
      <c r="H4" s="9">
        <v>4124.63</v>
      </c>
      <c r="I4" s="9">
        <v>1.4065234441602728</v>
      </c>
      <c r="J4" s="13">
        <v>340</v>
      </c>
      <c r="K4" s="13">
        <v>89.37</v>
      </c>
      <c r="L4" s="13">
        <v>3870</v>
      </c>
      <c r="M4" s="11"/>
    </row>
    <row r="5" spans="2:14" x14ac:dyDescent="0.4">
      <c r="B5" s="13">
        <v>420.57100000000003</v>
      </c>
      <c r="C5" s="13">
        <v>113.6</v>
      </c>
      <c r="D5" s="13">
        <v>3815.0230000000001</v>
      </c>
      <c r="E5" s="13">
        <v>1.3009456095481671</v>
      </c>
      <c r="F5" s="9">
        <v>503.90300000000002</v>
      </c>
      <c r="G5" s="9">
        <v>106.3</v>
      </c>
      <c r="H5" s="9">
        <v>4380.3999999999996</v>
      </c>
      <c r="I5" s="9">
        <v>1.4763734411863834</v>
      </c>
      <c r="J5" s="13">
        <v>420</v>
      </c>
      <c r="K5" s="13">
        <v>106.19</v>
      </c>
      <c r="L5" s="13">
        <v>4585</v>
      </c>
      <c r="M5" s="11"/>
    </row>
    <row r="6" spans="2:14" x14ac:dyDescent="0.4">
      <c r="B6" s="13"/>
      <c r="C6" s="13"/>
      <c r="D6" s="13"/>
      <c r="E6" s="13"/>
      <c r="F6" s="9">
        <v>505.52</v>
      </c>
      <c r="G6" s="9">
        <v>131.19999999999999</v>
      </c>
      <c r="H6" s="9">
        <v>5018.8</v>
      </c>
      <c r="I6" s="9">
        <v>1.3105627366496932</v>
      </c>
      <c r="J6" s="13">
        <v>500</v>
      </c>
      <c r="K6" s="13">
        <v>118.92</v>
      </c>
      <c r="L6" s="13">
        <v>5159</v>
      </c>
      <c r="M6" s="11"/>
    </row>
    <row r="7" spans="2:14" x14ac:dyDescent="0.4">
      <c r="B7" s="11"/>
      <c r="C7" s="11"/>
      <c r="D7" s="11"/>
      <c r="E7" s="11"/>
      <c r="F7" s="11"/>
      <c r="G7" s="11"/>
      <c r="I7" s="11"/>
      <c r="J7" s="11"/>
      <c r="L7" s="11"/>
      <c r="M7" s="11"/>
      <c r="N7" s="11"/>
    </row>
    <row r="8" spans="2:14" x14ac:dyDescent="0.4">
      <c r="B8" s="11"/>
      <c r="C8" s="11"/>
      <c r="D8" s="11"/>
      <c r="E8" s="11"/>
      <c r="F8" s="11"/>
      <c r="G8" s="11"/>
      <c r="I8" s="11"/>
      <c r="J8" s="11"/>
      <c r="L8" s="11"/>
      <c r="M8" s="11"/>
      <c r="N8" s="11"/>
    </row>
    <row r="9" spans="2:14" x14ac:dyDescent="0.4">
      <c r="B9" s="11"/>
      <c r="C9" s="11"/>
      <c r="D9" s="11"/>
      <c r="E9" s="11"/>
      <c r="F9" s="11"/>
      <c r="G9" s="11"/>
      <c r="I9" s="11"/>
      <c r="J9" s="11"/>
      <c r="L9" s="11"/>
      <c r="M9" s="11"/>
      <c r="N9" s="11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qhr</cp:lastModifiedBy>
  <dcterms:created xsi:type="dcterms:W3CDTF">2019-03-22T02:59:42Z</dcterms:created>
  <dcterms:modified xsi:type="dcterms:W3CDTF">2019-12-19T01:38:34Z</dcterms:modified>
</cp:coreProperties>
</file>