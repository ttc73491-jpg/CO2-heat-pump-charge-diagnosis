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35℃/"/>
    </mc:Choice>
  </mc:AlternateContent>
  <xr:revisionPtr revIDLastSave="134" documentId="114_{2AFA0DCA-2BBA-4B11-9390-AABB09EF3F5F}" xr6:coauthVersionLast="47" xr6:coauthVersionMax="47" xr10:uidLastSave="{BB1647CA-01C6-4CBA-BB86-9D13BE52BEE3}"/>
  <bookViews>
    <workbookView xWindow="-110" yWindow="-110" windowWidth="19420" windowHeight="11760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4" i="2" l="1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64" i="2"/>
  <c r="J51" i="2"/>
  <c r="F52" i="2"/>
  <c r="K52" i="2"/>
  <c r="BA52" i="2"/>
  <c r="BA51" i="2"/>
  <c r="AY52" i="2"/>
  <c r="E52" i="2"/>
  <c r="H51" i="2"/>
  <c r="AU51" i="2"/>
  <c r="AM51" i="2"/>
  <c r="N52" i="2"/>
  <c r="AQ52" i="2"/>
  <c r="AS52" i="2"/>
  <c r="AR52" i="2"/>
  <c r="M51" i="2"/>
  <c r="AZ51" i="2"/>
  <c r="BC51" i="2"/>
  <c r="I52" i="2"/>
  <c r="P52" i="2"/>
  <c r="V51" i="2"/>
  <c r="BC52" i="2"/>
  <c r="I51" i="2"/>
  <c r="AO51" i="2"/>
  <c r="AZ52" i="2"/>
  <c r="BB51" i="2"/>
  <c r="M52" i="2"/>
  <c r="P51" i="2"/>
  <c r="BD56" i="2"/>
  <c r="E51" i="2"/>
  <c r="AT51" i="2"/>
  <c r="F51" i="2"/>
  <c r="AU52" i="2"/>
  <c r="O52" i="2"/>
  <c r="T52" i="2"/>
  <c r="AP52" i="2"/>
  <c r="V52" i="2"/>
  <c r="T51" i="2"/>
  <c r="AS51" i="2"/>
  <c r="W51" i="2"/>
  <c r="W52" i="2"/>
  <c r="U51" i="2"/>
  <c r="AX52" i="2"/>
  <c r="AW51" i="2"/>
  <c r="Q51" i="2"/>
  <c r="AK51" i="2"/>
  <c r="AN51" i="2"/>
  <c r="AP51" i="2"/>
  <c r="L52" i="2"/>
  <c r="R51" i="2"/>
  <c r="G51" i="2"/>
  <c r="BB52" i="2"/>
  <c r="AR51" i="2"/>
  <c r="AX51" i="2"/>
  <c r="O51" i="2"/>
  <c r="K51" i="2"/>
  <c r="N51" i="2"/>
  <c r="AV52" i="2"/>
  <c r="Q52" i="2"/>
  <c r="J52" i="2"/>
  <c r="D51" i="2"/>
  <c r="D52" i="2"/>
  <c r="BC56" i="2"/>
  <c r="AW52" i="2"/>
  <c r="G52" i="2"/>
  <c r="AT52" i="2"/>
  <c r="S51" i="2"/>
  <c r="L51" i="2"/>
  <c r="AQ51" i="2"/>
  <c r="AL51" i="2"/>
  <c r="S52" i="2"/>
  <c r="AV51" i="2"/>
  <c r="H52" i="2"/>
  <c r="AY51" i="2"/>
  <c r="U52" i="2"/>
  <c r="R52" i="2"/>
  <c r="BA56" i="2" a="1"/>
  <c r="T56" i="2" a="1"/>
  <c r="F56" i="2" a="1"/>
  <c r="AR56" i="2" a="1"/>
  <c r="AH56" i="2" a="1"/>
  <c r="AE51" i="2" a="1"/>
  <c r="AY56" i="2" a="1"/>
  <c r="E56" i="2" a="1"/>
  <c r="H56" i="2" a="1"/>
  <c r="X52" i="2" a="1"/>
  <c r="AE56" i="2" a="1"/>
  <c r="AI56" i="2" a="1"/>
  <c r="AT56" i="2" a="1"/>
  <c r="AW56" i="2" a="1"/>
  <c r="AF56" i="2" a="1"/>
  <c r="AN52" i="2" a="1"/>
  <c r="AB52" i="2" a="1"/>
  <c r="AC56" i="2" a="1"/>
  <c r="Y51" i="2" a="1"/>
  <c r="AD52" i="2" a="1"/>
  <c r="U56" i="2" a="1"/>
  <c r="Q56" i="2" a="1"/>
  <c r="W56" i="2" a="1"/>
  <c r="AJ56" i="2" a="1"/>
  <c r="AP56" i="2" a="1"/>
  <c r="AN56" i="2" a="1"/>
  <c r="M56" i="2" a="1"/>
  <c r="AB51" i="2" a="1"/>
  <c r="R56" i="2" a="1"/>
  <c r="X56" i="2" a="1"/>
  <c r="AO52" i="2" a="1"/>
  <c r="AK52" i="2" a="1"/>
  <c r="AK56" i="2" a="1"/>
  <c r="AO56" i="2" a="1"/>
  <c r="AD56" i="2" a="1"/>
  <c r="K56" i="2" a="1"/>
  <c r="S56" i="2" a="1"/>
  <c r="AM56" i="2" a="1"/>
  <c r="AG51" i="2" a="1"/>
  <c r="AV56" i="2" a="1"/>
  <c r="J56" i="2" a="1"/>
  <c r="AG56" i="2" a="1"/>
  <c r="AG52" i="2" a="1"/>
  <c r="C56" i="2" a="1"/>
  <c r="Z56" i="2" a="1"/>
  <c r="AD51" i="2" a="1"/>
  <c r="AL52" i="2" a="1"/>
  <c r="AU56" i="2" a="1"/>
  <c r="Y56" i="2" a="1"/>
  <c r="AL56" i="2" a="1"/>
  <c r="N56" i="2" a="1"/>
  <c r="AX56" i="2" a="1"/>
  <c r="X51" i="2" a="1"/>
  <c r="AF52" i="2" a="1"/>
  <c r="I56" i="2" a="1"/>
  <c r="AA51" i="2" a="1"/>
  <c r="AC51" i="2" a="1"/>
  <c r="AZ56" i="2" a="1"/>
  <c r="AJ51" i="2" a="1"/>
  <c r="Z51" i="2" a="1"/>
  <c r="O56" i="2" a="1"/>
  <c r="AA56" i="2" a="1"/>
  <c r="AH51" i="2" a="1"/>
  <c r="P56" i="2" a="1"/>
  <c r="D56" i="2" a="1"/>
  <c r="AH52" i="2" a="1"/>
  <c r="AJ52" i="2" a="1"/>
  <c r="G56" i="2" a="1"/>
  <c r="AC52" i="2" a="1"/>
  <c r="AE52" i="2" a="1"/>
  <c r="AA52" i="2" a="1"/>
  <c r="AF51" i="2" a="1"/>
  <c r="AI51" i="2" a="1"/>
  <c r="V56" i="2" a="1"/>
  <c r="AB56" i="2" a="1"/>
  <c r="L56" i="2" a="1"/>
  <c r="Z52" i="2" a="1"/>
  <c r="AS56" i="2" a="1"/>
  <c r="AI52" i="2" a="1"/>
  <c r="BB56" i="2" a="1"/>
  <c r="Y52" i="2" a="1"/>
  <c r="AM52" i="2" a="1"/>
  <c r="AQ56" i="2" a="1"/>
  <c r="Z39" i="2" a="1"/>
  <c r="U39" i="2" a="1"/>
  <c r="AM39" i="2" a="1"/>
  <c r="AS39" i="2" a="1"/>
  <c r="AQ39" i="2" a="1"/>
  <c r="AU39" i="2" a="1"/>
  <c r="AV39" i="2" a="1"/>
  <c r="AE39" i="2" a="1"/>
  <c r="M39" i="2" a="1"/>
  <c r="AR39" i="2" a="1"/>
  <c r="W39" i="2" a="1"/>
  <c r="AJ39" i="2" a="1"/>
  <c r="F39" i="2" a="1"/>
  <c r="AY39" i="2" a="1"/>
  <c r="AW39" i="2" a="1"/>
  <c r="BB39" i="2" a="1"/>
  <c r="AC39" i="2" a="1"/>
  <c r="AT39" i="2" a="1"/>
  <c r="K39" i="2" a="1"/>
  <c r="X39" i="2" a="1"/>
  <c r="AB39" i="2" a="1"/>
  <c r="V39" i="2" a="1"/>
  <c r="AP39" i="2" a="1"/>
  <c r="AA39" i="2" a="1"/>
  <c r="L39" i="2" a="1"/>
  <c r="I39" i="2" a="1"/>
  <c r="AN39" i="2" a="1"/>
  <c r="BC39" i="2" a="1"/>
  <c r="AO39" i="2" a="1"/>
  <c r="J39" i="2" a="1"/>
  <c r="D39" i="2" a="1"/>
  <c r="AI39" i="2" a="1"/>
  <c r="AX39" i="2" a="1"/>
  <c r="AZ39" i="2" a="1"/>
  <c r="H39" i="2" a="1"/>
  <c r="AD39" i="2" a="1"/>
  <c r="BA39" i="2" a="1"/>
  <c r="S39" i="2" a="1"/>
  <c r="AL39" i="2" a="1"/>
  <c r="G39" i="2" a="1"/>
  <c r="P39" i="2" a="1"/>
  <c r="Y39" i="2" a="1"/>
  <c r="E39" i="2" a="1"/>
  <c r="AG39" i="2" a="1"/>
  <c r="Q39" i="2" a="1"/>
  <c r="AF39" i="2" a="1"/>
  <c r="C39" i="2" a="1"/>
  <c r="O39" i="2" a="1"/>
  <c r="T39" i="2" a="1"/>
  <c r="AH39" i="2" a="1"/>
  <c r="AK39" i="2" a="1"/>
  <c r="N39" i="2" a="1"/>
  <c r="R39" i="2" a="1"/>
  <c r="AY39" i="2" l="1"/>
  <c r="AP39" i="2"/>
  <c r="R39" i="2"/>
  <c r="J39" i="2"/>
  <c r="AH39" i="2"/>
  <c r="AW39" i="2"/>
  <c r="AG39" i="2"/>
  <c r="I39" i="2"/>
  <c r="AQ39" i="2"/>
  <c r="Z39" i="2"/>
  <c r="AO39" i="2"/>
  <c r="Y39" i="2"/>
  <c r="Q39" i="2"/>
  <c r="H39" i="2"/>
  <c r="H50" i="2" s="1"/>
  <c r="X39" i="2"/>
  <c r="X50" i="2" s="1"/>
  <c r="P39" i="2"/>
  <c r="P50" i="2" s="1"/>
  <c r="AM39" i="2"/>
  <c r="G39" i="2"/>
  <c r="AI39" i="2"/>
  <c r="BC39" i="2"/>
  <c r="AU39" i="2"/>
  <c r="AE39" i="2"/>
  <c r="W39" i="2"/>
  <c r="O39" i="2"/>
  <c r="AD39" i="2"/>
  <c r="AD50" i="2" s="1"/>
  <c r="F39" i="2"/>
  <c r="F50" i="2" s="1"/>
  <c r="AX39" i="2"/>
  <c r="N39" i="2"/>
  <c r="N50" i="2" s="1"/>
  <c r="AA39" i="2"/>
  <c r="AN39" i="2"/>
  <c r="AN50" i="2" s="1"/>
  <c r="AT39" i="2"/>
  <c r="AT50" i="2" s="1"/>
  <c r="V39" i="2"/>
  <c r="V50" i="2" s="1"/>
  <c r="AS39" i="2"/>
  <c r="AC39" i="2"/>
  <c r="E39" i="2"/>
  <c r="K39" i="2"/>
  <c r="AV39" i="2"/>
  <c r="BB39" i="2"/>
  <c r="AL39" i="2"/>
  <c r="BA39" i="2"/>
  <c r="AK39" i="2"/>
  <c r="U39" i="2"/>
  <c r="M39" i="2"/>
  <c r="S39" i="2"/>
  <c r="S50" i="2" s="1"/>
  <c r="AF39" i="2"/>
  <c r="AF50" i="2" s="1"/>
  <c r="AZ39" i="2"/>
  <c r="AZ50" i="2" s="1"/>
  <c r="AR39" i="2"/>
  <c r="AR50" i="2" s="1"/>
  <c r="AJ39" i="2"/>
  <c r="AJ50" i="2" s="1"/>
  <c r="AB39" i="2"/>
  <c r="T39" i="2"/>
  <c r="L39" i="2"/>
  <c r="D39" i="2"/>
  <c r="C39" i="2"/>
  <c r="AJ56" i="2"/>
  <c r="AE56" i="2"/>
  <c r="AA56" i="2"/>
  <c r="S56" i="2"/>
  <c r="G56" i="2"/>
  <c r="AB56" i="2"/>
  <c r="AI56" i="2"/>
  <c r="W56" i="2"/>
  <c r="O56" i="2"/>
  <c r="K56" i="2"/>
  <c r="AL56" i="2"/>
  <c r="AH56" i="2"/>
  <c r="Z56" i="2"/>
  <c r="R56" i="2"/>
  <c r="F56" i="2"/>
  <c r="AD56" i="2"/>
  <c r="V56" i="2"/>
  <c r="N56" i="2"/>
  <c r="J56" i="2"/>
  <c r="AF56" i="2"/>
  <c r="AG56" i="2"/>
  <c r="Y56" i="2"/>
  <c r="Q56" i="2"/>
  <c r="E56" i="2"/>
  <c r="AK56" i="2"/>
  <c r="AC56" i="2"/>
  <c r="U56" i="2"/>
  <c r="M56" i="2"/>
  <c r="I56" i="2"/>
  <c r="X56" i="2"/>
  <c r="T56" i="2"/>
  <c r="P56" i="2"/>
  <c r="L56" i="2"/>
  <c r="H56" i="2"/>
  <c r="D56" i="2"/>
  <c r="C56" i="2"/>
  <c r="AS56" i="2"/>
  <c r="AZ56" i="2"/>
  <c r="AR56" i="2"/>
  <c r="AW56" i="2"/>
  <c r="AV56" i="2"/>
  <c r="AN56" i="2"/>
  <c r="AY56" i="2"/>
  <c r="AU56" i="2"/>
  <c r="AM56" i="2"/>
  <c r="AQ56" i="2"/>
  <c r="AX56" i="2"/>
  <c r="BB56" i="2"/>
  <c r="AT56" i="2"/>
  <c r="AP56" i="2"/>
  <c r="BA56" i="2"/>
  <c r="AO56" i="2"/>
  <c r="AU55" i="2"/>
  <c r="AT55" i="2"/>
  <c r="AV55" i="2"/>
  <c r="AS55" i="2"/>
  <c r="AW55" i="2"/>
  <c r="AQ55" i="2"/>
  <c r="AR55" i="2"/>
  <c r="AP55" i="2"/>
  <c r="AX55" i="2"/>
  <c r="AZ55" i="2"/>
  <c r="AY55" i="2"/>
  <c r="AI52" i="2"/>
  <c r="AD52" i="2"/>
  <c r="AL52" i="2"/>
  <c r="AL55" i="2" s="1"/>
  <c r="AA52" i="2"/>
  <c r="AE52" i="2"/>
  <c r="AM52" i="2"/>
  <c r="AM55" i="2" s="1"/>
  <c r="AJ52" i="2"/>
  <c r="Z52" i="2"/>
  <c r="AH52" i="2"/>
  <c r="AB52" i="2"/>
  <c r="AF52" i="2"/>
  <c r="AN52" i="2"/>
  <c r="AN55" i="2" s="1"/>
  <c r="Y52" i="2"/>
  <c r="AC52" i="2"/>
  <c r="AG52" i="2"/>
  <c r="AK52" i="2"/>
  <c r="AK55" i="2" s="1"/>
  <c r="AO52" i="2"/>
  <c r="AO55" i="2" s="1"/>
  <c r="AC51" i="2"/>
  <c r="AG51" i="2"/>
  <c r="AH51" i="2"/>
  <c r="Y51" i="2"/>
  <c r="AD51" i="2"/>
  <c r="AI51" i="2"/>
  <c r="Z51" i="2"/>
  <c r="AA51" i="2"/>
  <c r="AE51" i="2"/>
  <c r="AB51" i="2"/>
  <c r="AF51" i="2"/>
  <c r="AJ51" i="2"/>
  <c r="AC50" i="2"/>
  <c r="AI50" i="2"/>
  <c r="AB50" i="2"/>
  <c r="X52" i="2"/>
  <c r="X51" i="2"/>
  <c r="BC50" i="2"/>
  <c r="C6" i="7"/>
  <c r="C5" i="7"/>
  <c r="C4" i="7"/>
  <c r="C3" i="7"/>
  <c r="C2" i="7"/>
  <c r="C1" i="7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I54" i="2"/>
  <c r="BB41" i="2"/>
  <c r="BB43" i="2" s="1"/>
  <c r="BA41" i="2"/>
  <c r="BA54" i="2" s="1"/>
  <c r="AZ41" i="2"/>
  <c r="AZ43" i="2" s="1"/>
  <c r="AY41" i="2"/>
  <c r="AY54" i="2" s="1"/>
  <c r="AX41" i="2"/>
  <c r="AX54" i="2" s="1"/>
  <c r="AW41" i="2"/>
  <c r="AW54" i="2" s="1"/>
  <c r="AV41" i="2"/>
  <c r="AV54" i="2" s="1"/>
  <c r="AU41" i="2"/>
  <c r="AU54" i="2" s="1"/>
  <c r="AT41" i="2"/>
  <c r="AT43" i="2" s="1"/>
  <c r="AS41" i="2"/>
  <c r="AS54" i="2" s="1"/>
  <c r="AR41" i="2"/>
  <c r="AR43" i="2" s="1"/>
  <c r="AQ41" i="2"/>
  <c r="AQ54" i="2" s="1"/>
  <c r="AP41" i="2"/>
  <c r="AP54" i="2" s="1"/>
  <c r="AO41" i="2"/>
  <c r="AO54" i="2" s="1"/>
  <c r="AN41" i="2"/>
  <c r="AN54" i="2" s="1"/>
  <c r="AM41" i="2"/>
  <c r="AM54" i="2" s="1"/>
  <c r="AL41" i="2"/>
  <c r="AL43" i="2" s="1"/>
  <c r="AK41" i="2"/>
  <c r="AK54" i="2" s="1"/>
  <c r="AJ41" i="2"/>
  <c r="AJ43" i="2" s="1"/>
  <c r="AI41" i="2"/>
  <c r="AH41" i="2"/>
  <c r="AG41" i="2"/>
  <c r="AF41" i="2"/>
  <c r="AF54" i="2" s="1"/>
  <c r="AE41" i="2"/>
  <c r="AD41" i="2"/>
  <c r="AD43" i="2" s="1"/>
  <c r="AC41" i="2"/>
  <c r="AC54" i="2" s="1"/>
  <c r="AB41" i="2"/>
  <c r="AB43" i="2" s="1"/>
  <c r="AA41" i="2"/>
  <c r="Z41" i="2"/>
  <c r="Y41" i="2"/>
  <c r="X41" i="2"/>
  <c r="W41" i="2"/>
  <c r="W54" i="2" s="1"/>
  <c r="V41" i="2"/>
  <c r="V43" i="2" s="1"/>
  <c r="U41" i="2"/>
  <c r="U54" i="2" s="1"/>
  <c r="T41" i="2"/>
  <c r="T43" i="2" s="1"/>
  <c r="S41" i="2"/>
  <c r="S54" i="2" s="1"/>
  <c r="R41" i="2"/>
  <c r="R54" i="2" s="1"/>
  <c r="Q41" i="2"/>
  <c r="Q54" i="2" s="1"/>
  <c r="P41" i="2"/>
  <c r="P54" i="2" s="1"/>
  <c r="O41" i="2"/>
  <c r="O43" i="2" s="1"/>
  <c r="N41" i="2"/>
  <c r="N54" i="2" s="1"/>
  <c r="M41" i="2"/>
  <c r="M43" i="2" s="1"/>
  <c r="L41" i="2"/>
  <c r="L43" i="2" s="1"/>
  <c r="K41" i="2"/>
  <c r="K54" i="2" s="1"/>
  <c r="J41" i="2"/>
  <c r="J43" i="2" s="1"/>
  <c r="H41" i="2"/>
  <c r="H54" i="2" s="1"/>
  <c r="G41" i="2"/>
  <c r="G54" i="2" s="1"/>
  <c r="F41" i="2"/>
  <c r="F54" i="2" s="1"/>
  <c r="E41" i="2"/>
  <c r="E54" i="2" s="1"/>
  <c r="D41" i="2"/>
  <c r="D43" i="2" s="1"/>
  <c r="C41" i="2"/>
  <c r="C43" i="2" s="1"/>
  <c r="BB50" i="2"/>
  <c r="BA50" i="2"/>
  <c r="AY50" i="2"/>
  <c r="AV50" i="2"/>
  <c r="AS50" i="2"/>
  <c r="AL50" i="2"/>
  <c r="AK50" i="2"/>
  <c r="U50" i="2"/>
  <c r="T50" i="2"/>
  <c r="M50" i="2"/>
  <c r="L50" i="2"/>
  <c r="K50" i="2"/>
  <c r="E50" i="2"/>
  <c r="D50" i="2"/>
  <c r="C51" i="2"/>
  <c r="C52" i="2"/>
  <c r="AE54" i="2" l="1"/>
  <c r="AH54" i="2"/>
  <c r="AI54" i="2"/>
  <c r="Y54" i="2"/>
  <c r="AF55" i="2"/>
  <c r="AB55" i="2"/>
  <c r="AD55" i="2"/>
  <c r="AH55" i="2"/>
  <c r="AH57" i="2" s="1"/>
  <c r="AI55" i="2"/>
  <c r="Z55" i="2"/>
  <c r="X54" i="2"/>
  <c r="AG55" i="2"/>
  <c r="AJ55" i="2"/>
  <c r="AG54" i="2"/>
  <c r="AC55" i="2"/>
  <c r="AC57" i="2" s="1"/>
  <c r="Y55" i="2"/>
  <c r="Y57" i="2" s="1"/>
  <c r="AE55" i="2"/>
  <c r="AE57" i="2" s="1"/>
  <c r="AA55" i="2"/>
  <c r="Z54" i="2"/>
  <c r="AA54" i="2"/>
  <c r="V54" i="2"/>
  <c r="AT54" i="2"/>
  <c r="AT57" i="2" s="1"/>
  <c r="N43" i="2"/>
  <c r="AL54" i="2"/>
  <c r="AL57" i="2" s="1"/>
  <c r="AD54" i="2"/>
  <c r="AD57" i="2" s="1"/>
  <c r="W43" i="2"/>
  <c r="AE43" i="2"/>
  <c r="BB54" i="2"/>
  <c r="AM43" i="2"/>
  <c r="AU43" i="2"/>
  <c r="D54" i="2"/>
  <c r="M54" i="2"/>
  <c r="K43" i="2"/>
  <c r="U43" i="2"/>
  <c r="AC43" i="2"/>
  <c r="AK43" i="2"/>
  <c r="AS43" i="2"/>
  <c r="BA43" i="2"/>
  <c r="J54" i="2"/>
  <c r="T54" i="2"/>
  <c r="AB54" i="2"/>
  <c r="AB57" i="2" s="1"/>
  <c r="AJ54" i="2"/>
  <c r="AR54" i="2"/>
  <c r="AZ54" i="2"/>
  <c r="E43" i="2"/>
  <c r="P43" i="2"/>
  <c r="X43" i="2"/>
  <c r="AF43" i="2"/>
  <c r="AN43" i="2"/>
  <c r="AV43" i="2"/>
  <c r="F43" i="2"/>
  <c r="Q43" i="2"/>
  <c r="Y43" i="2"/>
  <c r="AG43" i="2"/>
  <c r="AO43" i="2"/>
  <c r="AW43" i="2"/>
  <c r="G43" i="2"/>
  <c r="R43" i="2"/>
  <c r="Z43" i="2"/>
  <c r="AH43" i="2"/>
  <c r="AP43" i="2"/>
  <c r="AX43" i="2"/>
  <c r="H43" i="2"/>
  <c r="S43" i="2"/>
  <c r="AA43" i="2"/>
  <c r="AI43" i="2"/>
  <c r="AQ43" i="2"/>
  <c r="AY43" i="2"/>
  <c r="I44" i="2"/>
  <c r="I50" i="2"/>
  <c r="AG44" i="2"/>
  <c r="AG50" i="2"/>
  <c r="AO44" i="2"/>
  <c r="AO50" i="2"/>
  <c r="AW44" i="2"/>
  <c r="AW50" i="2"/>
  <c r="J44" i="2"/>
  <c r="J50" i="2"/>
  <c r="R44" i="2"/>
  <c r="R50" i="2"/>
  <c r="Z44" i="2"/>
  <c r="Z50" i="2"/>
  <c r="AH44" i="2"/>
  <c r="AH50" i="2"/>
  <c r="AP44" i="2"/>
  <c r="AP50" i="2"/>
  <c r="AX44" i="2"/>
  <c r="AX50" i="2"/>
  <c r="Q44" i="2"/>
  <c r="Q50" i="2"/>
  <c r="Y44" i="2"/>
  <c r="Y50" i="2"/>
  <c r="AQ44" i="2"/>
  <c r="AQ50" i="2"/>
  <c r="AA44" i="2"/>
  <c r="AA50" i="2"/>
  <c r="G44" i="2"/>
  <c r="G50" i="2"/>
  <c r="O44" i="2"/>
  <c r="O50" i="2"/>
  <c r="W44" i="2"/>
  <c r="W50" i="2"/>
  <c r="AE44" i="2"/>
  <c r="AE50" i="2"/>
  <c r="AM44" i="2"/>
  <c r="AM50" i="2"/>
  <c r="AU44" i="2"/>
  <c r="AU50" i="2"/>
  <c r="C54" i="2"/>
  <c r="C44" i="2"/>
  <c r="O54" i="2"/>
  <c r="L54" i="2"/>
  <c r="K44" i="2"/>
  <c r="C50" i="2"/>
  <c r="D55" i="2"/>
  <c r="L55" i="2"/>
  <c r="T55" i="2"/>
  <c r="H44" i="2"/>
  <c r="AB44" i="2"/>
  <c r="AY44" i="2"/>
  <c r="C55" i="2"/>
  <c r="K55" i="2"/>
  <c r="K57" i="2" s="1"/>
  <c r="S55" i="2"/>
  <c r="S57" i="2" s="1"/>
  <c r="AI57" i="2"/>
  <c r="AQ57" i="2"/>
  <c r="AY57" i="2"/>
  <c r="AF44" i="2"/>
  <c r="L44" i="2"/>
  <c r="AI44" i="2"/>
  <c r="E55" i="2"/>
  <c r="E57" i="2" s="1"/>
  <c r="M55" i="2"/>
  <c r="U55" i="2"/>
  <c r="U57" i="2" s="1"/>
  <c r="AK57" i="2"/>
  <c r="AS57" i="2"/>
  <c r="BA55" i="2"/>
  <c r="BA57" i="2" s="1"/>
  <c r="P44" i="2"/>
  <c r="AJ44" i="2"/>
  <c r="S44" i="2"/>
  <c r="AN44" i="2"/>
  <c r="G55" i="2"/>
  <c r="G57" i="2" s="1"/>
  <c r="O55" i="2"/>
  <c r="W55" i="2"/>
  <c r="W57" i="2" s="1"/>
  <c r="AM57" i="2"/>
  <c r="AU57" i="2"/>
  <c r="T44" i="2"/>
  <c r="H55" i="2"/>
  <c r="H57" i="2" s="1"/>
  <c r="P55" i="2"/>
  <c r="P57" i="2" s="1"/>
  <c r="X55" i="2"/>
  <c r="AF57" i="2"/>
  <c r="AN57" i="2"/>
  <c r="AV57" i="2"/>
  <c r="X44" i="2"/>
  <c r="AR44" i="2"/>
  <c r="I55" i="2"/>
  <c r="I57" i="2" s="1"/>
  <c r="Q55" i="2"/>
  <c r="Q57" i="2" s="1"/>
  <c r="AO57" i="2"/>
  <c r="AW57" i="2"/>
  <c r="D44" i="2"/>
  <c r="AV44" i="2"/>
  <c r="J55" i="2"/>
  <c r="R55" i="2"/>
  <c r="R57" i="2" s="1"/>
  <c r="AP57" i="2"/>
  <c r="AX57" i="2"/>
  <c r="V55" i="2"/>
  <c r="F55" i="2"/>
  <c r="F57" i="2" s="1"/>
  <c r="BB55" i="2"/>
  <c r="E44" i="2"/>
  <c r="M44" i="2"/>
  <c r="U44" i="2"/>
  <c r="AC44" i="2"/>
  <c r="AK44" i="2"/>
  <c r="AS44" i="2"/>
  <c r="N55" i="2"/>
  <c r="N57" i="2" s="1"/>
  <c r="F44" i="2"/>
  <c r="N44" i="2"/>
  <c r="V44" i="2"/>
  <c r="AD44" i="2"/>
  <c r="AL44" i="2"/>
  <c r="AT44" i="2"/>
  <c r="Z57" i="2" l="1"/>
  <c r="AA57" i="2"/>
  <c r="AG57" i="2"/>
  <c r="X57" i="2"/>
  <c r="V57" i="2"/>
  <c r="M57" i="2"/>
  <c r="C57" i="2"/>
  <c r="BB57" i="2"/>
  <c r="AR57" i="2"/>
  <c r="J57" i="2"/>
  <c r="D57" i="2"/>
  <c r="AZ57" i="2"/>
  <c r="AJ57" i="2"/>
  <c r="T57" i="2"/>
  <c r="O57" i="2"/>
  <c r="L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G36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<sst xmlns="http://schemas.openxmlformats.org/spreadsheetml/2006/main" count="163" uniqueCount="144">
  <si>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</si>
  <si>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</si>
  <si>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</si>
  <si>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</si>
  <si>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</si>
  <si>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</si>
  <si>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</si>
  <si>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</si>
  <si>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</si>
  <si>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</si>
  <si>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</si>
  <si>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</si>
  <si>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</si>
  <si>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</si>
  <si>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</si>
  <si>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</si>
  <si>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</si>
  <si>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</si>
  <si>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</si>
  <si>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</si>
  <si>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</si>
  <si>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列11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</si>
  <si>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</si>
  <si>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</si>
  <si>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</si>
  <si>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</si>
  <si>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</si>
  <si>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列0</t>
    <phoneticPr fontId="5" type="noConversion"/>
  </si>
  <si>
    <t>列1</t>
    <phoneticPr fontId="5" type="noConversion"/>
  </si>
  <si>
    <t>列2</t>
  </si>
  <si>
    <t>列3</t>
  </si>
  <si>
    <t>列4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</si>
  <si>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</si>
  <si>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</si>
  <si>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</si>
  <si>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</si>
  <si>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</si>
  <si>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</si>
  <si>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</si>
  <si>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</si>
  <si>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</si>
  <si>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</si>
  <si>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</si>
  <si>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</si>
  <si>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</si>
  <si>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</si>
  <si>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</si>
  <si>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</si>
  <si>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</si>
  <si>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</si>
  <si>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</si>
  <si>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</si>
  <si>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</si>
  <si>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</si>
  <si>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</si>
  <si>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</si>
  <si>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</si>
  <si>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</si>
  <si>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</si>
  <si>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</si>
  <si>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</si>
  <si>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</si>
  <si>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</si>
  <si>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</si>
  <si>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</si>
  <si>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</si>
  <si>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</si>
  <si>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</si>
  <si>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</si>
  <si>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</si>
  <si>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</si>
  <si>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</si>
  <si>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</si>
  <si>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</si>
  <si>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</si>
  <si>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</si>
  <si>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</si>
  <si>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</si>
  <si>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</si>
  <si>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</si>
  <si>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</si>
  <si>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</si>
  <si>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</si>
  <si>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</si>
  <si>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</si>
  <si>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</si>
  <si>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</si>
  <si>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</si>
  <si>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</si>
  <si>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</si>
  <si>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</si>
  <si>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</si>
  <si>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</si>
  <si>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回热</t>
    <phoneticPr fontId="5" type="noConversion"/>
  </si>
  <si>
    <t>热成像编号</t>
    <phoneticPr fontId="5" type="noConversion"/>
  </si>
  <si>
    <t>列17</t>
  </si>
  <si>
    <t>列18</t>
  </si>
  <si>
    <t>列19</t>
  </si>
  <si>
    <t>列20</t>
  </si>
  <si>
    <t>列21</t>
  </si>
  <si>
    <t>列22</t>
  </si>
  <si>
    <t>列122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</si>
  <si>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</si>
  <si>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</si>
  <si>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</si>
  <si>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</si>
  <si>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</si>
  <si>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</si>
  <si>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</si>
  <si>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</si>
  <si>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</si>
  <si>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</si>
  <si>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</si>
  <si>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</si>
  <si>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</si>
  <si>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</si>
  <si>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</si>
  <si>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</si>
  <si>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</si>
  <si>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</si>
  <si>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</si>
  <si>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</si>
  <si>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</si>
  <si>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</si>
  <si>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</si>
  <si>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</si>
  <si>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</si>
  <si>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0809两图</t>
    <phoneticPr fontId="5" type="noConversion"/>
  </si>
  <si>
    <t>120308,09</t>
    <phoneticPr fontId="5" type="noConversion"/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</si>
  <si>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</si>
  <si>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</si>
  <si>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</si>
  <si>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</si>
  <si>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</si>
  <si>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</si>
  <si>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</si>
  <si>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</si>
  <si>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</si>
  <si>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</si>
  <si>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列12</t>
    <phoneticPr fontId="5" type="noConversion"/>
  </si>
  <si>
    <t>列58</t>
  </si>
  <si>
    <t>列59</t>
  </si>
  <si>
    <t>阀前流速</t>
    <phoneticPr fontId="5" type="noConversion"/>
  </si>
  <si>
    <t>气分入口流速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</si>
</sst>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theme="4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4"/>
      </bottom>
      <diagonal/>
    </border>
  </borders>
  <cellStyleXfs count="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12" fillId="7" borderId="0" xfId="6" applyBorder="1" applyAlignment="1">
      <alignment horizontal="center" vertical="center"/>
    </xf>
    <xf numFmtId="0" fontId="12" fillId="7" borderId="0" xfId="6">
      <alignment vertical="center"/>
    </xf>
    <xf numFmtId="0" fontId="3" fillId="8" borderId="1" xfId="2" applyFill="1" applyAlignment="1">
      <alignment horizontal="center" vertical="center"/>
    </xf>
    <xf numFmtId="0" fontId="6" fillId="8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12" fillId="7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0" fillId="5" borderId="16" xfId="4" applyNumberFormat="1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9" borderId="1" xfId="3" applyFill="1" applyAlignment="1">
      <alignment horizontal="center" vertical="center"/>
    </xf>
    <xf numFmtId="0" fontId="2" fillId="9" borderId="0" xfId="1" applyFill="1" applyAlignment="1">
      <alignment horizontal="center" vertical="center"/>
    </xf>
    <xf numFmtId="0" fontId="0" fillId="9" borderId="3" xfId="4" applyNumberFormat="1" applyFont="1" applyFill="1" applyAlignment="1">
      <alignment horizontal="center" vertical="center"/>
    </xf>
    <xf numFmtId="0" fontId="3" fillId="9" borderId="1" xfId="2" applyFill="1" applyAlignment="1">
      <alignment horizontal="center" vertical="center"/>
    </xf>
    <xf numFmtId="0" fontId="12" fillId="9" borderId="5" xfId="6" applyFill="1" applyBorder="1" applyAlignment="1">
      <alignment horizontal="center" vertical="center"/>
    </xf>
    <xf numFmtId="0" fontId="12" fillId="9" borderId="0" xfId="6" applyFill="1" applyBorder="1" applyAlignment="1">
      <alignment horizontal="center" vertical="center"/>
    </xf>
    <xf numFmtId="0" fontId="2" fillId="9" borderId="1" xfId="1" applyFill="1" applyBorder="1" applyAlignment="1">
      <alignment horizontal="center" vertical="center"/>
    </xf>
    <xf numFmtId="0" fontId="0" fillId="9" borderId="16" xfId="4" applyNumberFormat="1" applyFont="1" applyFill="1" applyBorder="1" applyAlignment="1">
      <alignment horizontal="center" vertical="center"/>
    </xf>
    <xf numFmtId="0" fontId="2" fillId="10" borderId="0" xfId="1" applyFill="1" applyAlignment="1">
      <alignment horizontal="center" vertical="center"/>
    </xf>
    <xf numFmtId="0" fontId="2" fillId="10" borderId="1" xfId="1" applyFill="1" applyBorder="1" applyAlignment="1">
      <alignment horizontal="center" vertical="center"/>
    </xf>
    <xf numFmtId="0" fontId="0" fillId="10" borderId="0" xfId="0" applyFill="1">
      <alignment vertical="center"/>
    </xf>
    <xf numFmtId="0" fontId="2" fillId="10" borderId="4" xfId="1" applyFill="1" applyBorder="1" applyAlignment="1">
      <alignment horizontal="center" vertical="center"/>
    </xf>
    <xf numFmtId="0" fontId="12" fillId="7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Fill="1" applyBorder="1" applyAlignment="1">
      <alignment horizontal="center" vertical="center"/>
    </xf>
    <xf numFmtId="0" fontId="0" fillId="5" borderId="3" xfId="4" applyNumberFormat="1" applyFont="1" applyFill="1" applyBorder="1" applyAlignment="1">
      <alignment horizontal="center" vertical="center"/>
    </xf>
    <xf numFmtId="0" fontId="0" fillId="9" borderId="3" xfId="4" applyNumberFormat="1" applyFont="1" applyFill="1" applyBorder="1" applyAlignment="1">
      <alignment horizontal="center" vertical="center"/>
    </xf>
    <xf numFmtId="0" fontId="0" fillId="9" borderId="18" xfId="4" applyNumberFormat="1" applyFont="1" applyFill="1" applyBorder="1" applyAlignment="1">
      <alignment horizontal="center" vertical="center"/>
    </xf>
    <xf numFmtId="0" fontId="0" fillId="5" borderId="18" xfId="4" applyNumberFormat="1" applyFont="1" applyFill="1" applyBorder="1" applyAlignment="1">
      <alignment horizontal="center" vertical="center"/>
    </xf>
    <xf numFmtId="0" fontId="3" fillId="8" borderId="1" xfId="2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9" borderId="5" xfId="2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12" fillId="8" borderId="0" xfId="6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9" borderId="17" xfId="0" applyFont="1" applyFill="1" applyBorder="1" applyAlignment="1">
      <alignment horizontal="center" vertical="center"/>
    </xf>
    <xf numFmtId="0" fontId="12" fillId="9" borderId="17" xfId="6" applyFont="1" applyFill="1" applyBorder="1" applyAlignment="1">
      <alignment horizontal="center" vertical="center"/>
    </xf>
    <xf numFmtId="0" fontId="0" fillId="6" borderId="3" xfId="4" applyNumberFormat="1" applyFont="1" applyFill="1" applyBorder="1" applyAlignment="1">
      <alignment horizontal="center" vertical="center"/>
    </xf>
    <xf numFmtId="0" fontId="0" fillId="6" borderId="17" xfId="0" applyFont="1" applyFill="1" applyBorder="1" applyAlignment="1">
      <alignment horizontal="center" vertical="center"/>
    </xf>
    <xf numFmtId="0" fontId="3" fillId="6" borderId="19" xfId="2" applyFont="1" applyFill="1" applyBorder="1" applyAlignment="1">
      <alignment horizontal="center" vertical="center"/>
    </xf>
    <xf numFmtId="9" fontId="0" fillId="11" borderId="3" xfId="4" applyNumberFormat="1" applyFont="1" applyFill="1" applyAlignment="1">
      <alignment horizontal="center" vertical="center"/>
    </xf>
    <xf numFmtId="0" fontId="0" fillId="11" borderId="3" xfId="4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4" fillId="12" borderId="1" xfId="3" applyFill="1" applyAlignment="1">
      <alignment horizontal="center" vertical="center"/>
    </xf>
    <xf numFmtId="0" fontId="2" fillId="12" borderId="0" xfId="1" applyFill="1" applyAlignment="1">
      <alignment horizontal="center" vertical="center"/>
    </xf>
    <xf numFmtId="0" fontId="0" fillId="12" borderId="3" xfId="4" applyNumberFormat="1" applyFont="1" applyFill="1" applyAlignment="1">
      <alignment horizontal="center" vertical="center"/>
    </xf>
    <xf numFmtId="0" fontId="3" fillId="12" borderId="1" xfId="2" applyFill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0" fillId="13" borderId="3" xfId="4" applyNumberFormat="1" applyFont="1" applyFill="1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12" fillId="13" borderId="0" xfId="6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13" fillId="3" borderId="1" xfId="2" applyFont="1" applyAlignment="1">
      <alignment horizontal="center" vertical="center"/>
    </xf>
    <xf numFmtId="0" fontId="13" fillId="9" borderId="1" xfId="2" applyFont="1" applyFill="1" applyAlignment="1">
      <alignment horizontal="center" vertical="center"/>
    </xf>
    <xf numFmtId="0" fontId="13" fillId="13" borderId="1" xfId="2" applyFont="1" applyFill="1" applyAlignment="1">
      <alignment horizontal="center" vertical="center"/>
    </xf>
    <xf numFmtId="0" fontId="13" fillId="12" borderId="1" xfId="2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3" fillId="6" borderId="1" xfId="2" applyFont="1" applyFill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12" fillId="7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7">
    <cellStyle name="常规" xfId="0" builtinId="0"/>
    <cellStyle name="好" xfId="6" builtinId="26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99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-3.03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-2.3000000000000576E-2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3.3000000000000362E-2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-3.03</c:v>
                </c:pt>
                <c:pt idx="3">
                  <c:v>-2.3000000000000576E-2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5753\AppData\Roaming\Microsoft\AddIns\REFPROP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Enthalpy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Density"/>
      <definedName name="Enthalpy"/>
      <definedName name="Entropy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PROP"/>
    </sheetNames>
    <definedNames>
      <definedName name="Density"/>
      <definedName name="Enthalpy"/>
      <definedName name="Entropy"/>
    </defined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BD61" totalsRowShown="0" dataDxfId="98">
  <autoFilter ref="B1:BD61" xr:uid="{00000000-0009-0000-0100-000003000000}"/>
  <tableColumns count="55">
    <tableColumn id="9" xr3:uid="{00000000-0010-0000-0000-000009000000}" name="列0" dataDxfId="97" totalsRowDxfId="96"/>
    <tableColumn id="4" xr3:uid="{00000000-0010-0000-0000-000004000000}" name="列1" dataDxfId="95" totalsRowDxfId="94"/>
    <tableColumn id="16" xr3:uid="{00000000-0010-0000-0000-000010000000}" name="列2" dataDxfId="93" totalsRowDxfId="92" dataCellStyle="输入"/>
    <tableColumn id="18" xr3:uid="{00000000-0010-0000-0000-000012000000}" name="列3" dataDxfId="91" totalsRowDxfId="90"/>
    <tableColumn id="1" xr3:uid="{00000000-0010-0000-0000-000001000000}" name="列4" dataDxfId="89" totalsRowDxfId="88"/>
    <tableColumn id="23" xr3:uid="{00000000-0010-0000-0000-000017000000}" name="列11" dataDxfId="87" totalsRowDxfId="86"/>
    <tableColumn id="22" xr3:uid="{00000000-0010-0000-0000-000016000000}" name="列12" dataDxfId="85" totalsRowDxfId="84" dataCellStyle="好"/>
    <tableColumn id="10" xr3:uid="{00000000-0010-0000-0000-00000A000000}" name="列122" dataDxfId="83" totalsRowDxfId="82" dataCellStyle="好"/>
    <tableColumn id="12" xr3:uid="{00000000-0010-0000-0000-00000C000000}" name="列13" dataDxfId="81" totalsRowDxfId="80"/>
    <tableColumn id="13" xr3:uid="{00000000-0010-0000-0000-00000D000000}" name="列14" dataDxfId="79" totalsRowDxfId="78"/>
    <tableColumn id="14" xr3:uid="{00000000-0010-0000-0000-00000E000000}" name="列15" dataDxfId="77" dataCellStyle="好"/>
    <tableColumn id="15" xr3:uid="{00000000-0010-0000-0000-00000F000000}" name="列16" dataDxfId="76" totalsRowDxfId="75"/>
    <tableColumn id="2" xr3:uid="{00000000-0010-0000-0000-000002000000}" name="列17" dataDxfId="74" totalsRowDxfId="73"/>
    <tableColumn id="3" xr3:uid="{00000000-0010-0000-0000-000003000000}" name="列18" dataDxfId="72" dataCellStyle="好"/>
    <tableColumn id="5" xr3:uid="{00000000-0010-0000-0000-000005000000}" name="列19" dataDxfId="71" totalsRowDxfId="70"/>
    <tableColumn id="6" xr3:uid="{00000000-0010-0000-0000-000006000000}" name="列20" dataDxfId="69"/>
    <tableColumn id="7" xr3:uid="{00000000-0010-0000-0000-000007000000}" name="列21" dataDxfId="68"/>
    <tableColumn id="8" xr3:uid="{00000000-0010-0000-0000-000008000000}" name="列22" dataDxfId="67"/>
    <tableColumn id="25" xr3:uid="{00000000-0010-0000-0000-000019000000}" name="列23" dataDxfId="66"/>
    <tableColumn id="26" xr3:uid="{00000000-0010-0000-0000-00001A000000}" name="列24" dataDxfId="65"/>
    <tableColumn id="27" xr3:uid="{00000000-0010-0000-0000-00001B000000}" name="列25" dataDxfId="64"/>
    <tableColumn id="28" xr3:uid="{00000000-0010-0000-0000-00001C000000}" name="列26" dataDxfId="63"/>
    <tableColumn id="29" xr3:uid="{00000000-0010-0000-0000-00001D000000}" name="列27" dataDxfId="62" totalsRowDxfId="61"/>
    <tableColumn id="30" xr3:uid="{00000000-0010-0000-0000-00001E000000}" name="列28" dataDxfId="60"/>
    <tableColumn id="31" xr3:uid="{00000000-0010-0000-0000-00001F000000}" name="列29" dataDxfId="59"/>
    <tableColumn id="32" xr3:uid="{00000000-0010-0000-0000-000020000000}" name="列30" dataDxfId="58" totalsRowDxfId="57"/>
    <tableColumn id="33" xr3:uid="{00000000-0010-0000-0000-000021000000}" name="列31" dataDxfId="56" totalsRowDxfId="55"/>
    <tableColumn id="34" xr3:uid="{00000000-0010-0000-0000-000022000000}" name="列32" dataDxfId="54" totalsRowDxfId="53"/>
    <tableColumn id="35" xr3:uid="{00000000-0010-0000-0000-000023000000}" name="列33" dataDxfId="52" totalsRowDxfId="51"/>
    <tableColumn id="36" xr3:uid="{00000000-0010-0000-0000-000024000000}" name="列34" dataDxfId="50"/>
    <tableColumn id="37" xr3:uid="{00000000-0010-0000-0000-000025000000}" name="列35" dataDxfId="49" totalsRowDxfId="48"/>
    <tableColumn id="38" xr3:uid="{00000000-0010-0000-0000-000026000000}" name="列36" dataDxfId="47" totalsRowDxfId="46"/>
    <tableColumn id="39" xr3:uid="{00000000-0010-0000-0000-000027000000}" name="列37" dataDxfId="45" totalsRowDxfId="44"/>
    <tableColumn id="40" xr3:uid="{00000000-0010-0000-0000-000028000000}" name="列38" dataDxfId="43" totalsRowDxfId="42"/>
    <tableColumn id="41" xr3:uid="{00000000-0010-0000-0000-000029000000}" name="列39" dataDxfId="41" totalsRowDxfId="40"/>
    <tableColumn id="42" xr3:uid="{00000000-0010-0000-0000-00002A000000}" name="列40" dataDxfId="39" totalsRowDxfId="38"/>
    <tableColumn id="43" xr3:uid="{00000000-0010-0000-0000-00002B000000}" name="列41" dataDxfId="37" totalsRowDxfId="36"/>
    <tableColumn id="44" xr3:uid="{00000000-0010-0000-0000-00002C000000}" name="列42" dataDxfId="35" totalsRowDxfId="34"/>
    <tableColumn id="45" xr3:uid="{00000000-0010-0000-0000-00002D000000}" name="列43" dataDxfId="33" totalsRowDxfId="32"/>
    <tableColumn id="46" xr3:uid="{00000000-0010-0000-0000-00002E000000}" name="列44" dataDxfId="31" totalsRowDxfId="30"/>
    <tableColumn id="47" xr3:uid="{00000000-0010-0000-0000-00002F000000}" name="列45" dataDxfId="29" totalsRowDxfId="28"/>
    <tableColumn id="48" xr3:uid="{00000000-0010-0000-0000-000030000000}" name="列46" dataDxfId="27" totalsRowDxfId="26"/>
    <tableColumn id="49" xr3:uid="{00000000-0010-0000-0000-000031000000}" name="列47" dataDxfId="25" totalsRowDxfId="24"/>
    <tableColumn id="50" xr3:uid="{00000000-0010-0000-0000-000032000000}" name="列48" dataDxfId="23" totalsRowDxfId="22"/>
    <tableColumn id="51" xr3:uid="{00000000-0010-0000-0000-000033000000}" name="列49" dataDxfId="21" totalsRowDxfId="20"/>
    <tableColumn id="52" xr3:uid="{00000000-0010-0000-0000-000034000000}" name="列50" dataDxfId="19" totalsRowDxfId="18"/>
    <tableColumn id="53" xr3:uid="{00000000-0010-0000-0000-000035000000}" name="列51" dataDxfId="17" totalsRowDxfId="16"/>
    <tableColumn id="54" xr3:uid="{00000000-0010-0000-0000-000036000000}" name="列52" dataDxfId="15" totalsRowDxfId="14"/>
    <tableColumn id="55" xr3:uid="{00000000-0010-0000-0000-000037000000}" name="列53" dataDxfId="13" totalsRowDxfId="12"/>
    <tableColumn id="56" xr3:uid="{00000000-0010-0000-0000-000038000000}" name="列54" dataDxfId="11" totalsRowDxfId="10"/>
    <tableColumn id="57" xr3:uid="{00000000-0010-0000-0000-000039000000}" name="列55" dataDxfId="9" totalsRowDxfId="8"/>
    <tableColumn id="58" xr3:uid="{00000000-0010-0000-0000-00003A000000}" name="列56" dataDxfId="7" totalsRowDxfId="6"/>
    <tableColumn id="59" xr3:uid="{00000000-0010-0000-0000-00003B000000}" name="列57" dataDxfId="5" totalsRowDxfId="4"/>
    <tableColumn id="11" xr3:uid="{AE8C2C92-24E8-48CA-8145-C1EADBA26408}" name="列58" dataDxfId="3" totalsRowDxfId="2"/>
    <tableColumn id="17" xr3:uid="{973AEAB6-4DCF-46A8-BC86-C79F0C0A337D}" name="列59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D177"/>
  <sheetViews>
    <sheetView tabSelected="1" topLeftCell="A31" workbookViewId="0">
      <pane xSplit="2" topLeftCell="H1" activePane="topRight" state="frozen"/>
      <selection pane="topRight" activeCell="L38" sqref="L38"/>
    </sheetView>
  </sheetViews>
  <sheetFormatPr defaultRowHeight="14" x14ac:dyDescent="0.3"/>
  <cols>
    <col min="2" max="2" width="29.25" customWidth="1"/>
    <col min="3" max="3" width="20.6640625" style="5" customWidth="1"/>
    <col min="4" max="4" width="15.25" style="5" customWidth="1"/>
    <col min="5" max="5" width="11.08203125" customWidth="1"/>
    <col min="6" max="6" width="15.75" customWidth="1"/>
    <col min="7" max="7" width="9.08203125" customWidth="1"/>
    <col min="8" max="8" width="20.6640625" style="5" customWidth="1"/>
    <col min="9" max="9" width="11.08203125" customWidth="1"/>
    <col min="12" max="12" width="11.08203125" customWidth="1"/>
    <col min="15" max="15" width="11.08203125" customWidth="1"/>
    <col min="41" max="41" width="10" customWidth="1"/>
  </cols>
  <sheetData>
    <row r="1" spans="1:56" x14ac:dyDescent="0.3"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21</v>
      </c>
      <c r="H1" s="5" t="s">
        <v>139</v>
      </c>
      <c r="I1" s="5" t="s">
        <v>101</v>
      </c>
      <c r="J1" s="5" t="s">
        <v>22</v>
      </c>
      <c r="K1" s="5" t="s">
        <v>23</v>
      </c>
      <c r="L1" s="5" t="s">
        <v>24</v>
      </c>
      <c r="M1" s="5" t="s">
        <v>41</v>
      </c>
      <c r="N1" t="s">
        <v>95</v>
      </c>
      <c r="O1" s="5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140</v>
      </c>
      <c r="BD1" t="s">
        <v>141</v>
      </c>
    </row>
    <row r="2" spans="1:56" x14ac:dyDescent="0.3">
      <c r="B2" s="1" t="s">
        <v>25</v>
      </c>
      <c r="C2" s="1" t="s">
        <v>93</v>
      </c>
      <c r="D2" s="37" t="s">
        <v>93</v>
      </c>
      <c r="E2" s="37" t="s">
        <v>93</v>
      </c>
      <c r="F2" s="37" t="s">
        <v>93</v>
      </c>
      <c r="G2" s="1"/>
      <c r="H2" s="37"/>
      <c r="I2" s="35"/>
      <c r="J2" s="18"/>
      <c r="K2" s="1"/>
      <c r="L2" s="84"/>
      <c r="M2" s="18"/>
      <c r="N2" s="18"/>
      <c r="O2" s="37"/>
      <c r="P2" s="18"/>
      <c r="Q2" s="78"/>
      <c r="R2" s="78"/>
      <c r="S2" s="78"/>
      <c r="T2" s="37"/>
      <c r="U2" s="18"/>
      <c r="V2" s="18"/>
      <c r="W2" s="84"/>
      <c r="X2" s="37"/>
      <c r="Y2" s="18"/>
      <c r="Z2" s="18"/>
      <c r="AA2" s="18"/>
      <c r="AB2" s="24"/>
      <c r="AC2" s="37"/>
      <c r="AD2" s="24"/>
      <c r="AE2" s="37"/>
      <c r="AF2" s="24"/>
      <c r="AG2" s="24"/>
      <c r="AH2" s="37"/>
      <c r="AI2" s="24"/>
      <c r="AJ2" s="24"/>
      <c r="AK2" s="24"/>
      <c r="AL2" s="37"/>
      <c r="AM2" s="24"/>
      <c r="AN2" s="37"/>
      <c r="AO2" s="26" t="s">
        <v>127</v>
      </c>
      <c r="AP2" s="26"/>
      <c r="AQ2" s="26"/>
      <c r="AR2" s="37"/>
      <c r="AS2" s="26"/>
      <c r="AT2" s="37"/>
      <c r="AU2" s="26"/>
      <c r="AV2" s="26"/>
      <c r="AW2" s="37"/>
      <c r="AX2" s="26"/>
      <c r="AY2" s="26"/>
      <c r="AZ2" s="26"/>
      <c r="BA2" s="29"/>
      <c r="BB2" s="29"/>
      <c r="BC2" s="51"/>
      <c r="BD2" s="51"/>
    </row>
    <row r="3" spans="1:56" x14ac:dyDescent="0.3">
      <c r="A3" t="s">
        <v>17</v>
      </c>
      <c r="B3" s="1" t="s">
        <v>18</v>
      </c>
      <c r="C3" s="1">
        <v>112801</v>
      </c>
      <c r="D3" s="37">
        <v>112802</v>
      </c>
      <c r="E3" s="37">
        <v>112803</v>
      </c>
      <c r="F3" s="37">
        <v>112804</v>
      </c>
      <c r="G3" s="17">
        <v>112811</v>
      </c>
      <c r="H3" s="37">
        <v>112812</v>
      </c>
      <c r="I3" s="35"/>
      <c r="J3" s="18">
        <v>112901</v>
      </c>
      <c r="K3" s="9">
        <v>112902</v>
      </c>
      <c r="L3" s="84">
        <v>112903</v>
      </c>
      <c r="M3" s="18">
        <v>112904</v>
      </c>
      <c r="N3" s="18">
        <v>112905</v>
      </c>
      <c r="O3" s="37">
        <v>112906</v>
      </c>
      <c r="P3" s="18">
        <v>112907</v>
      </c>
      <c r="Q3" s="78">
        <v>112908</v>
      </c>
      <c r="R3" s="78">
        <v>112909</v>
      </c>
      <c r="S3" s="78">
        <v>112910</v>
      </c>
      <c r="T3" s="37">
        <v>120202</v>
      </c>
      <c r="U3" s="24">
        <v>120201</v>
      </c>
      <c r="V3" s="24">
        <v>120203</v>
      </c>
      <c r="W3" s="84">
        <v>120204</v>
      </c>
      <c r="X3" s="37">
        <v>120205</v>
      </c>
      <c r="Y3" s="24">
        <v>120206</v>
      </c>
      <c r="Z3" s="24">
        <v>120207</v>
      </c>
      <c r="AA3" s="24">
        <v>120208</v>
      </c>
      <c r="AB3" s="24">
        <v>120209</v>
      </c>
      <c r="AC3" s="37">
        <v>120210</v>
      </c>
      <c r="AD3" s="24">
        <v>120211</v>
      </c>
      <c r="AE3" s="37">
        <v>120212</v>
      </c>
      <c r="AF3" s="24">
        <v>120213</v>
      </c>
      <c r="AG3" s="24">
        <v>120214</v>
      </c>
      <c r="AH3" s="37">
        <v>120301</v>
      </c>
      <c r="AI3" s="24">
        <v>120302</v>
      </c>
      <c r="AJ3" s="24">
        <v>120303</v>
      </c>
      <c r="AK3" s="26">
        <v>120304</v>
      </c>
      <c r="AL3" s="37">
        <v>120305</v>
      </c>
      <c r="AM3" s="26">
        <v>120306</v>
      </c>
      <c r="AN3" s="37">
        <v>120307</v>
      </c>
      <c r="AO3" s="26" t="s">
        <v>128</v>
      </c>
      <c r="AP3" s="26"/>
      <c r="AQ3" s="26"/>
      <c r="AR3" s="37"/>
      <c r="AS3" s="26"/>
      <c r="AT3" s="37"/>
      <c r="AU3" s="26"/>
      <c r="AV3" s="26"/>
      <c r="AW3" s="37"/>
      <c r="AX3" s="26"/>
      <c r="AY3" s="26"/>
      <c r="AZ3" s="26"/>
      <c r="BA3" s="29"/>
      <c r="BB3" s="29"/>
      <c r="BC3" s="51"/>
      <c r="BD3" s="51"/>
    </row>
    <row r="4" spans="1:56" ht="13.5" customHeight="1" x14ac:dyDescent="0.3">
      <c r="A4" s="98" t="s">
        <v>19</v>
      </c>
      <c r="B4" s="6" t="s">
        <v>13</v>
      </c>
      <c r="C4" s="6">
        <v>27</v>
      </c>
      <c r="D4" s="38">
        <v>27</v>
      </c>
      <c r="E4" s="38">
        <v>27</v>
      </c>
      <c r="F4" s="38">
        <v>27</v>
      </c>
      <c r="G4" s="19">
        <v>27</v>
      </c>
      <c r="H4" s="38">
        <v>27</v>
      </c>
      <c r="I4" s="36">
        <v>27</v>
      </c>
      <c r="J4" s="19">
        <v>27</v>
      </c>
      <c r="K4" s="19">
        <v>27</v>
      </c>
      <c r="L4" s="85">
        <v>27</v>
      </c>
      <c r="M4" s="19">
        <v>27</v>
      </c>
      <c r="N4" s="19">
        <v>27</v>
      </c>
      <c r="O4" s="38">
        <v>27</v>
      </c>
      <c r="P4" s="19">
        <v>27</v>
      </c>
      <c r="Q4" s="79">
        <v>27</v>
      </c>
      <c r="R4" s="79">
        <v>27</v>
      </c>
      <c r="S4" s="79">
        <v>27</v>
      </c>
      <c r="T4" s="38">
        <v>27</v>
      </c>
      <c r="U4" s="19">
        <v>27</v>
      </c>
      <c r="V4" s="19">
        <v>27</v>
      </c>
      <c r="W4" s="85">
        <v>27</v>
      </c>
      <c r="X4" s="38">
        <v>27</v>
      </c>
      <c r="Y4" s="19">
        <v>27</v>
      </c>
      <c r="Z4" s="19">
        <v>27</v>
      </c>
      <c r="AA4" s="25">
        <v>27</v>
      </c>
      <c r="AB4" s="25">
        <v>27</v>
      </c>
      <c r="AC4" s="38">
        <v>27</v>
      </c>
      <c r="AD4" s="25">
        <v>27</v>
      </c>
      <c r="AE4" s="38">
        <v>27</v>
      </c>
      <c r="AF4" s="25">
        <v>27</v>
      </c>
      <c r="AG4" s="25">
        <v>27</v>
      </c>
      <c r="AH4" s="38">
        <v>27</v>
      </c>
      <c r="AI4" s="25">
        <v>27</v>
      </c>
      <c r="AJ4" s="25">
        <v>27</v>
      </c>
      <c r="AK4" s="27">
        <v>27</v>
      </c>
      <c r="AL4" s="38">
        <v>26.9</v>
      </c>
      <c r="AM4" s="25">
        <v>27</v>
      </c>
      <c r="AN4" s="38">
        <v>27</v>
      </c>
      <c r="AO4" s="27">
        <v>27</v>
      </c>
      <c r="AP4" s="30">
        <v>27</v>
      </c>
      <c r="AQ4" s="30">
        <v>27</v>
      </c>
      <c r="AR4" s="38">
        <v>27</v>
      </c>
      <c r="AS4" s="30">
        <v>27</v>
      </c>
      <c r="AT4" s="38">
        <v>27</v>
      </c>
      <c r="AU4" s="30">
        <v>27</v>
      </c>
      <c r="AV4" s="27">
        <v>27</v>
      </c>
      <c r="AW4" s="38">
        <v>27</v>
      </c>
      <c r="AX4" s="27">
        <v>27</v>
      </c>
      <c r="AY4" s="27">
        <v>27</v>
      </c>
      <c r="AZ4" s="30">
        <v>27</v>
      </c>
      <c r="BA4" s="30"/>
      <c r="BB4" s="30"/>
      <c r="BC4" s="51"/>
      <c r="BD4" s="51"/>
    </row>
    <row r="5" spans="1:56" ht="13.5" customHeight="1" x14ac:dyDescent="0.3">
      <c r="A5" s="99"/>
      <c r="B5" s="6" t="s">
        <v>14</v>
      </c>
      <c r="C5" s="6">
        <v>19.5</v>
      </c>
      <c r="D5" s="38">
        <v>19.5</v>
      </c>
      <c r="E5" s="38">
        <v>19.5</v>
      </c>
      <c r="F5" s="38">
        <v>19.5</v>
      </c>
      <c r="G5" s="19">
        <v>19.5</v>
      </c>
      <c r="H5" s="38">
        <v>19.5</v>
      </c>
      <c r="I5" s="36">
        <v>19.5</v>
      </c>
      <c r="J5" s="19">
        <v>19.5</v>
      </c>
      <c r="K5" s="19">
        <v>19.5</v>
      </c>
      <c r="L5" s="85">
        <v>19.5</v>
      </c>
      <c r="M5" s="19">
        <v>19.5</v>
      </c>
      <c r="N5" s="19">
        <v>19.5</v>
      </c>
      <c r="O5" s="38">
        <v>19.5</v>
      </c>
      <c r="P5" s="19">
        <v>19.5</v>
      </c>
      <c r="Q5" s="79">
        <v>19.5</v>
      </c>
      <c r="R5" s="79">
        <v>19.5</v>
      </c>
      <c r="S5" s="79">
        <v>19.5</v>
      </c>
      <c r="T5" s="38">
        <v>19.5</v>
      </c>
      <c r="U5" s="19">
        <v>19.5</v>
      </c>
      <c r="V5" s="19">
        <v>19.5</v>
      </c>
      <c r="W5" s="85">
        <v>19.5</v>
      </c>
      <c r="X5" s="38">
        <v>19.5</v>
      </c>
      <c r="Y5" s="19">
        <v>19.5</v>
      </c>
      <c r="Z5" s="19">
        <v>19.5</v>
      </c>
      <c r="AA5" s="25">
        <v>19.5</v>
      </c>
      <c r="AB5" s="25">
        <v>19.5</v>
      </c>
      <c r="AC5" s="38">
        <v>19.5</v>
      </c>
      <c r="AD5" s="25">
        <v>19.5</v>
      </c>
      <c r="AE5" s="38">
        <v>19.5</v>
      </c>
      <c r="AF5" s="25">
        <v>19.5</v>
      </c>
      <c r="AG5" s="25">
        <v>19.5</v>
      </c>
      <c r="AH5" s="38">
        <v>19.5</v>
      </c>
      <c r="AI5" s="25">
        <v>19.5</v>
      </c>
      <c r="AJ5" s="25">
        <v>19.5</v>
      </c>
      <c r="AK5" s="27">
        <v>19.5</v>
      </c>
      <c r="AL5" s="38">
        <v>19.5</v>
      </c>
      <c r="AM5" s="25">
        <v>19.5</v>
      </c>
      <c r="AN5" s="38">
        <v>19.5</v>
      </c>
      <c r="AO5" s="27">
        <v>19.5</v>
      </c>
      <c r="AP5" s="30">
        <v>19.5</v>
      </c>
      <c r="AQ5" s="30">
        <v>19.5</v>
      </c>
      <c r="AR5" s="38">
        <v>19.5</v>
      </c>
      <c r="AS5" s="30">
        <v>19.5</v>
      </c>
      <c r="AT5" s="38">
        <v>19.5</v>
      </c>
      <c r="AU5" s="30">
        <v>19.5</v>
      </c>
      <c r="AV5" s="27">
        <v>19.5</v>
      </c>
      <c r="AW5" s="38">
        <v>19.5</v>
      </c>
      <c r="AX5" s="27">
        <v>19.5</v>
      </c>
      <c r="AY5" s="27">
        <v>19.5</v>
      </c>
      <c r="AZ5" s="30">
        <v>19.5</v>
      </c>
      <c r="BA5" s="30"/>
      <c r="BB5" s="30"/>
      <c r="BC5" s="51"/>
      <c r="BD5" s="51"/>
    </row>
    <row r="6" spans="1:56" ht="13.5" customHeight="1" x14ac:dyDescent="0.3">
      <c r="A6" s="99"/>
      <c r="B6" s="6" t="s">
        <v>15</v>
      </c>
      <c r="C6" s="6">
        <v>35</v>
      </c>
      <c r="D6" s="38">
        <v>35</v>
      </c>
      <c r="E6" s="38">
        <v>35</v>
      </c>
      <c r="F6" s="38">
        <v>35</v>
      </c>
      <c r="G6" s="19">
        <v>35</v>
      </c>
      <c r="H6" s="38">
        <v>35</v>
      </c>
      <c r="I6" s="36">
        <v>35</v>
      </c>
      <c r="J6" s="19">
        <v>35</v>
      </c>
      <c r="K6" s="19">
        <v>35</v>
      </c>
      <c r="L6" s="85">
        <v>35</v>
      </c>
      <c r="M6" s="19">
        <v>35</v>
      </c>
      <c r="N6" s="19">
        <v>35</v>
      </c>
      <c r="O6" s="38">
        <v>35</v>
      </c>
      <c r="P6" s="19">
        <v>35</v>
      </c>
      <c r="Q6" s="79">
        <v>35</v>
      </c>
      <c r="R6" s="79">
        <v>35</v>
      </c>
      <c r="S6" s="79">
        <v>35</v>
      </c>
      <c r="T6" s="38">
        <v>35</v>
      </c>
      <c r="U6" s="19">
        <v>35</v>
      </c>
      <c r="V6" s="19">
        <v>35</v>
      </c>
      <c r="W6" s="85">
        <v>35</v>
      </c>
      <c r="X6" s="38">
        <v>35</v>
      </c>
      <c r="Y6" s="19">
        <v>35</v>
      </c>
      <c r="Z6" s="19">
        <v>35</v>
      </c>
      <c r="AA6" s="25">
        <v>35</v>
      </c>
      <c r="AB6" s="25">
        <v>35</v>
      </c>
      <c r="AC6" s="38">
        <v>35</v>
      </c>
      <c r="AD6" s="25">
        <v>35</v>
      </c>
      <c r="AE6" s="38">
        <v>35</v>
      </c>
      <c r="AF6" s="25">
        <v>35</v>
      </c>
      <c r="AG6" s="25">
        <v>35</v>
      </c>
      <c r="AH6" s="38">
        <v>35</v>
      </c>
      <c r="AI6" s="25">
        <v>35</v>
      </c>
      <c r="AJ6" s="25">
        <v>35</v>
      </c>
      <c r="AK6" s="27">
        <v>35</v>
      </c>
      <c r="AL6" s="38">
        <v>34.9</v>
      </c>
      <c r="AM6" s="25">
        <v>35</v>
      </c>
      <c r="AN6" s="38">
        <v>35.1</v>
      </c>
      <c r="AO6" s="27">
        <v>34.9</v>
      </c>
      <c r="AP6" s="30">
        <v>34.9</v>
      </c>
      <c r="AQ6" s="30">
        <v>34.9</v>
      </c>
      <c r="AR6" s="38">
        <v>34.9</v>
      </c>
      <c r="AS6" s="30">
        <v>34.9</v>
      </c>
      <c r="AT6" s="38">
        <v>34.9</v>
      </c>
      <c r="AU6" s="30">
        <v>34.9</v>
      </c>
      <c r="AV6" s="27">
        <v>35</v>
      </c>
      <c r="AW6" s="38">
        <v>35</v>
      </c>
      <c r="AX6" s="27">
        <v>34.9</v>
      </c>
      <c r="AY6" s="27">
        <v>35</v>
      </c>
      <c r="AZ6" s="30">
        <v>35</v>
      </c>
      <c r="BA6" s="30"/>
      <c r="BB6" s="30"/>
      <c r="BC6" s="51"/>
      <c r="BD6" s="51"/>
    </row>
    <row r="7" spans="1:56" ht="13.5" customHeight="1" x14ac:dyDescent="0.3">
      <c r="A7" s="100"/>
      <c r="B7" s="6" t="s">
        <v>16</v>
      </c>
      <c r="C7" s="6">
        <v>26.1</v>
      </c>
      <c r="D7" s="38">
        <v>26.1</v>
      </c>
      <c r="E7" s="38">
        <v>26.1</v>
      </c>
      <c r="F7" s="38">
        <v>26.1</v>
      </c>
      <c r="G7" s="19">
        <v>26.1</v>
      </c>
      <c r="H7" s="38">
        <v>26.1</v>
      </c>
      <c r="I7" s="36">
        <v>26.1</v>
      </c>
      <c r="J7" s="19">
        <v>26.1</v>
      </c>
      <c r="K7" s="19">
        <v>26.1</v>
      </c>
      <c r="L7" s="85">
        <v>26.1</v>
      </c>
      <c r="M7" s="19">
        <v>26.1</v>
      </c>
      <c r="N7" s="19">
        <v>26.1</v>
      </c>
      <c r="O7" s="38">
        <v>26.1</v>
      </c>
      <c r="P7" s="19">
        <v>26.1</v>
      </c>
      <c r="Q7" s="79">
        <v>26.1</v>
      </c>
      <c r="R7" s="79">
        <v>26.1</v>
      </c>
      <c r="S7" s="79">
        <v>26.1</v>
      </c>
      <c r="T7" s="38">
        <v>26.1</v>
      </c>
      <c r="U7" s="19">
        <v>26.1</v>
      </c>
      <c r="V7" s="19">
        <v>26.1</v>
      </c>
      <c r="W7" s="85">
        <v>26.1</v>
      </c>
      <c r="X7" s="38">
        <v>26.1</v>
      </c>
      <c r="Y7" s="19">
        <v>26.1</v>
      </c>
      <c r="Z7" s="19">
        <v>26.1</v>
      </c>
      <c r="AA7" s="25">
        <v>26.1</v>
      </c>
      <c r="AB7" s="25">
        <v>26.1</v>
      </c>
      <c r="AC7" s="38">
        <v>26.1</v>
      </c>
      <c r="AD7" s="25">
        <v>26.1</v>
      </c>
      <c r="AE7" s="38">
        <v>26.1</v>
      </c>
      <c r="AF7" s="25">
        <v>26.1</v>
      </c>
      <c r="AG7" s="25">
        <v>26.1</v>
      </c>
      <c r="AH7" s="38">
        <v>26.1</v>
      </c>
      <c r="AI7" s="25">
        <v>26.1</v>
      </c>
      <c r="AJ7" s="25">
        <v>26.2</v>
      </c>
      <c r="AK7" s="27">
        <v>26.1</v>
      </c>
      <c r="AL7" s="38">
        <v>25.9</v>
      </c>
      <c r="AM7" s="25">
        <v>25.9</v>
      </c>
      <c r="AN7" s="38">
        <v>26</v>
      </c>
      <c r="AO7" s="27">
        <v>25.9</v>
      </c>
      <c r="AP7" s="30">
        <v>25.9</v>
      </c>
      <c r="AQ7" s="30">
        <v>25.9</v>
      </c>
      <c r="AR7" s="38">
        <v>25.9</v>
      </c>
      <c r="AS7" s="30">
        <v>25.9</v>
      </c>
      <c r="AT7" s="38">
        <v>25.9</v>
      </c>
      <c r="AU7" s="30">
        <v>25.9</v>
      </c>
      <c r="AV7" s="27">
        <v>26.3</v>
      </c>
      <c r="AW7" s="38">
        <v>26.2</v>
      </c>
      <c r="AX7" s="27">
        <v>26.3</v>
      </c>
      <c r="AY7" s="27">
        <v>27.4</v>
      </c>
      <c r="AZ7" s="30">
        <v>27.3</v>
      </c>
      <c r="BA7" s="30"/>
      <c r="BB7" s="30"/>
      <c r="BC7" s="51"/>
      <c r="BD7" s="51"/>
    </row>
    <row r="8" spans="1:56" s="48" customFormat="1" x14ac:dyDescent="0.3">
      <c r="A8" s="101" t="s">
        <v>32</v>
      </c>
      <c r="B8" s="46" t="s">
        <v>0</v>
      </c>
      <c r="C8" s="46">
        <v>35.67</v>
      </c>
      <c r="D8" s="46">
        <v>36.28</v>
      </c>
      <c r="E8" s="46">
        <v>35.840000000000003</v>
      </c>
      <c r="F8" s="46">
        <v>34.82</v>
      </c>
      <c r="G8" s="46">
        <v>31.82</v>
      </c>
      <c r="H8" s="46">
        <v>32.049999999999997</v>
      </c>
      <c r="I8" s="46"/>
      <c r="J8" s="46">
        <v>33.590000000000003</v>
      </c>
      <c r="K8" s="46">
        <v>33.64</v>
      </c>
      <c r="L8" s="86">
        <v>32.11</v>
      </c>
      <c r="M8" s="46">
        <v>32.36</v>
      </c>
      <c r="N8" s="46">
        <v>32.42</v>
      </c>
      <c r="O8" s="46">
        <v>33.380000000000003</v>
      </c>
      <c r="P8" s="46">
        <v>31.37</v>
      </c>
      <c r="Q8" s="80">
        <v>31.11</v>
      </c>
      <c r="R8" s="80">
        <v>31.6</v>
      </c>
      <c r="S8" s="80">
        <v>30.76</v>
      </c>
      <c r="T8" s="46">
        <v>30.86</v>
      </c>
      <c r="U8" s="46">
        <v>30.34</v>
      </c>
      <c r="V8" s="46">
        <v>31.43</v>
      </c>
      <c r="W8" s="86">
        <v>31.6</v>
      </c>
      <c r="X8" s="46">
        <v>30.69</v>
      </c>
      <c r="Y8" s="46">
        <v>30.15</v>
      </c>
      <c r="Z8" s="46">
        <v>31.32</v>
      </c>
      <c r="AA8" s="46">
        <v>29.85</v>
      </c>
      <c r="AB8" s="46">
        <v>30.38</v>
      </c>
      <c r="AC8" s="46">
        <v>31.07</v>
      </c>
      <c r="AD8" s="46">
        <v>31.42</v>
      </c>
      <c r="AE8" s="46">
        <v>31.34</v>
      </c>
      <c r="AF8" s="46">
        <v>31.34</v>
      </c>
      <c r="AG8" s="46">
        <v>30.47</v>
      </c>
      <c r="AH8" s="46">
        <v>30.3</v>
      </c>
      <c r="AI8" s="46">
        <v>29.74</v>
      </c>
      <c r="AJ8" s="46">
        <v>29.88</v>
      </c>
      <c r="AK8" s="46">
        <v>30.16</v>
      </c>
      <c r="AL8" s="46">
        <v>30.46</v>
      </c>
      <c r="AM8" s="46">
        <v>30.93</v>
      </c>
      <c r="AN8" s="47">
        <v>31.22</v>
      </c>
      <c r="AO8" s="47">
        <v>31.16</v>
      </c>
      <c r="AP8" s="47">
        <v>28.8</v>
      </c>
      <c r="AQ8" s="47">
        <v>28.93</v>
      </c>
      <c r="AR8" s="47">
        <v>28.62</v>
      </c>
      <c r="AS8" s="47">
        <v>27.08</v>
      </c>
      <c r="AT8" s="47">
        <v>26.3</v>
      </c>
      <c r="AU8" s="47">
        <v>23.53</v>
      </c>
      <c r="AV8" s="47">
        <v>24.32</v>
      </c>
      <c r="AW8" s="47">
        <v>21.67</v>
      </c>
      <c r="AX8" s="47">
        <v>17.940000000000001</v>
      </c>
      <c r="AY8" s="47">
        <v>18.3</v>
      </c>
      <c r="AZ8" s="47">
        <v>27.21</v>
      </c>
      <c r="BA8" s="47"/>
      <c r="BB8" s="47"/>
      <c r="BC8" s="60"/>
      <c r="BD8" s="60"/>
    </row>
    <row r="9" spans="1:56" s="48" customFormat="1" x14ac:dyDescent="0.3">
      <c r="A9" s="102"/>
      <c r="B9" s="46" t="s">
        <v>1</v>
      </c>
      <c r="C9" s="46">
        <v>134.83000000000001</v>
      </c>
      <c r="D9" s="46">
        <v>129.74</v>
      </c>
      <c r="E9" s="46">
        <v>134.1</v>
      </c>
      <c r="F9" s="46">
        <v>138.36000000000001</v>
      </c>
      <c r="G9" s="46">
        <v>135.38999999999999</v>
      </c>
      <c r="H9" s="46">
        <v>138.16999999999999</v>
      </c>
      <c r="I9" s="46"/>
      <c r="J9" s="46">
        <v>123.93</v>
      </c>
      <c r="K9" s="46">
        <v>128.07</v>
      </c>
      <c r="L9" s="86">
        <v>132.91</v>
      </c>
      <c r="M9" s="46">
        <v>128.74</v>
      </c>
      <c r="N9" s="46">
        <v>136.37</v>
      </c>
      <c r="O9" s="46">
        <v>126.56</v>
      </c>
      <c r="P9" s="46">
        <v>113.06</v>
      </c>
      <c r="Q9" s="80">
        <v>130.28</v>
      </c>
      <c r="R9" s="80">
        <v>127.22</v>
      </c>
      <c r="S9" s="80">
        <v>132.15</v>
      </c>
      <c r="T9" s="46">
        <v>120.37</v>
      </c>
      <c r="U9" s="46">
        <v>122.51</v>
      </c>
      <c r="V9" s="46">
        <v>117.59</v>
      </c>
      <c r="W9" s="86">
        <v>136.22999999999999</v>
      </c>
      <c r="X9" s="46">
        <v>120.85</v>
      </c>
      <c r="Y9" s="46">
        <v>123.03</v>
      </c>
      <c r="Z9" s="46">
        <v>117.41</v>
      </c>
      <c r="AA9" s="46">
        <v>136.38</v>
      </c>
      <c r="AB9" s="46">
        <v>133.46</v>
      </c>
      <c r="AC9" s="46">
        <v>130.13</v>
      </c>
      <c r="AD9" s="46">
        <v>118.14</v>
      </c>
      <c r="AE9" s="46">
        <v>136.71</v>
      </c>
      <c r="AF9" s="46">
        <v>115.62</v>
      </c>
      <c r="AG9" s="46">
        <v>120.3</v>
      </c>
      <c r="AH9" s="46">
        <v>121.83</v>
      </c>
      <c r="AI9" s="46">
        <v>124.73</v>
      </c>
      <c r="AJ9" s="46">
        <v>134.44</v>
      </c>
      <c r="AK9" s="46">
        <v>131.62</v>
      </c>
      <c r="AL9" s="46">
        <v>127.67</v>
      </c>
      <c r="AM9" s="46">
        <v>124.92</v>
      </c>
      <c r="AN9" s="47">
        <v>135.86000000000001</v>
      </c>
      <c r="AO9" s="47">
        <v>133.22</v>
      </c>
      <c r="AP9" s="47">
        <v>121.65</v>
      </c>
      <c r="AQ9" s="47">
        <v>117.58</v>
      </c>
      <c r="AR9" s="47">
        <v>112.85</v>
      </c>
      <c r="AS9" s="47">
        <v>128.59</v>
      </c>
      <c r="AT9" s="47">
        <v>122.68</v>
      </c>
      <c r="AU9" s="47">
        <v>110.79</v>
      </c>
      <c r="AV9" s="47">
        <v>134.36000000000001</v>
      </c>
      <c r="AW9" s="47">
        <v>124.45</v>
      </c>
      <c r="AX9" s="47">
        <v>113.64</v>
      </c>
      <c r="AY9" s="47">
        <v>97.09</v>
      </c>
      <c r="AZ9" s="47">
        <v>133.31</v>
      </c>
      <c r="BA9" s="47"/>
      <c r="BB9" s="47"/>
      <c r="BC9" s="60"/>
      <c r="BD9" s="60"/>
    </row>
    <row r="10" spans="1:56" x14ac:dyDescent="0.3">
      <c r="A10" s="102"/>
      <c r="B10" s="3" t="s">
        <v>2</v>
      </c>
      <c r="C10" s="3">
        <v>126.95</v>
      </c>
      <c r="D10" s="39">
        <v>123</v>
      </c>
      <c r="E10" s="39">
        <v>127.91</v>
      </c>
      <c r="F10" s="39">
        <v>132.21</v>
      </c>
      <c r="G10" s="3">
        <v>130.06</v>
      </c>
      <c r="H10" s="39">
        <v>132.47999999999999</v>
      </c>
      <c r="I10" s="3"/>
      <c r="J10" s="3">
        <v>118.47</v>
      </c>
      <c r="K10" s="3">
        <v>122.39</v>
      </c>
      <c r="L10" s="86">
        <v>127.52</v>
      </c>
      <c r="M10" s="3">
        <v>123.55</v>
      </c>
      <c r="N10" s="3">
        <v>130.66999999999999</v>
      </c>
      <c r="O10" s="39">
        <v>120.86</v>
      </c>
      <c r="P10" s="3">
        <v>108.78</v>
      </c>
      <c r="Q10" s="80">
        <v>125.08</v>
      </c>
      <c r="R10" s="80">
        <v>122.29</v>
      </c>
      <c r="S10" s="80">
        <v>126.88</v>
      </c>
      <c r="T10" s="39">
        <v>115.18</v>
      </c>
      <c r="U10" s="3">
        <v>117.25</v>
      </c>
      <c r="V10" s="3">
        <v>112.77</v>
      </c>
      <c r="W10" s="86">
        <v>131.08000000000001</v>
      </c>
      <c r="X10" s="39">
        <v>115.79</v>
      </c>
      <c r="Y10" s="3">
        <v>117.91</v>
      </c>
      <c r="Z10" s="3">
        <v>112.732</v>
      </c>
      <c r="AA10" s="3">
        <v>130.79</v>
      </c>
      <c r="AB10" s="3">
        <v>128.12</v>
      </c>
      <c r="AC10" s="39">
        <v>124.98</v>
      </c>
      <c r="AD10" s="3">
        <v>113.79</v>
      </c>
      <c r="AE10" s="39">
        <v>131.71</v>
      </c>
      <c r="AF10" s="3">
        <v>110.98</v>
      </c>
      <c r="AG10" s="3">
        <v>115.39</v>
      </c>
      <c r="AH10" s="39">
        <v>116.78</v>
      </c>
      <c r="AI10" s="3">
        <v>119.6</v>
      </c>
      <c r="AJ10" s="31"/>
      <c r="AK10" s="31"/>
      <c r="AL10" s="39"/>
      <c r="AM10" s="3"/>
      <c r="AN10" s="44"/>
      <c r="AO10" s="33"/>
      <c r="AP10" s="33">
        <v>116.13</v>
      </c>
      <c r="AQ10" s="33">
        <v>112.14</v>
      </c>
      <c r="AR10" s="44">
        <v>108.03</v>
      </c>
      <c r="AS10" s="33">
        <v>123.38</v>
      </c>
      <c r="AT10" s="44">
        <v>117.84</v>
      </c>
      <c r="AU10" s="34">
        <v>83.96</v>
      </c>
      <c r="AV10" s="33"/>
      <c r="AW10" s="44"/>
      <c r="AX10" s="33"/>
      <c r="AY10" s="33"/>
      <c r="AZ10" s="33"/>
      <c r="BA10" s="33"/>
      <c r="BB10" s="33"/>
      <c r="BC10" s="51"/>
      <c r="BD10" s="51"/>
    </row>
    <row r="11" spans="1:56" x14ac:dyDescent="0.3">
      <c r="A11" s="102"/>
      <c r="B11" s="3" t="s">
        <v>3</v>
      </c>
      <c r="C11" s="3">
        <v>36.36</v>
      </c>
      <c r="D11" s="39">
        <v>37.08</v>
      </c>
      <c r="E11" s="39">
        <v>37.81</v>
      </c>
      <c r="F11" s="39">
        <v>37.950000000000003</v>
      </c>
      <c r="G11" s="3">
        <v>38.020000000000003</v>
      </c>
      <c r="H11" s="39">
        <v>38.44</v>
      </c>
      <c r="I11" s="3"/>
      <c r="J11" s="3">
        <v>37.99</v>
      </c>
      <c r="K11" s="3">
        <v>37.68</v>
      </c>
      <c r="L11" s="86">
        <v>38.5</v>
      </c>
      <c r="M11" s="3">
        <v>38.72</v>
      </c>
      <c r="N11" s="3">
        <v>38.880000000000003</v>
      </c>
      <c r="O11" s="39">
        <v>37.630000000000003</v>
      </c>
      <c r="P11" s="3">
        <v>37.67</v>
      </c>
      <c r="Q11" s="80">
        <v>38.520000000000003</v>
      </c>
      <c r="R11" s="80">
        <v>38.549999999999997</v>
      </c>
      <c r="S11" s="80">
        <v>38.35</v>
      </c>
      <c r="T11" s="39">
        <v>37.799999999999997</v>
      </c>
      <c r="U11" s="3">
        <v>37.590000000000003</v>
      </c>
      <c r="V11" s="3">
        <v>37.92</v>
      </c>
      <c r="W11" s="86">
        <v>38.799999999999997</v>
      </c>
      <c r="X11" s="39">
        <v>37.79</v>
      </c>
      <c r="Y11" s="3">
        <v>37.53</v>
      </c>
      <c r="Z11" s="3">
        <v>37.96</v>
      </c>
      <c r="AA11" s="3">
        <v>37.840000000000003</v>
      </c>
      <c r="AB11" s="3">
        <v>38.049999999999997</v>
      </c>
      <c r="AC11" s="39">
        <v>38.28</v>
      </c>
      <c r="AD11" s="3">
        <v>37.76</v>
      </c>
      <c r="AE11" s="39">
        <v>38.97</v>
      </c>
      <c r="AF11" s="3">
        <v>37.58</v>
      </c>
      <c r="AG11" s="3">
        <v>37.5</v>
      </c>
      <c r="AH11" s="39"/>
      <c r="AI11" s="3"/>
      <c r="AJ11" s="3">
        <v>38.19</v>
      </c>
      <c r="AK11" s="3">
        <v>38.200000000000003</v>
      </c>
      <c r="AL11" s="39">
        <v>38.22</v>
      </c>
      <c r="AM11" s="3">
        <v>38.200000000000003</v>
      </c>
      <c r="AN11" s="44">
        <v>38.619999999999997</v>
      </c>
      <c r="AO11" s="33">
        <v>38.4</v>
      </c>
      <c r="AP11" s="33">
        <v>37.090000000000003</v>
      </c>
      <c r="AQ11" s="33">
        <v>37.229999999999997</v>
      </c>
      <c r="AR11" s="44">
        <v>37.299999999999997</v>
      </c>
      <c r="AS11" s="33">
        <v>37.479999999999997</v>
      </c>
      <c r="AT11" s="44">
        <v>37.72</v>
      </c>
      <c r="AU11" s="33">
        <v>37.74</v>
      </c>
      <c r="AV11" s="33">
        <v>38.01</v>
      </c>
      <c r="AW11" s="44">
        <v>38.200000000000003</v>
      </c>
      <c r="AX11" s="33">
        <v>38.130000000000003</v>
      </c>
      <c r="AY11" s="33">
        <v>37.43</v>
      </c>
      <c r="AZ11" s="33">
        <v>37.020000000000003</v>
      </c>
      <c r="BA11" s="33"/>
      <c r="BB11" s="33"/>
      <c r="BC11" s="51"/>
      <c r="BD11" s="51"/>
    </row>
    <row r="12" spans="1:56" x14ac:dyDescent="0.3">
      <c r="A12" s="102"/>
      <c r="B12" s="3" t="s">
        <v>7</v>
      </c>
      <c r="C12" s="3">
        <v>36.119999999999997</v>
      </c>
      <c r="D12" s="39">
        <v>37.119999999999997</v>
      </c>
      <c r="E12" s="39">
        <v>37.46</v>
      </c>
      <c r="F12" s="39">
        <v>37.659999999999997</v>
      </c>
      <c r="G12" s="3">
        <v>38.53</v>
      </c>
      <c r="H12" s="39">
        <v>38.659999999999997</v>
      </c>
      <c r="I12" s="3"/>
      <c r="J12" s="3">
        <v>37.869999999999997</v>
      </c>
      <c r="K12" s="3">
        <v>37.64</v>
      </c>
      <c r="L12" s="86">
        <v>38.409999999999997</v>
      </c>
      <c r="M12" s="3">
        <v>38.409999999999997</v>
      </c>
      <c r="N12" s="3">
        <v>38.15</v>
      </c>
      <c r="O12" s="39">
        <v>37.51</v>
      </c>
      <c r="P12" s="3">
        <v>37.56</v>
      </c>
      <c r="Q12" s="80">
        <v>38.26</v>
      </c>
      <c r="R12" s="80">
        <v>38.35</v>
      </c>
      <c r="S12" s="80">
        <v>38.130000000000003</v>
      </c>
      <c r="T12" s="39">
        <v>37.72</v>
      </c>
      <c r="U12" s="3">
        <v>37.54</v>
      </c>
      <c r="V12" s="3">
        <v>37.840000000000003</v>
      </c>
      <c r="W12" s="86">
        <v>38.659999999999997</v>
      </c>
      <c r="X12" s="39">
        <v>37.57</v>
      </c>
      <c r="Y12" s="3">
        <v>37.369999999999997</v>
      </c>
      <c r="Z12" s="3">
        <v>37.79</v>
      </c>
      <c r="AA12" s="3">
        <v>37.68</v>
      </c>
      <c r="AB12" s="3">
        <v>37.96</v>
      </c>
      <c r="AC12" s="39">
        <v>38.18</v>
      </c>
      <c r="AD12" s="3">
        <v>37.64</v>
      </c>
      <c r="AE12" s="39">
        <v>38.46</v>
      </c>
      <c r="AF12" s="3">
        <v>37.659999999999997</v>
      </c>
      <c r="AG12" s="3">
        <v>37.47</v>
      </c>
      <c r="AH12" s="39">
        <v>37.81</v>
      </c>
      <c r="AI12" s="3">
        <v>37.450000000000003</v>
      </c>
      <c r="AJ12" s="3">
        <v>38.1</v>
      </c>
      <c r="AK12" s="3">
        <v>38.17</v>
      </c>
      <c r="AL12" s="39">
        <v>38.15</v>
      </c>
      <c r="AM12" s="3">
        <v>38.090000000000003</v>
      </c>
      <c r="AN12" s="44">
        <v>38.49</v>
      </c>
      <c r="AO12" s="33">
        <v>38.270000000000003</v>
      </c>
      <c r="AP12" s="33">
        <v>37.07</v>
      </c>
      <c r="AQ12" s="33">
        <v>37.200000000000003</v>
      </c>
      <c r="AR12" s="44">
        <v>37.270000000000003</v>
      </c>
      <c r="AS12" s="33">
        <v>37.47</v>
      </c>
      <c r="AT12" s="44">
        <v>37.64</v>
      </c>
      <c r="AU12" s="33">
        <v>37.65</v>
      </c>
      <c r="AV12" s="33">
        <v>37.92</v>
      </c>
      <c r="AW12" s="44">
        <v>38.130000000000003</v>
      </c>
      <c r="AX12" s="33">
        <v>38.01</v>
      </c>
      <c r="AY12" s="33">
        <v>37.26</v>
      </c>
      <c r="AZ12" s="33">
        <v>36.97</v>
      </c>
      <c r="BA12" s="33"/>
      <c r="BB12" s="33"/>
      <c r="BC12" s="51"/>
      <c r="BD12" s="51"/>
    </row>
    <row r="13" spans="1:56" x14ac:dyDescent="0.3">
      <c r="A13" s="102"/>
      <c r="B13" s="3" t="s">
        <v>6</v>
      </c>
      <c r="C13" s="3">
        <v>34.19</v>
      </c>
      <c r="D13" s="39">
        <v>35.68</v>
      </c>
      <c r="E13" s="39">
        <v>35.619999999999997</v>
      </c>
      <c r="F13" s="39">
        <v>35.299999999999997</v>
      </c>
      <c r="G13" s="3">
        <v>30.47</v>
      </c>
      <c r="H13" s="39">
        <v>30.15</v>
      </c>
      <c r="I13" s="3"/>
      <c r="J13" s="3">
        <v>31.87</v>
      </c>
      <c r="K13" s="3">
        <v>31.4</v>
      </c>
      <c r="L13" s="86">
        <v>30.25</v>
      </c>
      <c r="M13" s="3">
        <v>31.27</v>
      </c>
      <c r="N13" s="3">
        <v>29.71</v>
      </c>
      <c r="O13" s="39">
        <v>31.27</v>
      </c>
      <c r="P13" s="3">
        <v>33.590000000000003</v>
      </c>
      <c r="Q13" s="80">
        <v>27.11</v>
      </c>
      <c r="R13" s="80">
        <v>28.7</v>
      </c>
      <c r="S13" s="80">
        <v>26.08</v>
      </c>
      <c r="T13" s="39">
        <v>26.42</v>
      </c>
      <c r="U13" s="3">
        <v>25.35</v>
      </c>
      <c r="V13" s="3">
        <v>27.94</v>
      </c>
      <c r="W13" s="86">
        <v>29.84</v>
      </c>
      <c r="X13" s="39">
        <v>25.86</v>
      </c>
      <c r="Y13" s="3">
        <v>24.7</v>
      </c>
      <c r="Z13" s="3">
        <v>27.64</v>
      </c>
      <c r="AA13" s="3">
        <v>24.12</v>
      </c>
      <c r="AB13" s="3">
        <v>25.16</v>
      </c>
      <c r="AC13" s="39">
        <v>26.97</v>
      </c>
      <c r="AD13" s="3">
        <v>31.94</v>
      </c>
      <c r="AE13" s="39">
        <v>29.18</v>
      </c>
      <c r="AF13" s="3">
        <v>28.28</v>
      </c>
      <c r="AG13" s="3">
        <v>25.72</v>
      </c>
      <c r="AH13" s="39">
        <v>25.21</v>
      </c>
      <c r="AI13" s="3">
        <v>24.08</v>
      </c>
      <c r="AJ13" s="3">
        <v>24.37</v>
      </c>
      <c r="AK13" s="3">
        <v>25.41</v>
      </c>
      <c r="AL13" s="39">
        <v>26.78</v>
      </c>
      <c r="AM13" s="3">
        <v>28.3</v>
      </c>
      <c r="AN13" s="44">
        <v>29.07</v>
      </c>
      <c r="AO13" s="33">
        <v>29.9</v>
      </c>
      <c r="AP13" s="33">
        <v>23.26</v>
      </c>
      <c r="AQ13" s="33">
        <v>24.22</v>
      </c>
      <c r="AR13" s="44">
        <v>25.06</v>
      </c>
      <c r="AS13" s="33">
        <v>22.07</v>
      </c>
      <c r="AT13" s="44">
        <v>22.9</v>
      </c>
      <c r="AU13" s="33">
        <v>25.09</v>
      </c>
      <c r="AV13" s="33">
        <v>20.76</v>
      </c>
      <c r="AW13" s="44">
        <v>22.08</v>
      </c>
      <c r="AX13" s="33">
        <v>23.69</v>
      </c>
      <c r="AY13" s="33">
        <v>27.4</v>
      </c>
      <c r="AZ13" s="33">
        <v>21</v>
      </c>
      <c r="BA13" s="33"/>
      <c r="BB13" s="33"/>
      <c r="BC13" s="51"/>
      <c r="BD13" s="51"/>
    </row>
    <row r="14" spans="1:56" s="48" customFormat="1" x14ac:dyDescent="0.3">
      <c r="A14" s="102"/>
      <c r="B14" s="49" t="s">
        <v>4</v>
      </c>
      <c r="C14" s="46">
        <v>33.83</v>
      </c>
      <c r="D14" s="46">
        <v>35.44</v>
      </c>
      <c r="E14" s="46">
        <v>35.229999999999997</v>
      </c>
      <c r="F14" s="46">
        <v>34.92</v>
      </c>
      <c r="G14" s="46">
        <v>30.52</v>
      </c>
      <c r="H14" s="46">
        <v>30.19</v>
      </c>
      <c r="I14" s="46"/>
      <c r="J14" s="46">
        <v>31.29</v>
      </c>
      <c r="K14" s="46">
        <v>30.87</v>
      </c>
      <c r="L14" s="86">
        <v>29.71</v>
      </c>
      <c r="M14" s="46">
        <v>30.92</v>
      </c>
      <c r="N14" s="46">
        <v>29.28</v>
      </c>
      <c r="O14" s="46">
        <v>30.95</v>
      </c>
      <c r="P14" s="46">
        <v>33.51</v>
      </c>
      <c r="Q14" s="80">
        <v>26.82</v>
      </c>
      <c r="R14" s="80">
        <v>28.58</v>
      </c>
      <c r="S14" s="80">
        <v>25.93</v>
      </c>
      <c r="T14" s="46">
        <v>26.42</v>
      </c>
      <c r="U14" s="46">
        <v>24.85</v>
      </c>
      <c r="V14" s="46">
        <v>27.63</v>
      </c>
      <c r="W14" s="86">
        <v>29.61</v>
      </c>
      <c r="X14" s="46">
        <v>25.64</v>
      </c>
      <c r="Y14" s="46">
        <v>24.44</v>
      </c>
      <c r="Z14" s="46">
        <v>27.39</v>
      </c>
      <c r="AA14" s="46">
        <v>23.78</v>
      </c>
      <c r="AB14" s="46">
        <v>24.87</v>
      </c>
      <c r="AC14" s="46">
        <v>26.72</v>
      </c>
      <c r="AD14" s="46">
        <v>31.85</v>
      </c>
      <c r="AE14" s="46">
        <v>29.04</v>
      </c>
      <c r="AF14" s="46">
        <v>28.09</v>
      </c>
      <c r="AG14" s="46">
        <v>25.49</v>
      </c>
      <c r="AH14" s="46">
        <v>24.97</v>
      </c>
      <c r="AI14" s="46">
        <v>23.87</v>
      </c>
      <c r="AJ14" s="46">
        <v>24.16</v>
      </c>
      <c r="AK14" s="46">
        <v>25.23</v>
      </c>
      <c r="AL14" s="46">
        <v>26.63</v>
      </c>
      <c r="AM14" s="46">
        <v>28.2</v>
      </c>
      <c r="AN14" s="47">
        <v>28.98</v>
      </c>
      <c r="AO14" s="47">
        <v>29.76</v>
      </c>
      <c r="AP14" s="47">
        <v>23.2</v>
      </c>
      <c r="AQ14" s="47">
        <v>24.09</v>
      </c>
      <c r="AR14" s="47">
        <v>24.94</v>
      </c>
      <c r="AS14" s="47">
        <v>21.93</v>
      </c>
      <c r="AT14" s="47">
        <v>22.84</v>
      </c>
      <c r="AU14" s="47">
        <v>25.03</v>
      </c>
      <c r="AV14" s="47">
        <v>20.61</v>
      </c>
      <c r="AW14" s="47">
        <v>22.06</v>
      </c>
      <c r="AX14" s="47">
        <v>23.71</v>
      </c>
      <c r="AY14" s="47">
        <v>27.43</v>
      </c>
      <c r="AZ14" s="47">
        <v>21.07</v>
      </c>
      <c r="BA14" s="47"/>
      <c r="BB14" s="47"/>
      <c r="BC14" s="60"/>
      <c r="BD14" s="60"/>
    </row>
    <row r="15" spans="1:56" x14ac:dyDescent="0.3">
      <c r="A15" s="102"/>
      <c r="B15" s="4" t="s">
        <v>5</v>
      </c>
      <c r="C15" s="3">
        <v>-0.46</v>
      </c>
      <c r="D15" s="39">
        <v>3.94</v>
      </c>
      <c r="E15" s="39">
        <v>5.2</v>
      </c>
      <c r="F15" s="39">
        <v>6.05</v>
      </c>
      <c r="G15" s="3">
        <v>5.2</v>
      </c>
      <c r="H15" s="39">
        <v>4.7300000000000004</v>
      </c>
      <c r="I15" s="3"/>
      <c r="J15" s="3">
        <v>6.6</v>
      </c>
      <c r="K15" s="3">
        <v>5.97</v>
      </c>
      <c r="L15" s="86">
        <v>5.2</v>
      </c>
      <c r="M15" s="3">
        <v>5.94</v>
      </c>
      <c r="N15" s="3">
        <v>4.7300000000000004</v>
      </c>
      <c r="O15" s="39">
        <v>6.01</v>
      </c>
      <c r="P15" s="3">
        <v>8.9600000000000009</v>
      </c>
      <c r="Q15" s="80">
        <v>5.04</v>
      </c>
      <c r="R15" s="80">
        <v>5.66</v>
      </c>
      <c r="S15" s="80">
        <v>4.74</v>
      </c>
      <c r="T15" s="39">
        <v>6.41</v>
      </c>
      <c r="U15" s="3">
        <v>6.09</v>
      </c>
      <c r="V15" s="3">
        <v>6.83</v>
      </c>
      <c r="W15" s="86">
        <v>5</v>
      </c>
      <c r="X15" s="39">
        <v>6.06</v>
      </c>
      <c r="Y15" s="3">
        <v>5.69</v>
      </c>
      <c r="Z15" s="3">
        <v>6.54</v>
      </c>
      <c r="AA15" s="3">
        <v>3.91</v>
      </c>
      <c r="AB15" s="3">
        <v>4.1900000000000004</v>
      </c>
      <c r="AC15" s="39">
        <v>4.75</v>
      </c>
      <c r="AD15" s="3">
        <v>7.31</v>
      </c>
      <c r="AE15" s="39">
        <v>4.53</v>
      </c>
      <c r="AF15" s="3">
        <v>6.79</v>
      </c>
      <c r="AG15" s="3">
        <v>5.91</v>
      </c>
      <c r="AH15" s="39">
        <v>6.67</v>
      </c>
      <c r="AI15" s="3">
        <v>6.24</v>
      </c>
      <c r="AJ15" s="3">
        <v>4.76</v>
      </c>
      <c r="AK15" s="3">
        <v>5.08</v>
      </c>
      <c r="AL15" s="39">
        <v>5.48</v>
      </c>
      <c r="AM15" s="3">
        <v>5.96</v>
      </c>
      <c r="AN15" s="44">
        <v>4.96</v>
      </c>
      <c r="AO15" s="33">
        <v>5.4</v>
      </c>
      <c r="AP15" s="33">
        <v>6.3</v>
      </c>
      <c r="AQ15" s="33">
        <v>6.55</v>
      </c>
      <c r="AR15" s="44">
        <v>6.98</v>
      </c>
      <c r="AS15" s="33">
        <v>4.6399999999999997</v>
      </c>
      <c r="AT15" s="44">
        <v>5.12</v>
      </c>
      <c r="AU15" s="33">
        <v>6.75</v>
      </c>
      <c r="AV15" s="33">
        <v>3.51</v>
      </c>
      <c r="AW15" s="44">
        <v>4.6500000000000004</v>
      </c>
      <c r="AX15" s="33">
        <v>6.03</v>
      </c>
      <c r="AY15" s="33">
        <v>8.86</v>
      </c>
      <c r="AZ15" s="33">
        <v>4.07</v>
      </c>
      <c r="BA15" s="33"/>
      <c r="BB15" s="33"/>
      <c r="BC15" s="51"/>
      <c r="BD15" s="51"/>
    </row>
    <row r="16" spans="1:56" s="48" customFormat="1" x14ac:dyDescent="0.3">
      <c r="A16" s="102"/>
      <c r="B16" s="49" t="s">
        <v>39</v>
      </c>
      <c r="C16" s="46">
        <v>-0.39</v>
      </c>
      <c r="D16" s="46">
        <v>4.05</v>
      </c>
      <c r="E16" s="46">
        <v>5.21</v>
      </c>
      <c r="F16" s="46">
        <v>5.99</v>
      </c>
      <c r="G16" s="46">
        <v>5.23</v>
      </c>
      <c r="H16" s="46">
        <v>4.79</v>
      </c>
      <c r="I16" s="46"/>
      <c r="J16" s="46">
        <v>6.53</v>
      </c>
      <c r="K16" s="46">
        <v>6.04</v>
      </c>
      <c r="L16" s="86">
        <v>5.19</v>
      </c>
      <c r="M16" s="46">
        <v>5.87</v>
      </c>
      <c r="N16" s="46">
        <v>4.8</v>
      </c>
      <c r="O16" s="46">
        <v>6.14</v>
      </c>
      <c r="P16" s="46">
        <v>8.8699999999999992</v>
      </c>
      <c r="Q16" s="80">
        <v>5.17</v>
      </c>
      <c r="R16" s="80">
        <v>5.75</v>
      </c>
      <c r="S16" s="80">
        <v>4.8499999999999996</v>
      </c>
      <c r="T16" s="46">
        <v>6.5</v>
      </c>
      <c r="U16" s="46">
        <v>6.21</v>
      </c>
      <c r="V16" s="46">
        <v>6.95</v>
      </c>
      <c r="W16" s="86">
        <v>5.01</v>
      </c>
      <c r="X16" s="46">
        <v>6.26</v>
      </c>
      <c r="Y16" s="46">
        <v>5.88</v>
      </c>
      <c r="Z16" s="46">
        <v>6.72</v>
      </c>
      <c r="AA16" s="46">
        <v>4.03</v>
      </c>
      <c r="AB16" s="46">
        <v>4.29</v>
      </c>
      <c r="AC16" s="46">
        <v>4.91</v>
      </c>
      <c r="AD16" s="46">
        <v>7.33</v>
      </c>
      <c r="AE16" s="46">
        <v>4.58</v>
      </c>
      <c r="AF16" s="46">
        <v>7.01</v>
      </c>
      <c r="AG16" s="46">
        <v>6.17</v>
      </c>
      <c r="AH16" s="46">
        <v>6.56</v>
      </c>
      <c r="AI16" s="46">
        <v>6.36</v>
      </c>
      <c r="AJ16" s="46">
        <v>4.82</v>
      </c>
      <c r="AK16" s="46">
        <v>5.17</v>
      </c>
      <c r="AL16" s="46">
        <v>5.68</v>
      </c>
      <c r="AM16" s="46">
        <v>6.12</v>
      </c>
      <c r="AN16" s="47">
        <v>5.14</v>
      </c>
      <c r="AO16" s="47">
        <v>5.56</v>
      </c>
      <c r="AP16" s="47">
        <v>6.42</v>
      </c>
      <c r="AQ16" s="47">
        <v>6.73</v>
      </c>
      <c r="AR16" s="47">
        <v>7.18</v>
      </c>
      <c r="AS16" s="47">
        <v>4.87</v>
      </c>
      <c r="AT16" s="47">
        <v>5.4</v>
      </c>
      <c r="AU16" s="47">
        <v>6.86</v>
      </c>
      <c r="AV16" s="47">
        <v>3.8</v>
      </c>
      <c r="AW16" s="47">
        <v>4.8099999999999996</v>
      </c>
      <c r="AX16" s="47">
        <v>6.13</v>
      </c>
      <c r="AY16" s="47">
        <v>8.8800000000000008</v>
      </c>
      <c r="AZ16" s="47">
        <v>4.3499999999999996</v>
      </c>
      <c r="BA16" s="47"/>
      <c r="BB16" s="47"/>
      <c r="BC16" s="60"/>
      <c r="BD16" s="60"/>
    </row>
    <row r="17" spans="1:56" s="48" customFormat="1" x14ac:dyDescent="0.3">
      <c r="A17" s="102"/>
      <c r="B17" s="49" t="s">
        <v>26</v>
      </c>
      <c r="C17" s="46">
        <v>21.01</v>
      </c>
      <c r="D17" s="46">
        <v>20.23</v>
      </c>
      <c r="E17" s="46">
        <v>17.73</v>
      </c>
      <c r="F17" s="46">
        <v>12.83</v>
      </c>
      <c r="G17" s="46">
        <v>2.19</v>
      </c>
      <c r="H17" s="46">
        <v>1.8</v>
      </c>
      <c r="I17" s="46"/>
      <c r="J17" s="46">
        <v>9.2799999999999994</v>
      </c>
      <c r="K17" s="46">
        <v>10.66</v>
      </c>
      <c r="L17" s="86">
        <v>3.21</v>
      </c>
      <c r="M17" s="46">
        <v>3.47</v>
      </c>
      <c r="N17" s="46">
        <v>4.1399999999999997</v>
      </c>
      <c r="O17" s="46">
        <v>10.050000000000001</v>
      </c>
      <c r="P17" s="46">
        <v>6.15</v>
      </c>
      <c r="Q17" s="80">
        <v>3.17</v>
      </c>
      <c r="R17" s="80">
        <v>3.67</v>
      </c>
      <c r="S17" s="80">
        <v>4.95</v>
      </c>
      <c r="T17" s="46">
        <v>5.28</v>
      </c>
      <c r="U17" s="46">
        <v>4.99</v>
      </c>
      <c r="V17" s="46">
        <v>5.57</v>
      </c>
      <c r="W17" s="86">
        <v>5</v>
      </c>
      <c r="X17" s="46">
        <v>5.08</v>
      </c>
      <c r="Y17" s="46">
        <v>4.79</v>
      </c>
      <c r="Z17" s="46">
        <v>5.43</v>
      </c>
      <c r="AA17" s="46">
        <v>2.29</v>
      </c>
      <c r="AB17" s="46">
        <v>2.52</v>
      </c>
      <c r="AC17" s="46">
        <v>3.3</v>
      </c>
      <c r="AD17" s="46">
        <v>5.29</v>
      </c>
      <c r="AE17" s="46">
        <v>2.42</v>
      </c>
      <c r="AF17" s="46">
        <v>6.3</v>
      </c>
      <c r="AG17" s="46">
        <v>6.1</v>
      </c>
      <c r="AH17" s="46">
        <v>5.55</v>
      </c>
      <c r="AI17" s="46">
        <v>5.45</v>
      </c>
      <c r="AJ17" s="46">
        <v>3.23</v>
      </c>
      <c r="AK17" s="46">
        <v>3.51</v>
      </c>
      <c r="AL17" s="46">
        <v>3.94</v>
      </c>
      <c r="AM17" s="46">
        <v>4.2300000000000004</v>
      </c>
      <c r="AN17" s="47">
        <v>2.5299999999999998</v>
      </c>
      <c r="AO17" s="47">
        <v>2.89</v>
      </c>
      <c r="AP17" s="47">
        <v>5.5</v>
      </c>
      <c r="AQ17" s="47">
        <v>5.75</v>
      </c>
      <c r="AR17" s="47">
        <v>6.11</v>
      </c>
      <c r="AS17" s="47">
        <v>3.34</v>
      </c>
      <c r="AT17" s="47">
        <v>3.76</v>
      </c>
      <c r="AU17" s="47">
        <v>5.14</v>
      </c>
      <c r="AV17" s="47">
        <v>2</v>
      </c>
      <c r="AW17" s="47">
        <v>2.9</v>
      </c>
      <c r="AX17" s="47">
        <v>3.99</v>
      </c>
      <c r="AY17" s="47">
        <v>7.2</v>
      </c>
      <c r="AZ17" s="47">
        <v>3.3</v>
      </c>
      <c r="BA17" s="47"/>
      <c r="BB17" s="47"/>
      <c r="BC17" s="60"/>
      <c r="BD17" s="60"/>
    </row>
    <row r="18" spans="1:56" x14ac:dyDescent="0.3">
      <c r="A18" s="102"/>
      <c r="B18" s="3" t="s">
        <v>8</v>
      </c>
      <c r="C18" s="3">
        <v>20.51</v>
      </c>
      <c r="D18" s="39">
        <v>19.59</v>
      </c>
      <c r="E18" s="39">
        <v>16.760000000000002</v>
      </c>
      <c r="F18" s="39">
        <v>11.52</v>
      </c>
      <c r="G18" s="3">
        <v>1.29</v>
      </c>
      <c r="H18" s="39">
        <v>0.9</v>
      </c>
      <c r="I18" s="3"/>
      <c r="J18" s="3">
        <v>8.98</v>
      </c>
      <c r="K18" s="3">
        <v>10.3</v>
      </c>
      <c r="L18" s="86">
        <v>2.74</v>
      </c>
      <c r="M18" s="3">
        <v>2.87</v>
      </c>
      <c r="N18" s="3">
        <v>3.53</v>
      </c>
      <c r="O18" s="39">
        <v>9.5500000000000007</v>
      </c>
      <c r="P18" s="3">
        <v>5.41</v>
      </c>
      <c r="Q18" s="80">
        <v>2.59</v>
      </c>
      <c r="R18" s="80">
        <v>3.04</v>
      </c>
      <c r="S18" s="80">
        <v>2.34</v>
      </c>
      <c r="T18" s="39">
        <v>4.8</v>
      </c>
      <c r="U18" s="3">
        <v>4.58</v>
      </c>
      <c r="V18" s="3">
        <v>5.0599999999999996</v>
      </c>
      <c r="W18" s="86">
        <v>1.28</v>
      </c>
      <c r="X18" s="39">
        <v>4.59</v>
      </c>
      <c r="Y18" s="3">
        <v>4.3099999999999996</v>
      </c>
      <c r="Z18" s="3">
        <v>4.9000000000000004</v>
      </c>
      <c r="AA18" s="3">
        <v>1.72</v>
      </c>
      <c r="AB18" s="3">
        <v>1.88</v>
      </c>
      <c r="AC18" s="39">
        <v>2.3199999999999998</v>
      </c>
      <c r="AD18" s="3">
        <v>4.21</v>
      </c>
      <c r="AE18" s="39">
        <v>0.97</v>
      </c>
      <c r="AF18" s="3">
        <v>5.2</v>
      </c>
      <c r="AG18" s="3">
        <v>4.59</v>
      </c>
      <c r="AH18" s="39">
        <v>5.44</v>
      </c>
      <c r="AI18" s="3">
        <v>5.24</v>
      </c>
      <c r="AJ18" s="3">
        <v>2.75</v>
      </c>
      <c r="AK18" s="3">
        <v>2.97</v>
      </c>
      <c r="AL18" s="39">
        <v>3.22</v>
      </c>
      <c r="AM18" s="3">
        <v>3.5</v>
      </c>
      <c r="AN18" s="44">
        <v>1.56</v>
      </c>
      <c r="AO18" s="33">
        <v>1.91</v>
      </c>
      <c r="AP18" s="33">
        <v>5.14</v>
      </c>
      <c r="AQ18" s="33">
        <v>5.38</v>
      </c>
      <c r="AR18" s="44">
        <v>5.65</v>
      </c>
      <c r="AS18" s="33">
        <v>2.69</v>
      </c>
      <c r="AT18" s="44">
        <v>3.13</v>
      </c>
      <c r="AU18" s="33">
        <v>4.3499999999999996</v>
      </c>
      <c r="AV18" s="33">
        <v>0.9</v>
      </c>
      <c r="AW18" s="44">
        <v>1.76</v>
      </c>
      <c r="AX18" s="33">
        <v>2.72</v>
      </c>
      <c r="AY18" s="33">
        <v>5.92</v>
      </c>
      <c r="AZ18" s="33">
        <v>2.2400000000000002</v>
      </c>
      <c r="BA18" s="33"/>
      <c r="BB18" s="33"/>
      <c r="BC18" s="51"/>
      <c r="BD18" s="51"/>
    </row>
    <row r="19" spans="1:56" x14ac:dyDescent="0.3">
      <c r="A19" s="102"/>
      <c r="B19" s="3" t="s">
        <v>9</v>
      </c>
      <c r="C19" s="3">
        <v>21.22</v>
      </c>
      <c r="D19" s="39">
        <v>20.239999999999998</v>
      </c>
      <c r="E19" s="39">
        <v>17.29</v>
      </c>
      <c r="F19" s="39">
        <v>11.55</v>
      </c>
      <c r="G19" s="3">
        <v>0.82</v>
      </c>
      <c r="H19" s="39">
        <v>0.45</v>
      </c>
      <c r="I19" s="3"/>
      <c r="J19" s="3">
        <v>9.74</v>
      </c>
      <c r="K19" s="3">
        <v>10.86</v>
      </c>
      <c r="L19" s="86">
        <v>2.98</v>
      </c>
      <c r="M19" s="3">
        <v>2.52</v>
      </c>
      <c r="N19" s="3">
        <v>3.81</v>
      </c>
      <c r="O19" s="39">
        <v>10.199999999999999</v>
      </c>
      <c r="P19" s="3">
        <v>5.08</v>
      </c>
      <c r="Q19" s="80">
        <v>2.19</v>
      </c>
      <c r="R19" s="80">
        <v>2.68</v>
      </c>
      <c r="S19" s="80">
        <v>1.96</v>
      </c>
      <c r="T19" s="39">
        <v>4.6100000000000003</v>
      </c>
      <c r="U19" s="3">
        <v>4.3099999999999996</v>
      </c>
      <c r="V19" s="3">
        <v>4.8899999999999997</v>
      </c>
      <c r="W19" s="86">
        <v>0.81</v>
      </c>
      <c r="X19" s="39">
        <v>4.3499999999999996</v>
      </c>
      <c r="Y19" s="3">
        <v>4.01</v>
      </c>
      <c r="Z19" s="3">
        <v>4.68</v>
      </c>
      <c r="AA19" s="3">
        <v>1.38</v>
      </c>
      <c r="AB19" s="3">
        <v>1.51</v>
      </c>
      <c r="AC19" s="39">
        <v>2.02</v>
      </c>
      <c r="AD19" s="3">
        <v>3.92</v>
      </c>
      <c r="AE19" s="39">
        <v>0.57999999999999996</v>
      </c>
      <c r="AF19" s="3">
        <v>5.04</v>
      </c>
      <c r="AG19" s="3">
        <v>4.33</v>
      </c>
      <c r="AH19" s="39">
        <v>5.07</v>
      </c>
      <c r="AI19" s="3">
        <v>4.8600000000000003</v>
      </c>
      <c r="AJ19" s="3">
        <v>2.3199999999999998</v>
      </c>
      <c r="AK19" s="3">
        <v>2.59</v>
      </c>
      <c r="AL19" s="39">
        <v>2.88</v>
      </c>
      <c r="AM19" s="3">
        <v>3.22</v>
      </c>
      <c r="AN19" s="44">
        <v>1.1299999999999999</v>
      </c>
      <c r="AO19" s="33">
        <v>1.51</v>
      </c>
      <c r="AP19" s="33">
        <v>4.88</v>
      </c>
      <c r="AQ19" s="33">
        <v>4.99</v>
      </c>
      <c r="AR19" s="44">
        <v>5.35</v>
      </c>
      <c r="AS19" s="33">
        <v>2.38</v>
      </c>
      <c r="AT19" s="44">
        <v>2.73</v>
      </c>
      <c r="AU19" s="33">
        <v>4.01</v>
      </c>
      <c r="AV19" s="33">
        <v>0.42</v>
      </c>
      <c r="AW19" s="44">
        <v>1.28</v>
      </c>
      <c r="AX19" s="33">
        <v>2.35</v>
      </c>
      <c r="AY19" s="33">
        <v>5.68</v>
      </c>
      <c r="AZ19" s="33">
        <v>1.99</v>
      </c>
      <c r="BA19" s="33"/>
      <c r="BB19" s="33"/>
      <c r="BC19" s="51"/>
      <c r="BD19" s="51"/>
    </row>
    <row r="20" spans="1:56" x14ac:dyDescent="0.3">
      <c r="A20" s="102"/>
      <c r="B20" s="3" t="s">
        <v>10</v>
      </c>
      <c r="C20" s="3">
        <v>21.07</v>
      </c>
      <c r="D20" s="39">
        <v>19.78</v>
      </c>
      <c r="E20" s="39">
        <v>16.309999999999999</v>
      </c>
      <c r="F20" s="39">
        <v>10.039999999999999</v>
      </c>
      <c r="G20" s="3">
        <v>-1.43</v>
      </c>
      <c r="H20" s="39">
        <v>-1.79</v>
      </c>
      <c r="I20" s="3"/>
      <c r="J20" s="3">
        <v>9.14</v>
      </c>
      <c r="K20" s="3">
        <v>10.64</v>
      </c>
      <c r="L20" s="86">
        <v>1.98</v>
      </c>
      <c r="M20" s="3">
        <v>1.25</v>
      </c>
      <c r="N20" s="3">
        <v>3</v>
      </c>
      <c r="O20" s="39">
        <v>9.9</v>
      </c>
      <c r="P20" s="3">
        <v>3.24</v>
      </c>
      <c r="Q20" s="80">
        <v>0.64</v>
      </c>
      <c r="R20" s="80">
        <v>1.04</v>
      </c>
      <c r="S20" s="80">
        <v>0.43</v>
      </c>
      <c r="T20" s="39">
        <v>3.47</v>
      </c>
      <c r="U20" s="3">
        <v>3.26</v>
      </c>
      <c r="V20" s="3">
        <v>3.75</v>
      </c>
      <c r="W20" s="86">
        <v>-1.28</v>
      </c>
      <c r="X20" s="39">
        <v>3.26</v>
      </c>
      <c r="Y20" s="3">
        <v>2.91</v>
      </c>
      <c r="Z20" s="3">
        <v>3.52</v>
      </c>
      <c r="AA20" s="3">
        <v>-7.0000000000000007E-2</v>
      </c>
      <c r="AB20" s="3">
        <v>0.03</v>
      </c>
      <c r="AC20" s="39">
        <v>0.44</v>
      </c>
      <c r="AD20" s="3">
        <v>2.23</v>
      </c>
      <c r="AE20" s="39">
        <v>-1.5</v>
      </c>
      <c r="AF20" s="3">
        <v>3.88</v>
      </c>
      <c r="AG20" s="3">
        <v>3.31</v>
      </c>
      <c r="AH20" s="39">
        <v>4.1100000000000003</v>
      </c>
      <c r="AI20" s="3">
        <v>3.89</v>
      </c>
      <c r="AJ20" s="3">
        <v>0.9</v>
      </c>
      <c r="AK20" s="3">
        <v>1.1399999999999999</v>
      </c>
      <c r="AL20" s="39">
        <v>1.36</v>
      </c>
      <c r="AM20" s="3">
        <v>1.67</v>
      </c>
      <c r="AN20" s="44">
        <v>-0.92</v>
      </c>
      <c r="AO20" s="33">
        <v>-0.59</v>
      </c>
      <c r="AP20" s="33">
        <v>3.93</v>
      </c>
      <c r="AQ20" s="33">
        <v>3.95</v>
      </c>
      <c r="AR20" s="44">
        <v>4.28</v>
      </c>
      <c r="AS20" s="33">
        <v>0.92</v>
      </c>
      <c r="AT20" s="44">
        <v>1.22</v>
      </c>
      <c r="AU20" s="33">
        <v>2.35</v>
      </c>
      <c r="AV20" s="33">
        <v>-1.52</v>
      </c>
      <c r="AW20" s="44">
        <v>-0.8</v>
      </c>
      <c r="AX20" s="33">
        <v>0.11</v>
      </c>
      <c r="AY20" s="33">
        <v>3.83</v>
      </c>
      <c r="AZ20" s="33">
        <v>0.57999999999999996</v>
      </c>
      <c r="BA20" s="33"/>
      <c r="BB20" s="33"/>
      <c r="BC20" s="51"/>
      <c r="BD20" s="51"/>
    </row>
    <row r="21" spans="1:56" x14ac:dyDescent="0.3">
      <c r="A21" s="103"/>
      <c r="B21" s="3" t="s">
        <v>11</v>
      </c>
      <c r="C21" s="3">
        <v>35</v>
      </c>
      <c r="D21" s="39">
        <v>35.57</v>
      </c>
      <c r="E21" s="39">
        <v>35.39</v>
      </c>
      <c r="F21" s="39">
        <v>34.85</v>
      </c>
      <c r="G21" s="3">
        <v>32.74</v>
      </c>
      <c r="H21" s="39">
        <v>32.89</v>
      </c>
      <c r="I21" s="3"/>
      <c r="J21" s="3">
        <v>33.97</v>
      </c>
      <c r="K21" s="3">
        <v>34.020000000000003</v>
      </c>
      <c r="L21" s="86">
        <v>33.01</v>
      </c>
      <c r="M21" s="3">
        <v>33.24</v>
      </c>
      <c r="N21" s="3">
        <v>33.119999999999997</v>
      </c>
      <c r="O21" s="39">
        <v>33.76</v>
      </c>
      <c r="P21" s="3">
        <v>32.58</v>
      </c>
      <c r="Q21" s="80">
        <v>32.29</v>
      </c>
      <c r="R21" s="80">
        <v>32.51</v>
      </c>
      <c r="S21" s="80">
        <v>31.94</v>
      </c>
      <c r="T21" s="39">
        <v>32.770000000000003</v>
      </c>
      <c r="U21" s="3">
        <v>32.549999999999997</v>
      </c>
      <c r="V21" s="3">
        <v>33.119999999999997</v>
      </c>
      <c r="W21" s="86">
        <v>33.31</v>
      </c>
      <c r="X21" s="39">
        <v>32.61</v>
      </c>
      <c r="Y21" s="3">
        <v>32.28</v>
      </c>
      <c r="Z21" s="3">
        <v>32.909999999999997</v>
      </c>
      <c r="AA21" s="3">
        <v>32.07</v>
      </c>
      <c r="AB21" s="3">
        <v>32.29</v>
      </c>
      <c r="AC21" s="39">
        <v>32.799999999999997</v>
      </c>
      <c r="AD21" s="3">
        <v>33.07</v>
      </c>
      <c r="AE21" s="39">
        <v>33.020000000000003</v>
      </c>
      <c r="AF21" s="3">
        <v>32.979999999999997</v>
      </c>
      <c r="AG21" s="3">
        <v>32.479999999999997</v>
      </c>
      <c r="AH21" s="39">
        <v>32.35</v>
      </c>
      <c r="AI21" s="3">
        <v>32.1</v>
      </c>
      <c r="AJ21" s="3">
        <v>32.15</v>
      </c>
      <c r="AK21" s="3">
        <v>32.520000000000003</v>
      </c>
      <c r="AL21" s="39">
        <v>32.43</v>
      </c>
      <c r="AM21" s="3">
        <v>32.840000000000003</v>
      </c>
      <c r="AN21" s="44">
        <v>33.03</v>
      </c>
      <c r="AO21" s="33">
        <v>33</v>
      </c>
      <c r="AP21" s="33">
        <v>31.24</v>
      </c>
      <c r="AQ21" s="33">
        <v>31.27</v>
      </c>
      <c r="AR21" s="44">
        <v>31.06</v>
      </c>
      <c r="AS21" s="33">
        <v>28.64</v>
      </c>
      <c r="AT21" s="44">
        <v>27.84</v>
      </c>
      <c r="AU21" s="33">
        <v>24.92</v>
      </c>
      <c r="AV21" s="33">
        <v>25.69</v>
      </c>
      <c r="AW21" s="44">
        <v>23.17</v>
      </c>
      <c r="AX21" s="33">
        <v>20.18</v>
      </c>
      <c r="AY21" s="33">
        <v>21.08</v>
      </c>
      <c r="AZ21" s="33">
        <v>27.67</v>
      </c>
      <c r="BA21" s="33"/>
      <c r="BB21" s="33"/>
      <c r="BC21" s="51"/>
      <c r="BD21" s="51"/>
    </row>
    <row r="22" spans="1:56" x14ac:dyDescent="0.3">
      <c r="A22" s="104" t="s">
        <v>33</v>
      </c>
      <c r="B22" s="2" t="s">
        <v>12</v>
      </c>
      <c r="C22" s="7">
        <v>3.03</v>
      </c>
      <c r="D22" s="40">
        <v>3.42</v>
      </c>
      <c r="E22" s="40">
        <v>3.32</v>
      </c>
      <c r="F22" s="40">
        <v>3.18</v>
      </c>
      <c r="G22" s="7">
        <v>3.27</v>
      </c>
      <c r="H22" s="40">
        <v>3.24</v>
      </c>
      <c r="I22" s="7"/>
      <c r="J22" s="7">
        <v>3.71</v>
      </c>
      <c r="K22" s="7">
        <v>3.66</v>
      </c>
      <c r="L22" s="87">
        <v>3.42</v>
      </c>
      <c r="M22" s="7">
        <v>3.47</v>
      </c>
      <c r="N22" s="7">
        <v>3.39</v>
      </c>
      <c r="O22" s="40">
        <v>3.68</v>
      </c>
      <c r="P22" s="7">
        <v>3.71</v>
      </c>
      <c r="Q22" s="81">
        <v>3.48</v>
      </c>
      <c r="R22" s="81">
        <v>3.52</v>
      </c>
      <c r="S22" s="81">
        <v>3.46</v>
      </c>
      <c r="T22" s="40">
        <v>3.75</v>
      </c>
      <c r="U22" s="7">
        <v>3.73</v>
      </c>
      <c r="V22" s="7">
        <v>3.78</v>
      </c>
      <c r="W22" s="87">
        <v>3.28</v>
      </c>
      <c r="X22" s="40">
        <v>3.74</v>
      </c>
      <c r="Y22" s="7">
        <v>3.72</v>
      </c>
      <c r="Z22" s="7">
        <v>3.77</v>
      </c>
      <c r="AA22" s="7">
        <v>3.41</v>
      </c>
      <c r="AB22" s="7">
        <v>3.42</v>
      </c>
      <c r="AC22" s="40">
        <v>3.46</v>
      </c>
      <c r="AD22" s="7">
        <v>3.63</v>
      </c>
      <c r="AE22" s="40">
        <v>3.27</v>
      </c>
      <c r="AF22" s="7">
        <v>3.82</v>
      </c>
      <c r="AG22" s="7">
        <v>3.76</v>
      </c>
      <c r="AH22" s="40">
        <v>3.8</v>
      </c>
      <c r="AI22" s="7">
        <v>3.79</v>
      </c>
      <c r="AJ22" s="7">
        <v>3.5</v>
      </c>
      <c r="AK22" s="7">
        <v>3.52</v>
      </c>
      <c r="AL22" s="40">
        <v>3.56</v>
      </c>
      <c r="AM22" s="7">
        <v>3.59</v>
      </c>
      <c r="AN22" s="45">
        <v>3.34</v>
      </c>
      <c r="AO22" s="32">
        <v>3.36</v>
      </c>
      <c r="AP22" s="32">
        <v>3.8</v>
      </c>
      <c r="AQ22" s="32">
        <v>3.82</v>
      </c>
      <c r="AR22" s="45">
        <v>3.85</v>
      </c>
      <c r="AS22" s="32">
        <v>3.51</v>
      </c>
      <c r="AT22" s="45">
        <v>3.54</v>
      </c>
      <c r="AU22" s="32">
        <v>3.65</v>
      </c>
      <c r="AV22" s="32">
        <v>3.28</v>
      </c>
      <c r="AW22" s="45">
        <v>3.34</v>
      </c>
      <c r="AX22" s="32">
        <v>3.42</v>
      </c>
      <c r="AY22" s="32">
        <v>3.8</v>
      </c>
      <c r="AZ22" s="32">
        <v>3.49</v>
      </c>
      <c r="BA22" s="32"/>
      <c r="BB22" s="32"/>
      <c r="BC22" s="51"/>
      <c r="BD22" s="51"/>
    </row>
    <row r="23" spans="1:56" s="77" customFormat="1" x14ac:dyDescent="0.3">
      <c r="A23" s="105"/>
      <c r="B23" s="74" t="s">
        <v>42</v>
      </c>
      <c r="C23" s="75">
        <v>7.85</v>
      </c>
      <c r="D23" s="75">
        <v>8.51</v>
      </c>
      <c r="E23" s="75">
        <v>8.59</v>
      </c>
      <c r="F23" s="75">
        <v>8.6199999999999992</v>
      </c>
      <c r="G23" s="75">
        <v>9.0500000000000007</v>
      </c>
      <c r="H23" s="75">
        <v>9.14</v>
      </c>
      <c r="I23" s="75"/>
      <c r="J23" s="75">
        <v>9.1199999999999992</v>
      </c>
      <c r="K23" s="75">
        <v>9.2799999999999994</v>
      </c>
      <c r="L23" s="87">
        <v>9.2799999999999994</v>
      </c>
      <c r="M23" s="75">
        <v>9.1</v>
      </c>
      <c r="N23" s="75">
        <v>9.4</v>
      </c>
      <c r="O23" s="75">
        <v>9.2200000000000006</v>
      </c>
      <c r="P23" s="75">
        <v>8.6</v>
      </c>
      <c r="Q23" s="81">
        <v>9.27</v>
      </c>
      <c r="R23" s="81">
        <v>9.1199999999999992</v>
      </c>
      <c r="S23" s="81">
        <v>9.3699999999999992</v>
      </c>
      <c r="T23" s="75">
        <v>9.23</v>
      </c>
      <c r="U23" s="75">
        <v>9.3800000000000008</v>
      </c>
      <c r="V23" s="75">
        <v>9.06</v>
      </c>
      <c r="W23" s="87">
        <v>9.08</v>
      </c>
      <c r="X23" s="75">
        <v>9.2200000000000006</v>
      </c>
      <c r="Y23" s="75">
        <v>9.3800000000000008</v>
      </c>
      <c r="Z23" s="75">
        <v>9.0500000000000007</v>
      </c>
      <c r="AA23" s="75">
        <v>9.56</v>
      </c>
      <c r="AB23" s="75">
        <v>9.39</v>
      </c>
      <c r="AC23" s="75">
        <v>9.1999999999999993</v>
      </c>
      <c r="AD23" s="75">
        <v>8.73</v>
      </c>
      <c r="AE23" s="75">
        <v>9.06</v>
      </c>
      <c r="AF23" s="75">
        <v>8.94</v>
      </c>
      <c r="AG23" s="75">
        <v>9.19</v>
      </c>
      <c r="AH23" s="75">
        <v>9.4</v>
      </c>
      <c r="AI23" s="75">
        <v>9.58</v>
      </c>
      <c r="AJ23" s="75">
        <v>9.58</v>
      </c>
      <c r="AK23" s="75">
        <v>9.39</v>
      </c>
      <c r="AL23" s="75">
        <v>9.1999999999999993</v>
      </c>
      <c r="AM23" s="75">
        <v>9.06</v>
      </c>
      <c r="AN23" s="75">
        <v>9.1199999999999992</v>
      </c>
      <c r="AO23" s="75">
        <v>9.02</v>
      </c>
      <c r="AP23" s="75">
        <v>9.4600000000000009</v>
      </c>
      <c r="AQ23" s="75">
        <v>9.2200000000000006</v>
      </c>
      <c r="AR23" s="75">
        <v>9.01</v>
      </c>
      <c r="AS23" s="75">
        <v>9.43</v>
      </c>
      <c r="AT23" s="75">
        <v>9.2100000000000009</v>
      </c>
      <c r="AU23" s="75">
        <v>8.9</v>
      </c>
      <c r="AV23" s="75">
        <v>9.43</v>
      </c>
      <c r="AW23" s="75">
        <v>9.2100000000000009</v>
      </c>
      <c r="AX23" s="75">
        <v>9.01</v>
      </c>
      <c r="AY23" s="75">
        <v>8.6999999999999993</v>
      </c>
      <c r="AZ23" s="75">
        <v>9.6300000000000008</v>
      </c>
      <c r="BA23" s="75"/>
      <c r="BB23" s="75"/>
      <c r="BC23" s="76"/>
      <c r="BD23" s="76"/>
    </row>
    <row r="24" spans="1:56" x14ac:dyDescent="0.3">
      <c r="A24" s="105"/>
      <c r="B24" s="2" t="s">
        <v>88</v>
      </c>
      <c r="C24" s="7">
        <v>7.8730000000000002</v>
      </c>
      <c r="D24" s="40">
        <v>8.5310000000000006</v>
      </c>
      <c r="E24" s="40">
        <v>8.5139999999999993</v>
      </c>
      <c r="F24" s="40">
        <v>8.6080000000000005</v>
      </c>
      <c r="G24" s="7">
        <v>9.0180000000000007</v>
      </c>
      <c r="H24" s="40">
        <v>9.1340000000000003</v>
      </c>
      <c r="I24" s="7"/>
      <c r="J24" s="7">
        <v>9.1199999999999992</v>
      </c>
      <c r="K24" s="7">
        <v>9.2829999999999995</v>
      </c>
      <c r="L24" s="87">
        <v>9.2829999999999995</v>
      </c>
      <c r="M24" s="7">
        <v>9.0980000000000008</v>
      </c>
      <c r="N24" s="7">
        <v>9.3989999999999991</v>
      </c>
      <c r="O24" s="40">
        <v>9.25</v>
      </c>
      <c r="P24" s="7">
        <v>8.5839999999999996</v>
      </c>
      <c r="Q24" s="81">
        <v>9.2439999999999998</v>
      </c>
      <c r="R24" s="81">
        <v>9.1029999999999998</v>
      </c>
      <c r="S24" s="81">
        <v>9.3710000000000004</v>
      </c>
      <c r="T24" s="40">
        <v>9.2639999999999993</v>
      </c>
      <c r="U24" s="7">
        <v>9.3770000000000007</v>
      </c>
      <c r="V24" s="7">
        <v>9.0869999999999997</v>
      </c>
      <c r="W24" s="87">
        <v>9.0559999999999992</v>
      </c>
      <c r="X24" s="40">
        <v>9.2550000000000008</v>
      </c>
      <c r="Y24" s="7">
        <v>9.3989999999999991</v>
      </c>
      <c r="Z24" s="7">
        <v>9.0809999999999995</v>
      </c>
      <c r="AA24" s="7">
        <v>9.5429999999999993</v>
      </c>
      <c r="AB24" s="7">
        <v>9.3989999999999991</v>
      </c>
      <c r="AC24" s="40">
        <v>9.1999999999999993</v>
      </c>
      <c r="AD24" s="7">
        <v>8.6999999999999993</v>
      </c>
      <c r="AE24" s="40">
        <v>9.0399999999999991</v>
      </c>
      <c r="AF24" s="7">
        <v>8.9710000000000001</v>
      </c>
      <c r="AG24" s="7">
        <v>9.1890000000000001</v>
      </c>
      <c r="AH24" s="40">
        <v>9.4130000000000003</v>
      </c>
      <c r="AI24" s="7">
        <v>9.609</v>
      </c>
      <c r="AJ24" s="7">
        <v>9.6059999999999999</v>
      </c>
      <c r="AK24" s="7">
        <v>9.391</v>
      </c>
      <c r="AL24" s="40">
        <v>9.2330000000000005</v>
      </c>
      <c r="AM24" s="7">
        <v>9.0809999999999995</v>
      </c>
      <c r="AN24" s="40">
        <v>9.1120000000000001</v>
      </c>
      <c r="AO24" s="7">
        <v>8.9870000000000001</v>
      </c>
      <c r="AP24" s="7">
        <v>9.4979999999999993</v>
      </c>
      <c r="AQ24" s="7">
        <v>9.2360000000000007</v>
      </c>
      <c r="AR24" s="40">
        <v>9.0229999999999997</v>
      </c>
      <c r="AS24" s="7">
        <v>9.4209999999999994</v>
      </c>
      <c r="AT24" s="40">
        <v>9.2189999999999994</v>
      </c>
      <c r="AU24" s="7">
        <v>8.9149999999999991</v>
      </c>
      <c r="AV24" s="7">
        <v>9.3930000000000007</v>
      </c>
      <c r="AW24" s="40">
        <v>9.1780000000000008</v>
      </c>
      <c r="AX24" s="7">
        <v>8.9710000000000001</v>
      </c>
      <c r="AY24" s="7">
        <v>8.6549999999999994</v>
      </c>
      <c r="AZ24" s="7">
        <v>9.6229999999999993</v>
      </c>
      <c r="BA24" s="7"/>
      <c r="BB24" s="7"/>
      <c r="BC24" s="51"/>
      <c r="BD24" s="51"/>
    </row>
    <row r="25" spans="1:56" x14ac:dyDescent="0.3">
      <c r="A25" s="105"/>
      <c r="B25" s="2" t="s">
        <v>89</v>
      </c>
      <c r="C25" s="7">
        <v>7.84</v>
      </c>
      <c r="D25" s="40">
        <v>8.484</v>
      </c>
      <c r="E25" s="40">
        <v>8.5139999999999993</v>
      </c>
      <c r="F25" s="40">
        <v>8.4809999999999999</v>
      </c>
      <c r="G25" s="7">
        <v>8.8819999999999997</v>
      </c>
      <c r="H25" s="40">
        <v>8.9730000000000008</v>
      </c>
      <c r="I25" s="7"/>
      <c r="J25" s="7">
        <v>9.0730000000000004</v>
      </c>
      <c r="K25" s="7">
        <v>9.2439999999999998</v>
      </c>
      <c r="L25" s="87">
        <v>9.1829999999999998</v>
      </c>
      <c r="M25" s="7">
        <v>9.09</v>
      </c>
      <c r="N25" s="7">
        <v>9.3309999999999995</v>
      </c>
      <c r="O25" s="40">
        <v>9.1890000000000001</v>
      </c>
      <c r="P25" s="7">
        <v>8.4339999999999993</v>
      </c>
      <c r="Q25" s="81">
        <v>9.17</v>
      </c>
      <c r="R25" s="81">
        <v>8.9949999999999992</v>
      </c>
      <c r="S25" s="81">
        <v>9.2769999999999992</v>
      </c>
      <c r="T25" s="40">
        <v>9.1890000000000001</v>
      </c>
      <c r="U25" s="7">
        <v>9.3439999999999994</v>
      </c>
      <c r="V25" s="7">
        <v>9.0060000000000002</v>
      </c>
      <c r="W25" s="87">
        <v>9.0419999999999998</v>
      </c>
      <c r="X25" s="40">
        <v>9.2029999999999994</v>
      </c>
      <c r="Y25" s="7">
        <v>9.3659999999999997</v>
      </c>
      <c r="Z25" s="7">
        <v>9.0009999999999994</v>
      </c>
      <c r="AA25" s="7">
        <v>9.4760000000000009</v>
      </c>
      <c r="AB25" s="7">
        <v>9.3079999999999998</v>
      </c>
      <c r="AC25" s="40">
        <v>9.1120000000000001</v>
      </c>
      <c r="AD25" s="7">
        <v>8.5839999999999996</v>
      </c>
      <c r="AE25" s="40">
        <v>8.9130000000000003</v>
      </c>
      <c r="AF25" s="7">
        <v>8.8960000000000008</v>
      </c>
      <c r="AG25" s="7">
        <v>9.15</v>
      </c>
      <c r="AH25" s="40">
        <v>9.3770000000000007</v>
      </c>
      <c r="AI25" s="7">
        <v>9.5589999999999993</v>
      </c>
      <c r="AJ25" s="7">
        <v>9.4979999999999993</v>
      </c>
      <c r="AK25" s="7">
        <v>9.3049999999999997</v>
      </c>
      <c r="AL25" s="40">
        <v>9.1</v>
      </c>
      <c r="AM25" s="7">
        <v>8.9649999999999999</v>
      </c>
      <c r="AN25" s="40">
        <v>8.9760000000000009</v>
      </c>
      <c r="AO25" s="7">
        <v>8.8960000000000008</v>
      </c>
      <c r="AP25" s="7">
        <v>9.4239999999999995</v>
      </c>
      <c r="AQ25" s="7">
        <v>9.1720000000000006</v>
      </c>
      <c r="AR25" s="40">
        <v>8.9570000000000007</v>
      </c>
      <c r="AS25" s="7">
        <v>9.3580000000000005</v>
      </c>
      <c r="AT25" s="40">
        <v>9.1199999999999992</v>
      </c>
      <c r="AU25" s="7">
        <v>8.7690000000000001</v>
      </c>
      <c r="AV25" s="7">
        <v>9.2970000000000006</v>
      </c>
      <c r="AW25" s="40">
        <v>9.0619999999999994</v>
      </c>
      <c r="AX25" s="7">
        <v>8.8239999999999998</v>
      </c>
      <c r="AY25" s="7">
        <v>8.52</v>
      </c>
      <c r="AZ25" s="7">
        <v>9.5540000000000003</v>
      </c>
      <c r="BA25" s="7"/>
      <c r="BB25" s="7"/>
      <c r="BC25" s="51"/>
      <c r="BD25" s="51"/>
    </row>
    <row r="26" spans="1:56" x14ac:dyDescent="0.3">
      <c r="A26" s="105"/>
      <c r="B26" s="2" t="s">
        <v>43</v>
      </c>
      <c r="C26" s="7">
        <v>7.7590000000000003</v>
      </c>
      <c r="D26" s="40">
        <v>8.4130000000000003</v>
      </c>
      <c r="E26" s="40">
        <v>8.375</v>
      </c>
      <c r="F26" s="40">
        <v>8.3130000000000006</v>
      </c>
      <c r="G26" s="7">
        <v>8.7230000000000008</v>
      </c>
      <c r="H26" s="40">
        <v>8.8610000000000007</v>
      </c>
      <c r="I26" s="7"/>
      <c r="J26" s="7">
        <v>9.0039999999999996</v>
      </c>
      <c r="K26" s="7">
        <v>9.1850000000000005</v>
      </c>
      <c r="L26" s="87">
        <v>9.0850000000000009</v>
      </c>
      <c r="M26" s="7">
        <v>8.8689999999999998</v>
      </c>
      <c r="N26" s="7">
        <v>9.2249999999999996</v>
      </c>
      <c r="O26" s="40">
        <v>9.125</v>
      </c>
      <c r="P26" s="7">
        <v>8.2210000000000001</v>
      </c>
      <c r="Q26" s="81">
        <v>9.0609999999999999</v>
      </c>
      <c r="R26" s="81">
        <v>8.8960000000000008</v>
      </c>
      <c r="S26" s="81">
        <v>9.1739999999999995</v>
      </c>
      <c r="T26" s="40">
        <v>9.0980000000000008</v>
      </c>
      <c r="U26" s="7">
        <v>9.26</v>
      </c>
      <c r="V26" s="7">
        <v>8.9309999999999992</v>
      </c>
      <c r="W26" s="87">
        <v>8.7829999999999995</v>
      </c>
      <c r="X26" s="40">
        <v>9.1039999999999992</v>
      </c>
      <c r="Y26" s="7">
        <v>9.2769999999999992</v>
      </c>
      <c r="Z26" s="7">
        <v>8.907</v>
      </c>
      <c r="AA26" s="7">
        <v>9.3930000000000007</v>
      </c>
      <c r="AB26" s="7">
        <v>9.2089999999999996</v>
      </c>
      <c r="AC26" s="40">
        <v>9.0009999999999994</v>
      </c>
      <c r="AD26" s="7">
        <v>8.359</v>
      </c>
      <c r="AE26" s="40">
        <v>8.7690000000000001</v>
      </c>
      <c r="AF26" s="7">
        <v>8.7959999999999994</v>
      </c>
      <c r="AG26" s="7">
        <v>9.08</v>
      </c>
      <c r="AH26" s="40">
        <v>9.2929999999999993</v>
      </c>
      <c r="AI26" s="7">
        <v>9.4949999999999992</v>
      </c>
      <c r="AJ26" s="7">
        <v>9.4250000000000007</v>
      </c>
      <c r="AK26" s="7">
        <v>9.2059999999999995</v>
      </c>
      <c r="AL26" s="40">
        <v>8.9990000000000006</v>
      </c>
      <c r="AM26" s="7">
        <v>8.8339999999999996</v>
      </c>
      <c r="AN26" s="40">
        <v>8.8420000000000005</v>
      </c>
      <c r="AO26" s="7">
        <v>8.7479999999999993</v>
      </c>
      <c r="AP26" s="7">
        <v>9.3550000000000004</v>
      </c>
      <c r="AQ26" s="7">
        <v>9.1069999999999993</v>
      </c>
      <c r="AR26" s="40">
        <v>8.8740000000000006</v>
      </c>
      <c r="AS26" s="7">
        <v>9.2520000000000007</v>
      </c>
      <c r="AT26" s="40">
        <v>9.0150000000000006</v>
      </c>
      <c r="AU26" s="7">
        <v>8.6340000000000003</v>
      </c>
      <c r="AV26" s="7">
        <v>9.1929999999999996</v>
      </c>
      <c r="AW26" s="40">
        <v>8.9149999999999991</v>
      </c>
      <c r="AX26" s="7">
        <v>8.6389999999999993</v>
      </c>
      <c r="AY26" s="7">
        <v>8.3290000000000006</v>
      </c>
      <c r="AZ26" s="7">
        <v>9.4930000000000003</v>
      </c>
      <c r="BA26" s="7"/>
      <c r="BB26" s="7"/>
      <c r="BC26" s="51"/>
      <c r="BD26" s="51"/>
    </row>
    <row r="27" spans="1:56" x14ac:dyDescent="0.3">
      <c r="A27" s="105"/>
      <c r="B27" s="2" t="s">
        <v>44</v>
      </c>
      <c r="C27" s="16">
        <v>3.4049999999999998</v>
      </c>
      <c r="D27" s="40">
        <v>3.8410000000000002</v>
      </c>
      <c r="E27" s="40">
        <v>3.956</v>
      </c>
      <c r="F27" s="40">
        <v>4.0449999999999999</v>
      </c>
      <c r="G27" s="7">
        <v>4.0179999999999998</v>
      </c>
      <c r="H27" s="37">
        <v>3.9529999999999998</v>
      </c>
      <c r="I27" s="7"/>
      <c r="J27" s="7">
        <v>4.1070000000000002</v>
      </c>
      <c r="K27" s="7">
        <v>3.9449999999999998</v>
      </c>
      <c r="L27" s="87">
        <v>3.964</v>
      </c>
      <c r="M27" s="7">
        <v>4.048</v>
      </c>
      <c r="N27" s="7">
        <v>3.9260000000000002</v>
      </c>
      <c r="O27" s="40">
        <v>4.0289999999999999</v>
      </c>
      <c r="P27" s="7">
        <v>4.351</v>
      </c>
      <c r="Q27" s="81">
        <v>3.98</v>
      </c>
      <c r="R27" s="81">
        <v>4.04</v>
      </c>
      <c r="S27" s="81">
        <v>3.722</v>
      </c>
      <c r="T27" s="40">
        <v>4.1150000000000002</v>
      </c>
      <c r="U27" s="7">
        <v>4.0830000000000002</v>
      </c>
      <c r="V27" s="7">
        <v>4.1639999999999997</v>
      </c>
      <c r="W27" s="87">
        <v>3.964</v>
      </c>
      <c r="X27" s="40">
        <v>4.0060000000000002</v>
      </c>
      <c r="Y27" s="7">
        <v>4.0720000000000001</v>
      </c>
      <c r="Z27" s="7">
        <v>4.181</v>
      </c>
      <c r="AA27" s="7">
        <v>3.923</v>
      </c>
      <c r="AB27" s="7">
        <v>3.9580000000000002</v>
      </c>
      <c r="AC27" s="40">
        <v>3.9279999999999999</v>
      </c>
      <c r="AD27" s="7">
        <v>4.2619999999999996</v>
      </c>
      <c r="AE27" s="40">
        <v>4.01</v>
      </c>
      <c r="AF27" s="7">
        <v>4.2779999999999996</v>
      </c>
      <c r="AG27" s="7">
        <v>4.2190000000000003</v>
      </c>
      <c r="AH27" s="40">
        <v>4.1399999999999997</v>
      </c>
      <c r="AI27" s="7">
        <v>4.1180000000000003</v>
      </c>
      <c r="AJ27" s="7">
        <v>3.9529999999999998</v>
      </c>
      <c r="AK27" s="7">
        <v>3.988</v>
      </c>
      <c r="AL27" s="40">
        <v>4.056</v>
      </c>
      <c r="AM27" s="7">
        <v>4.0010000000000003</v>
      </c>
      <c r="AN27" s="40">
        <v>3.988</v>
      </c>
      <c r="AO27" s="7">
        <v>4.0259999999999998</v>
      </c>
      <c r="AP27" s="7">
        <v>4.1319999999999997</v>
      </c>
      <c r="AQ27" s="7">
        <v>4.1559999999999997</v>
      </c>
      <c r="AR27" s="40">
        <v>4.1970000000000001</v>
      </c>
      <c r="AS27" s="7">
        <v>3.988</v>
      </c>
      <c r="AT27" s="40">
        <v>4.04</v>
      </c>
      <c r="AU27" s="7">
        <v>4.2</v>
      </c>
      <c r="AV27" s="7">
        <v>3.9089999999999998</v>
      </c>
      <c r="AW27" s="40">
        <v>4.0259999999999998</v>
      </c>
      <c r="AX27" s="7">
        <v>4.1619999999999999</v>
      </c>
      <c r="AY27" s="7">
        <v>4.46</v>
      </c>
      <c r="AZ27" s="7">
        <v>3.9849999999999999</v>
      </c>
      <c r="BA27" s="7"/>
      <c r="BB27" s="7"/>
      <c r="BC27" s="51"/>
      <c r="BD27" s="51"/>
    </row>
    <row r="28" spans="1:56" x14ac:dyDescent="0.3">
      <c r="A28" s="105"/>
      <c r="B28" s="2" t="s">
        <v>90</v>
      </c>
      <c r="C28" s="7">
        <v>3.1819999999999999</v>
      </c>
      <c r="D28" s="40">
        <v>3.5939999999999999</v>
      </c>
      <c r="E28" s="40">
        <v>3.6160000000000001</v>
      </c>
      <c r="F28" s="40">
        <v>3.5939999999999999</v>
      </c>
      <c r="G28" s="7">
        <v>3.6840000000000002</v>
      </c>
      <c r="H28" s="40">
        <v>3.6379999999999999</v>
      </c>
      <c r="I28" s="7"/>
      <c r="J28" s="7">
        <v>3.9009999999999998</v>
      </c>
      <c r="K28" s="7">
        <v>3.855</v>
      </c>
      <c r="L28" s="87">
        <v>3.6920000000000002</v>
      </c>
      <c r="M28" s="7">
        <v>3.7679999999999998</v>
      </c>
      <c r="N28" s="7">
        <v>3.6619999999999999</v>
      </c>
      <c r="O28" s="40">
        <v>3.86</v>
      </c>
      <c r="P28" s="7">
        <v>4.0529999999999999</v>
      </c>
      <c r="Q28" s="81">
        <v>3.7549999999999999</v>
      </c>
      <c r="R28" s="81">
        <v>3.7930000000000001</v>
      </c>
      <c r="S28" s="81">
        <v>3.964</v>
      </c>
      <c r="T28" s="40">
        <v>3.9420000000000002</v>
      </c>
      <c r="U28" s="7">
        <v>3.9260000000000002</v>
      </c>
      <c r="V28" s="7">
        <v>3.972</v>
      </c>
      <c r="W28" s="87">
        <v>3.9689999999999999</v>
      </c>
      <c r="X28" s="40">
        <v>3.9449999999999998</v>
      </c>
      <c r="Y28" s="7">
        <v>3.9340000000000002</v>
      </c>
      <c r="Z28" s="7">
        <v>4.0019999999999998</v>
      </c>
      <c r="AA28" s="7">
        <v>3.7</v>
      </c>
      <c r="AB28" s="7">
        <v>3.722</v>
      </c>
      <c r="AC28" s="40">
        <v>3.79</v>
      </c>
      <c r="AD28" s="7">
        <v>3.996</v>
      </c>
      <c r="AE28" s="40">
        <v>3.7080000000000002</v>
      </c>
      <c r="AF28" s="7">
        <v>4.1020000000000003</v>
      </c>
      <c r="AG28" s="7">
        <v>4.069</v>
      </c>
      <c r="AH28" s="40">
        <v>3.9769999999999999</v>
      </c>
      <c r="AI28" s="7">
        <v>3.9660000000000002</v>
      </c>
      <c r="AJ28" s="7">
        <v>3.738</v>
      </c>
      <c r="AK28" s="7">
        <v>3.782</v>
      </c>
      <c r="AL28" s="40">
        <v>3.8250000000000002</v>
      </c>
      <c r="AM28" s="7">
        <v>3.863</v>
      </c>
      <c r="AN28" s="40">
        <v>3.6949999999999998</v>
      </c>
      <c r="AO28" s="7">
        <v>3.7189999999999999</v>
      </c>
      <c r="AP28" s="7">
        <v>3.9769999999999999</v>
      </c>
      <c r="AQ28" s="7">
        <v>4.0119999999999996</v>
      </c>
      <c r="AR28" s="40">
        <v>4.048</v>
      </c>
      <c r="AS28" s="7">
        <v>3.7789999999999999</v>
      </c>
      <c r="AT28" s="40">
        <v>3.8279999999999998</v>
      </c>
      <c r="AU28" s="7">
        <v>3.98</v>
      </c>
      <c r="AV28" s="7">
        <v>3.6680000000000001</v>
      </c>
      <c r="AW28" s="40">
        <v>3.76</v>
      </c>
      <c r="AX28" s="7">
        <v>3.8660000000000001</v>
      </c>
      <c r="AY28" s="7">
        <v>4.194</v>
      </c>
      <c r="AZ28" s="7">
        <v>3.7930000000000001</v>
      </c>
      <c r="BA28" s="7"/>
      <c r="BB28" s="7"/>
      <c r="BC28" s="51"/>
      <c r="BD28" s="51"/>
    </row>
    <row r="29" spans="1:56" x14ac:dyDescent="0.3">
      <c r="A29" s="105"/>
      <c r="B29" s="7" t="s">
        <v>8</v>
      </c>
      <c r="C29" s="7"/>
      <c r="D29" s="40"/>
      <c r="E29" s="40"/>
      <c r="F29" s="40"/>
      <c r="G29" s="7"/>
      <c r="H29" s="40"/>
      <c r="I29" s="7"/>
      <c r="J29" s="7"/>
      <c r="K29" s="7"/>
      <c r="L29" s="87"/>
      <c r="M29" s="7"/>
      <c r="N29" s="7"/>
      <c r="O29" s="40"/>
      <c r="P29" s="7"/>
      <c r="Q29" s="81"/>
      <c r="R29" s="81"/>
      <c r="S29" s="81"/>
      <c r="T29" s="40"/>
      <c r="U29" s="7"/>
      <c r="V29" s="7"/>
      <c r="W29" s="87"/>
      <c r="X29" s="40"/>
      <c r="Y29" s="7"/>
      <c r="Z29" s="7"/>
      <c r="AA29" s="7"/>
      <c r="AB29" s="7"/>
      <c r="AC29" s="40"/>
      <c r="AD29" s="7"/>
      <c r="AE29" s="40"/>
      <c r="AF29" s="7"/>
      <c r="AG29" s="7"/>
      <c r="AH29" s="40"/>
      <c r="AI29" s="7"/>
      <c r="AJ29" s="7"/>
      <c r="AK29" s="7"/>
      <c r="AL29" s="40"/>
      <c r="AM29" s="7"/>
      <c r="AN29" s="40"/>
      <c r="AO29" s="7"/>
      <c r="AP29" s="7"/>
      <c r="AQ29" s="7"/>
      <c r="AR29" s="40"/>
      <c r="AS29" s="7"/>
      <c r="AT29" s="40"/>
      <c r="AU29" s="7"/>
      <c r="AV29" s="7"/>
      <c r="AW29" s="40"/>
      <c r="AX29" s="7"/>
      <c r="AY29" s="7"/>
      <c r="AZ29" s="7"/>
      <c r="BA29" s="7"/>
      <c r="BB29" s="7"/>
      <c r="BC29" s="51"/>
      <c r="BD29" s="51"/>
    </row>
    <row r="30" spans="1:56" s="7" customFormat="1" x14ac:dyDescent="0.3">
      <c r="A30" s="106" t="s">
        <v>40</v>
      </c>
      <c r="B30" s="10" t="s">
        <v>45</v>
      </c>
      <c r="C30" s="10">
        <v>345</v>
      </c>
      <c r="D30" s="41">
        <v>345</v>
      </c>
      <c r="E30" s="41">
        <v>345</v>
      </c>
      <c r="F30" s="41">
        <v>345</v>
      </c>
      <c r="G30" s="10">
        <v>345</v>
      </c>
      <c r="H30" s="41">
        <v>345</v>
      </c>
      <c r="I30" s="10"/>
      <c r="J30" s="10">
        <v>345</v>
      </c>
      <c r="K30" s="10">
        <v>345</v>
      </c>
      <c r="L30" s="88">
        <v>345</v>
      </c>
      <c r="M30" s="10">
        <v>345</v>
      </c>
      <c r="N30" s="10">
        <v>345</v>
      </c>
      <c r="O30" s="41">
        <v>345</v>
      </c>
      <c r="P30" s="10">
        <v>345</v>
      </c>
      <c r="Q30" s="82">
        <v>345</v>
      </c>
      <c r="R30" s="82">
        <v>345</v>
      </c>
      <c r="S30" s="82">
        <v>345</v>
      </c>
      <c r="T30" s="41">
        <v>345</v>
      </c>
      <c r="U30" s="10">
        <v>345</v>
      </c>
      <c r="V30" s="10">
        <v>345</v>
      </c>
      <c r="W30" s="88">
        <v>345</v>
      </c>
      <c r="X30" s="41">
        <v>345</v>
      </c>
      <c r="Y30" s="10">
        <v>345</v>
      </c>
      <c r="Z30" s="10">
        <v>345</v>
      </c>
      <c r="AA30" s="10">
        <v>345</v>
      </c>
      <c r="AB30" s="10">
        <v>345</v>
      </c>
      <c r="AC30" s="41">
        <v>345</v>
      </c>
      <c r="AD30" s="10">
        <v>345</v>
      </c>
      <c r="AE30" s="41">
        <v>345</v>
      </c>
      <c r="AF30" s="10">
        <v>345</v>
      </c>
      <c r="AG30" s="10">
        <v>345</v>
      </c>
      <c r="AH30" s="41">
        <v>345</v>
      </c>
      <c r="AI30" s="10">
        <v>345</v>
      </c>
      <c r="AJ30" s="10">
        <v>345</v>
      </c>
      <c r="AK30" s="10">
        <v>345</v>
      </c>
      <c r="AL30" s="41">
        <v>345</v>
      </c>
      <c r="AM30" s="10">
        <v>345</v>
      </c>
      <c r="AN30" s="41">
        <v>345</v>
      </c>
      <c r="AO30" s="10">
        <v>345</v>
      </c>
      <c r="AP30" s="10">
        <v>345</v>
      </c>
      <c r="AQ30" s="10">
        <v>345</v>
      </c>
      <c r="AR30" s="41">
        <v>345</v>
      </c>
      <c r="AS30" s="10">
        <v>345</v>
      </c>
      <c r="AT30" s="41">
        <v>345</v>
      </c>
      <c r="AU30" s="10">
        <v>345</v>
      </c>
      <c r="AV30" s="10">
        <v>345</v>
      </c>
      <c r="AW30" s="41">
        <v>345</v>
      </c>
      <c r="AX30" s="10">
        <v>345</v>
      </c>
      <c r="AY30" s="10">
        <v>345</v>
      </c>
      <c r="AZ30" s="10">
        <v>345</v>
      </c>
      <c r="BA30" s="10">
        <v>345</v>
      </c>
      <c r="BB30" s="10"/>
    </row>
    <row r="31" spans="1:56" x14ac:dyDescent="0.3">
      <c r="A31" s="106"/>
      <c r="B31" s="10" t="s">
        <v>46</v>
      </c>
      <c r="C31" s="10">
        <v>5</v>
      </c>
      <c r="D31" s="41">
        <v>5.4</v>
      </c>
      <c r="E31" s="41">
        <v>7</v>
      </c>
      <c r="F31" s="41">
        <v>8.6999999999999993</v>
      </c>
      <c r="G31" s="10">
        <v>9.1999999999999993</v>
      </c>
      <c r="H31" s="41">
        <v>9.25</v>
      </c>
      <c r="I31" s="10"/>
      <c r="J31" s="10">
        <v>5.85</v>
      </c>
      <c r="K31" s="10">
        <v>6</v>
      </c>
      <c r="L31" s="88">
        <v>7.6</v>
      </c>
      <c r="M31" s="10">
        <v>7.5</v>
      </c>
      <c r="N31" s="10">
        <v>7.75</v>
      </c>
      <c r="O31" s="41">
        <v>5.9</v>
      </c>
      <c r="P31" s="10">
        <v>6.95</v>
      </c>
      <c r="Q31" s="82">
        <v>7.6</v>
      </c>
      <c r="R31" s="82">
        <v>7.5</v>
      </c>
      <c r="S31" s="82">
        <v>7.7</v>
      </c>
      <c r="T31" s="41">
        <v>5.9</v>
      </c>
      <c r="U31" s="10">
        <v>6.05</v>
      </c>
      <c r="V31" s="10">
        <v>5.8</v>
      </c>
      <c r="W31" s="88">
        <v>9.1999999999999993</v>
      </c>
      <c r="X31" s="41">
        <v>5.9</v>
      </c>
      <c r="Y31" s="10">
        <v>6.05</v>
      </c>
      <c r="Z31" s="10">
        <v>5.8</v>
      </c>
      <c r="AA31" s="10">
        <v>7.9</v>
      </c>
      <c r="AB31" s="10">
        <v>7.8</v>
      </c>
      <c r="AC31" s="41">
        <v>7.6</v>
      </c>
      <c r="AD31" s="10">
        <v>7.1</v>
      </c>
      <c r="AE31" s="41">
        <v>9.1999999999999993</v>
      </c>
      <c r="AF31" s="10">
        <v>5.7</v>
      </c>
      <c r="AG31" s="10">
        <v>5.9</v>
      </c>
      <c r="AH31" s="41">
        <v>6</v>
      </c>
      <c r="AI31" s="10">
        <v>6.2</v>
      </c>
      <c r="AJ31" s="10">
        <v>7.9</v>
      </c>
      <c r="AK31" s="10">
        <v>7.7</v>
      </c>
      <c r="AL31" s="41">
        <v>7.5</v>
      </c>
      <c r="AM31" s="10">
        <v>7.4</v>
      </c>
      <c r="AN31" s="41">
        <v>9.1999999999999993</v>
      </c>
      <c r="AO31" s="10">
        <v>9.1</v>
      </c>
      <c r="AP31" s="10">
        <v>6.1</v>
      </c>
      <c r="AQ31" s="10">
        <v>5.9</v>
      </c>
      <c r="AR31" s="41">
        <v>5.7</v>
      </c>
      <c r="AS31" s="10">
        <v>7.8</v>
      </c>
      <c r="AT31" s="41">
        <v>7.6</v>
      </c>
      <c r="AU31" s="10">
        <v>7.3</v>
      </c>
      <c r="AV31" s="10">
        <v>9.5</v>
      </c>
      <c r="AW31" s="41">
        <v>9.3000000000000007</v>
      </c>
      <c r="AX31" s="10">
        <v>9.1</v>
      </c>
      <c r="AY31" s="10">
        <v>7.1</v>
      </c>
      <c r="AZ31" s="10">
        <v>8</v>
      </c>
      <c r="BA31" s="10"/>
      <c r="BB31" s="10"/>
      <c r="BC31" s="51"/>
      <c r="BD31" s="51"/>
    </row>
    <row r="32" spans="1:56" x14ac:dyDescent="0.3">
      <c r="A32" s="106"/>
      <c r="B32" s="12" t="s">
        <v>34</v>
      </c>
      <c r="C32" s="10">
        <v>300</v>
      </c>
      <c r="D32" s="41">
        <v>400</v>
      </c>
      <c r="E32" s="41">
        <v>400</v>
      </c>
      <c r="F32" s="41">
        <v>400</v>
      </c>
      <c r="G32" s="10">
        <v>500</v>
      </c>
      <c r="H32" s="41">
        <v>500</v>
      </c>
      <c r="I32" s="10"/>
      <c r="J32" s="10">
        <v>500</v>
      </c>
      <c r="K32" s="10">
        <v>500</v>
      </c>
      <c r="L32" s="88">
        <v>500</v>
      </c>
      <c r="M32" s="12">
        <v>500</v>
      </c>
      <c r="N32" s="12">
        <v>500</v>
      </c>
      <c r="O32" s="41">
        <v>500</v>
      </c>
      <c r="P32" s="12">
        <v>500</v>
      </c>
      <c r="Q32" s="82">
        <v>600</v>
      </c>
      <c r="R32" s="82">
        <v>600</v>
      </c>
      <c r="S32" s="82">
        <v>600</v>
      </c>
      <c r="T32" s="41">
        <v>600</v>
      </c>
      <c r="U32" s="10">
        <v>600</v>
      </c>
      <c r="V32" s="10">
        <v>600</v>
      </c>
      <c r="W32" s="88">
        <v>600</v>
      </c>
      <c r="X32" s="41">
        <v>700</v>
      </c>
      <c r="Y32" s="10">
        <v>700</v>
      </c>
      <c r="Z32" s="10">
        <v>700</v>
      </c>
      <c r="AA32" s="12">
        <v>700</v>
      </c>
      <c r="AB32" s="12">
        <v>700</v>
      </c>
      <c r="AC32" s="41">
        <v>700</v>
      </c>
      <c r="AD32" s="12">
        <v>700</v>
      </c>
      <c r="AE32" s="41">
        <v>700</v>
      </c>
      <c r="AF32" s="10">
        <v>800</v>
      </c>
      <c r="AG32" s="10">
        <v>800</v>
      </c>
      <c r="AH32" s="41">
        <v>800</v>
      </c>
      <c r="AI32" s="10">
        <v>800</v>
      </c>
      <c r="AJ32" s="12">
        <v>800</v>
      </c>
      <c r="AK32" s="12">
        <v>800</v>
      </c>
      <c r="AL32" s="41">
        <v>800</v>
      </c>
      <c r="AM32" s="12">
        <v>800</v>
      </c>
      <c r="AN32" s="41">
        <v>800</v>
      </c>
      <c r="AO32" s="10">
        <v>800</v>
      </c>
      <c r="AP32" s="10">
        <v>900</v>
      </c>
      <c r="AQ32" s="10">
        <v>900</v>
      </c>
      <c r="AR32" s="41">
        <v>900</v>
      </c>
      <c r="AS32" s="12">
        <v>900</v>
      </c>
      <c r="AT32" s="41">
        <v>900</v>
      </c>
      <c r="AU32" s="12">
        <v>900</v>
      </c>
      <c r="AV32" s="10">
        <v>900</v>
      </c>
      <c r="AW32" s="41">
        <v>900</v>
      </c>
      <c r="AX32" s="10">
        <v>900</v>
      </c>
      <c r="AY32" s="12">
        <v>900</v>
      </c>
      <c r="AZ32" s="12">
        <v>900</v>
      </c>
      <c r="BA32" s="10">
        <v>900</v>
      </c>
      <c r="BB32" s="10"/>
      <c r="BC32" s="51"/>
      <c r="BD32" s="51"/>
    </row>
    <row r="33" spans="1:56" s="23" customFormat="1" x14ac:dyDescent="0.3">
      <c r="A33" s="106"/>
      <c r="B33" s="22" t="s">
        <v>47</v>
      </c>
      <c r="C33" s="22">
        <v>4000</v>
      </c>
      <c r="D33" s="41">
        <v>4000</v>
      </c>
      <c r="E33" s="41">
        <v>5000</v>
      </c>
      <c r="F33" s="41">
        <v>6000</v>
      </c>
      <c r="G33" s="22">
        <v>6000</v>
      </c>
      <c r="H33" s="41">
        <v>6000</v>
      </c>
      <c r="I33" s="22"/>
      <c r="J33" s="22">
        <v>4000</v>
      </c>
      <c r="K33" s="22">
        <v>4000</v>
      </c>
      <c r="L33" s="88">
        <v>5000</v>
      </c>
      <c r="M33" s="12">
        <v>5000</v>
      </c>
      <c r="N33" s="12">
        <v>5000</v>
      </c>
      <c r="O33" s="41">
        <v>4000</v>
      </c>
      <c r="P33" s="12">
        <v>5000</v>
      </c>
      <c r="Q33" s="82">
        <v>5000</v>
      </c>
      <c r="R33" s="82">
        <v>5000</v>
      </c>
      <c r="S33" s="82">
        <v>5000</v>
      </c>
      <c r="T33" s="41">
        <v>4000</v>
      </c>
      <c r="U33" s="22">
        <v>4000</v>
      </c>
      <c r="V33" s="22">
        <v>4000</v>
      </c>
      <c r="W33" s="88">
        <v>6000</v>
      </c>
      <c r="X33" s="41">
        <v>4000</v>
      </c>
      <c r="Y33" s="22">
        <v>4000</v>
      </c>
      <c r="Z33" s="22">
        <v>4000</v>
      </c>
      <c r="AA33" s="12">
        <v>5000</v>
      </c>
      <c r="AB33" s="12">
        <v>5000</v>
      </c>
      <c r="AC33" s="41">
        <v>5000</v>
      </c>
      <c r="AD33" s="12">
        <v>5000</v>
      </c>
      <c r="AE33" s="41">
        <v>6000</v>
      </c>
      <c r="AF33" s="22">
        <v>4000</v>
      </c>
      <c r="AG33" s="22">
        <v>4000</v>
      </c>
      <c r="AH33" s="41">
        <v>4000</v>
      </c>
      <c r="AI33" s="22">
        <v>4000</v>
      </c>
      <c r="AJ33" s="12">
        <v>5000</v>
      </c>
      <c r="AK33" s="12">
        <v>5000</v>
      </c>
      <c r="AL33" s="41">
        <v>5000</v>
      </c>
      <c r="AM33" s="12">
        <v>5000</v>
      </c>
      <c r="AN33" s="41">
        <v>6000</v>
      </c>
      <c r="AO33" s="22">
        <v>6000</v>
      </c>
      <c r="AP33" s="22">
        <v>4000</v>
      </c>
      <c r="AQ33" s="22">
        <v>4000</v>
      </c>
      <c r="AR33" s="41">
        <v>4000</v>
      </c>
      <c r="AS33" s="12">
        <v>5000</v>
      </c>
      <c r="AT33" s="41">
        <v>5000</v>
      </c>
      <c r="AU33" s="12">
        <v>5000</v>
      </c>
      <c r="AV33" s="22">
        <v>6000</v>
      </c>
      <c r="AW33" s="41">
        <v>6000</v>
      </c>
      <c r="AX33" s="22">
        <v>6000</v>
      </c>
      <c r="AY33" s="12">
        <v>5000</v>
      </c>
      <c r="AZ33" s="12">
        <v>5000</v>
      </c>
      <c r="BA33" s="22">
        <v>5000</v>
      </c>
      <c r="BB33" s="22"/>
      <c r="BC33" s="61"/>
      <c r="BD33" s="61"/>
    </row>
    <row r="34" spans="1:56" x14ac:dyDescent="0.3">
      <c r="A34" s="106"/>
      <c r="B34" s="10" t="s">
        <v>48</v>
      </c>
      <c r="C34" s="10">
        <v>365</v>
      </c>
      <c r="D34" s="41">
        <v>320</v>
      </c>
      <c r="E34" s="41">
        <v>440</v>
      </c>
      <c r="F34" s="41">
        <v>576</v>
      </c>
      <c r="G34" s="10">
        <v>350</v>
      </c>
      <c r="H34" s="41">
        <v>310</v>
      </c>
      <c r="I34" s="10"/>
      <c r="J34" s="10">
        <v>274</v>
      </c>
      <c r="K34" s="10">
        <v>269</v>
      </c>
      <c r="L34" s="88">
        <v>277</v>
      </c>
      <c r="M34" s="10">
        <v>284</v>
      </c>
      <c r="N34" s="10">
        <v>273</v>
      </c>
      <c r="O34" s="41">
        <v>280</v>
      </c>
      <c r="P34" s="10">
        <v>576</v>
      </c>
      <c r="Q34" s="82">
        <v>273</v>
      </c>
      <c r="R34" s="82">
        <v>279</v>
      </c>
      <c r="S34" s="82">
        <v>270</v>
      </c>
      <c r="T34" s="41">
        <v>266</v>
      </c>
      <c r="U34" s="10">
        <v>263</v>
      </c>
      <c r="V34" s="10">
        <v>270</v>
      </c>
      <c r="W34" s="88">
        <v>325</v>
      </c>
      <c r="X34" s="41">
        <v>265</v>
      </c>
      <c r="Y34" s="10">
        <v>262</v>
      </c>
      <c r="Z34" s="10">
        <v>270</v>
      </c>
      <c r="AA34" s="10">
        <v>265</v>
      </c>
      <c r="AB34" s="10">
        <v>268</v>
      </c>
      <c r="AC34" s="41">
        <v>273</v>
      </c>
      <c r="AD34" s="10">
        <v>450</v>
      </c>
      <c r="AE34" s="41">
        <v>308</v>
      </c>
      <c r="AF34" s="10">
        <v>273</v>
      </c>
      <c r="AG34" s="10">
        <v>265</v>
      </c>
      <c r="AH34" s="41">
        <v>263</v>
      </c>
      <c r="AI34" s="10">
        <v>260</v>
      </c>
      <c r="AJ34" s="10">
        <v>266</v>
      </c>
      <c r="AK34" s="10">
        <v>269</v>
      </c>
      <c r="AL34" s="41">
        <v>274</v>
      </c>
      <c r="AM34" s="10">
        <v>280</v>
      </c>
      <c r="AN34" s="41">
        <v>308</v>
      </c>
      <c r="AO34" s="10"/>
      <c r="AP34" s="10">
        <v>261</v>
      </c>
      <c r="AQ34" s="10">
        <v>264</v>
      </c>
      <c r="AR34" s="41">
        <v>268</v>
      </c>
      <c r="AS34" s="10">
        <v>266</v>
      </c>
      <c r="AT34" s="41">
        <v>270</v>
      </c>
      <c r="AU34" s="10">
        <v>280</v>
      </c>
      <c r="AV34" s="10">
        <v>270</v>
      </c>
      <c r="AW34" s="41">
        <v>276</v>
      </c>
      <c r="AX34" s="10">
        <v>287</v>
      </c>
      <c r="AY34" s="10">
        <v>400</v>
      </c>
      <c r="AZ34" s="10">
        <v>263</v>
      </c>
      <c r="BA34" s="10"/>
      <c r="BB34" s="10"/>
      <c r="BC34" s="51"/>
      <c r="BD34" s="51"/>
    </row>
    <row r="35" spans="1:56" ht="16.5" x14ac:dyDescent="0.3">
      <c r="A35" s="106"/>
      <c r="B35" s="10" t="s">
        <v>49</v>
      </c>
      <c r="C35" s="10">
        <v>68.599999999999994</v>
      </c>
      <c r="D35" s="41">
        <v>83</v>
      </c>
      <c r="E35" s="41">
        <v>101.2</v>
      </c>
      <c r="F35" s="41">
        <v>119.6</v>
      </c>
      <c r="G35" s="10">
        <v>127</v>
      </c>
      <c r="H35" s="41">
        <v>124.5</v>
      </c>
      <c r="I35" s="10"/>
      <c r="J35" s="10">
        <v>95.2</v>
      </c>
      <c r="K35" s="10">
        <v>92.8</v>
      </c>
      <c r="L35" s="88">
        <v>109.6</v>
      </c>
      <c r="M35" s="10">
        <v>113.2</v>
      </c>
      <c r="N35" s="10">
        <v>107.3</v>
      </c>
      <c r="O35" s="41">
        <v>93.2</v>
      </c>
      <c r="P35" s="10">
        <v>128.4</v>
      </c>
      <c r="Q35" s="82">
        <v>112</v>
      </c>
      <c r="R35" s="82">
        <v>114.1</v>
      </c>
      <c r="S35" s="82">
        <v>111.2</v>
      </c>
      <c r="T35" s="41">
        <v>98.6</v>
      </c>
      <c r="U35" s="10">
        <v>98.1</v>
      </c>
      <c r="V35" s="10">
        <v>100.1</v>
      </c>
      <c r="W35" s="88">
        <v>126.8</v>
      </c>
      <c r="X35" s="41">
        <v>98.2</v>
      </c>
      <c r="Y35" s="10">
        <v>96.7</v>
      </c>
      <c r="Z35" s="10">
        <v>100</v>
      </c>
      <c r="AA35" s="10">
        <v>107.7</v>
      </c>
      <c r="AB35" s="10">
        <v>109.2</v>
      </c>
      <c r="AC35" s="41">
        <v>111.2</v>
      </c>
      <c r="AD35" s="10">
        <v>122.2</v>
      </c>
      <c r="AE35" s="41">
        <v>125.4</v>
      </c>
      <c r="AF35" s="10">
        <v>100.5</v>
      </c>
      <c r="AG35" s="10">
        <v>97.1</v>
      </c>
      <c r="AH35" s="41">
        <v>98.8</v>
      </c>
      <c r="AI35" s="10">
        <v>96</v>
      </c>
      <c r="AJ35" s="10">
        <v>109.2</v>
      </c>
      <c r="AK35" s="10">
        <v>111.1</v>
      </c>
      <c r="AL35" s="41">
        <v>113.4</v>
      </c>
      <c r="AM35" s="10">
        <v>115.6</v>
      </c>
      <c r="AN35" s="41">
        <v>126.9</v>
      </c>
      <c r="AO35" s="10">
        <v>129</v>
      </c>
      <c r="AP35" s="10">
        <v>96.6</v>
      </c>
      <c r="AQ35" s="10">
        <v>99.1</v>
      </c>
      <c r="AR35" s="41">
        <v>102.5</v>
      </c>
      <c r="AS35" s="10">
        <v>111.8</v>
      </c>
      <c r="AT35" s="41">
        <v>116.7</v>
      </c>
      <c r="AU35" s="10">
        <v>128.30000000000001</v>
      </c>
      <c r="AV35" s="10">
        <v>125.1</v>
      </c>
      <c r="AW35" s="41">
        <v>134.5</v>
      </c>
      <c r="AX35" s="10">
        <v>145.19999999999999</v>
      </c>
      <c r="AY35" s="10">
        <v>143.30000000000001</v>
      </c>
      <c r="AZ35" s="10">
        <v>107.9</v>
      </c>
      <c r="BA35" s="10"/>
      <c r="BB35" s="10"/>
      <c r="BC35" s="51"/>
      <c r="BD35" s="51"/>
    </row>
    <row r="36" spans="1:56" ht="16.5" x14ac:dyDescent="0.3">
      <c r="A36" s="106"/>
      <c r="B36" s="10" t="s">
        <v>50</v>
      </c>
      <c r="C36" s="10">
        <v>484.226</v>
      </c>
      <c r="D36" s="41">
        <v>478.71499999999997</v>
      </c>
      <c r="E36" s="41">
        <v>479.09500000000003</v>
      </c>
      <c r="F36" s="41">
        <v>479.09300000000002</v>
      </c>
      <c r="G36" s="10">
        <v>477.81700000000001</v>
      </c>
      <c r="H36" s="41">
        <v>477.642</v>
      </c>
      <c r="I36" s="10"/>
      <c r="J36" s="10">
        <v>479.64499999999998</v>
      </c>
      <c r="K36" s="10">
        <v>478.73</v>
      </c>
      <c r="L36" s="88">
        <v>477.13499999999999</v>
      </c>
      <c r="M36" s="10">
        <v>477.51799999999997</v>
      </c>
      <c r="N36" s="10">
        <v>477.90499999999997</v>
      </c>
      <c r="O36" s="41">
        <v>478.63200000000001</v>
      </c>
      <c r="P36" s="10">
        <v>478.50599999999997</v>
      </c>
      <c r="Q36" s="82">
        <v>478.01499999999999</v>
      </c>
      <c r="R36" s="82">
        <v>479.70400000000001</v>
      </c>
      <c r="S36" s="82">
        <v>477.25599999999997</v>
      </c>
      <c r="T36" s="41">
        <v>478.06200000000001</v>
      </c>
      <c r="U36" s="10">
        <v>478.577</v>
      </c>
      <c r="V36" s="10">
        <v>477.54</v>
      </c>
      <c r="W36" s="88">
        <v>477.52800000000002</v>
      </c>
      <c r="X36" s="41">
        <v>478.41</v>
      </c>
      <c r="Y36" s="10">
        <v>477.47899999999998</v>
      </c>
      <c r="Z36" s="10">
        <v>479.95</v>
      </c>
      <c r="AA36" s="10">
        <v>477.96499999999997</v>
      </c>
      <c r="AB36" s="10">
        <v>477.23200000000003</v>
      </c>
      <c r="AC36" s="41">
        <v>478.94499999999999</v>
      </c>
      <c r="AD36" s="10">
        <v>479.04</v>
      </c>
      <c r="AE36" s="41">
        <v>479.351</v>
      </c>
      <c r="AF36" s="10">
        <v>478.54</v>
      </c>
      <c r="AG36" s="10">
        <v>479.09</v>
      </c>
      <c r="AH36" s="41">
        <v>478.863</v>
      </c>
      <c r="AI36" s="10">
        <v>479.55700000000002</v>
      </c>
      <c r="AJ36" s="10">
        <v>477.27600000000001</v>
      </c>
      <c r="AK36" s="10">
        <v>479.01799999999997</v>
      </c>
      <c r="AL36" s="41">
        <v>478.38299999999998</v>
      </c>
      <c r="AM36" s="10">
        <v>478.83600000000001</v>
      </c>
      <c r="AN36" s="41">
        <v>477.99299999999999</v>
      </c>
      <c r="AO36" s="10">
        <v>476.59300000000002</v>
      </c>
      <c r="AP36" s="10">
        <v>478.983</v>
      </c>
      <c r="AQ36" s="10">
        <v>478.149</v>
      </c>
      <c r="AR36" s="41">
        <v>478.44099999999997</v>
      </c>
      <c r="AS36" s="10">
        <v>477.14699999999999</v>
      </c>
      <c r="AT36" s="41">
        <v>478.03500000000003</v>
      </c>
      <c r="AU36" s="10">
        <v>480.07</v>
      </c>
      <c r="AV36" s="10">
        <v>475.56099999999998</v>
      </c>
      <c r="AW36" s="41">
        <v>477.38600000000002</v>
      </c>
      <c r="AX36" s="10">
        <v>479.16899999999998</v>
      </c>
      <c r="AY36" s="10">
        <v>478.97800000000001</v>
      </c>
      <c r="AZ36" s="10">
        <v>475.774</v>
      </c>
      <c r="BA36" s="10"/>
      <c r="BB36" s="10"/>
      <c r="BC36" s="51"/>
      <c r="BD36" s="51"/>
    </row>
    <row r="37" spans="1:56" x14ac:dyDescent="0.3">
      <c r="A37" s="106"/>
      <c r="B37" s="10" t="s">
        <v>51</v>
      </c>
      <c r="C37" s="10">
        <v>4474.7</v>
      </c>
      <c r="D37" s="41">
        <v>4497.87</v>
      </c>
      <c r="E37" s="41">
        <v>4507</v>
      </c>
      <c r="F37" s="41">
        <v>4510.97</v>
      </c>
      <c r="G37" s="10">
        <v>4512.87</v>
      </c>
      <c r="H37" s="41">
        <v>4512.93</v>
      </c>
      <c r="I37" s="10"/>
      <c r="J37" s="10">
        <v>4502.71</v>
      </c>
      <c r="K37" s="10">
        <v>4499.24</v>
      </c>
      <c r="L37" s="88">
        <v>4514.51</v>
      </c>
      <c r="M37" s="10">
        <v>4516.18</v>
      </c>
      <c r="N37" s="10">
        <v>4521.88</v>
      </c>
      <c r="O37" s="41">
        <v>4509.1099999999997</v>
      </c>
      <c r="P37" s="10">
        <v>4511.8999999999996</v>
      </c>
      <c r="Q37" s="82">
        <v>4502.8999999999996</v>
      </c>
      <c r="R37" s="82">
        <v>4496.59</v>
      </c>
      <c r="S37" s="82">
        <v>4503.45</v>
      </c>
      <c r="T37" s="41">
        <v>4509.82</v>
      </c>
      <c r="U37" s="10">
        <v>4505.0200000000004</v>
      </c>
      <c r="V37" s="10">
        <v>4498.6000000000004</v>
      </c>
      <c r="W37" s="88">
        <v>4509.3900000000003</v>
      </c>
      <c r="X37" s="41">
        <v>4520.26</v>
      </c>
      <c r="Y37" s="10">
        <v>4508.33</v>
      </c>
      <c r="Z37" s="10">
        <v>4507.25</v>
      </c>
      <c r="AA37" s="10">
        <v>4505.83</v>
      </c>
      <c r="AB37" s="10">
        <v>4503.66</v>
      </c>
      <c r="AC37" s="41">
        <v>4514.8100000000004</v>
      </c>
      <c r="AD37" s="10">
        <v>4496.6899999999996</v>
      </c>
      <c r="AE37" s="41">
        <v>4505.42</v>
      </c>
      <c r="AF37" s="10">
        <v>4492.74</v>
      </c>
      <c r="AG37" s="10">
        <v>4492.17</v>
      </c>
      <c r="AH37" s="41">
        <v>4496.03</v>
      </c>
      <c r="AI37" s="10">
        <v>4501.8100000000004</v>
      </c>
      <c r="AJ37" s="10">
        <v>4494.16</v>
      </c>
      <c r="AK37" s="10">
        <v>4511.6499999999996</v>
      </c>
      <c r="AL37" s="41">
        <v>4510.24</v>
      </c>
      <c r="AM37" s="10">
        <v>4511.33</v>
      </c>
      <c r="AN37" s="41">
        <v>4508.55</v>
      </c>
      <c r="AO37" s="10">
        <v>4506.57</v>
      </c>
      <c r="AP37" s="10">
        <v>4498.55</v>
      </c>
      <c r="AQ37" s="10">
        <v>4507.63</v>
      </c>
      <c r="AR37" s="41">
        <v>4495.4799999999996</v>
      </c>
      <c r="AS37" s="10">
        <v>4504.3900000000003</v>
      </c>
      <c r="AT37" s="41">
        <v>4507.9399999999996</v>
      </c>
      <c r="AU37" s="10">
        <v>4501.2</v>
      </c>
      <c r="AV37" s="10">
        <v>4504.95</v>
      </c>
      <c r="AW37" s="41">
        <v>4498.03</v>
      </c>
      <c r="AX37" s="10">
        <v>4499.34</v>
      </c>
      <c r="AY37" s="10">
        <v>4494.3500000000004</v>
      </c>
      <c r="AZ37" s="10">
        <v>4496.72</v>
      </c>
      <c r="BA37" s="10"/>
      <c r="BB37" s="10"/>
      <c r="BC37" s="51"/>
      <c r="BD37" s="51"/>
    </row>
    <row r="38" spans="1:56" s="96" customFormat="1" x14ac:dyDescent="0.3">
      <c r="A38" s="106"/>
      <c r="B38" s="91" t="s">
        <v>52</v>
      </c>
      <c r="C38" s="91">
        <v>1734.53</v>
      </c>
      <c r="D38" s="92">
        <v>3007.16</v>
      </c>
      <c r="E38" s="92">
        <v>3555.44</v>
      </c>
      <c r="F38" s="92">
        <v>4003.4</v>
      </c>
      <c r="G38" s="91">
        <v>4598.3599999999997</v>
      </c>
      <c r="H38" s="92">
        <v>4681.75</v>
      </c>
      <c r="I38" s="91"/>
      <c r="J38" s="91">
        <v>3943.5</v>
      </c>
      <c r="K38" s="91">
        <v>3999.96</v>
      </c>
      <c r="L38" s="93">
        <v>4482.12</v>
      </c>
      <c r="M38" s="91">
        <v>4362.53</v>
      </c>
      <c r="N38" s="91">
        <v>4537.34</v>
      </c>
      <c r="O38" s="92">
        <v>3993.59</v>
      </c>
      <c r="P38" s="91">
        <v>3781.65</v>
      </c>
      <c r="Q38" s="94">
        <v>4470.9399999999996</v>
      </c>
      <c r="R38" s="94">
        <v>4380.79</v>
      </c>
      <c r="S38" s="94">
        <v>4521.17</v>
      </c>
      <c r="T38" s="92">
        <v>4030.83</v>
      </c>
      <c r="U38" s="91">
        <v>4084.85</v>
      </c>
      <c r="V38" s="91">
        <v>3929.5</v>
      </c>
      <c r="W38" s="93">
        <v>4680.43</v>
      </c>
      <c r="X38" s="92">
        <v>3995.45</v>
      </c>
      <c r="Y38" s="91">
        <v>4034.74</v>
      </c>
      <c r="Z38" s="91">
        <v>3922.08</v>
      </c>
      <c r="AA38" s="91">
        <v>4571.91</v>
      </c>
      <c r="AB38" s="91">
        <v>4533.51</v>
      </c>
      <c r="AC38" s="92">
        <v>4445.21</v>
      </c>
      <c r="AD38" s="91">
        <v>3965.24</v>
      </c>
      <c r="AE38" s="92">
        <v>4646.3100000000004</v>
      </c>
      <c r="AF38" s="91">
        <v>3784.55</v>
      </c>
      <c r="AG38" s="91">
        <v>3920.46</v>
      </c>
      <c r="AH38" s="92">
        <v>4004.95</v>
      </c>
      <c r="AI38" s="91">
        <v>4034.13</v>
      </c>
      <c r="AJ38" s="91">
        <v>4523.3</v>
      </c>
      <c r="AK38" s="91">
        <v>4490.54</v>
      </c>
      <c r="AL38" s="92">
        <v>4388.3599999999997</v>
      </c>
      <c r="AM38" s="91">
        <v>4297.22</v>
      </c>
      <c r="AN38" s="92">
        <v>4626.3900000000003</v>
      </c>
      <c r="AO38" s="91">
        <v>4551.49</v>
      </c>
      <c r="AP38" s="91">
        <v>3909.42</v>
      </c>
      <c r="AQ38" s="91">
        <v>3895.15</v>
      </c>
      <c r="AR38" s="92">
        <v>3809.51</v>
      </c>
      <c r="AS38" s="91">
        <v>4375.3999999999996</v>
      </c>
      <c r="AT38" s="92">
        <v>4366.04</v>
      </c>
      <c r="AU38" s="91">
        <v>4177.9399999999996</v>
      </c>
      <c r="AV38" s="91">
        <v>4772.76</v>
      </c>
      <c r="AW38" s="92">
        <v>4696.42</v>
      </c>
      <c r="AX38" s="91">
        <v>4461.62</v>
      </c>
      <c r="AY38" s="91">
        <v>3690.32</v>
      </c>
      <c r="AZ38" s="91">
        <v>4487.2</v>
      </c>
      <c r="BA38" s="91"/>
      <c r="BB38" s="91"/>
      <c r="BC38" s="95"/>
      <c r="BD38" s="95"/>
    </row>
    <row r="39" spans="1:56" x14ac:dyDescent="0.3">
      <c r="A39" s="106"/>
      <c r="B39" s="10" t="s">
        <v>35</v>
      </c>
      <c r="C39" s="10" cm="1">
        <f t="array" ref="C39">C35/3600*([1]!Enthalpy("carbon dioxide","TP","SI",C17+273.15,C28)-[1]!Enthalpy("carbon dioxide","TP","SI",C14+273.15,C26))*1000</f>
        <v>1980.6498800879926</v>
      </c>
      <c r="D39" s="10" cm="1">
        <f t="array" ref="D39">D35/3600*([1]!Enthalpy("carbon dioxide","TP","SI",D17+273.15,D28)-[1]!Enthalpy("carbon dioxide","TP","SI",D14+273.15,D26))*1000</f>
        <v>3306.0411093098996</v>
      </c>
      <c r="E39" s="10" cm="1">
        <f t="array" ref="E39">E35/3600*([1]!Enthalpy("carbon dioxide","TP","SI",E17+273.15,E28)-[1]!Enthalpy("carbon dioxide","TP","SI",E14+273.15,E26))*1000</f>
        <v>3947.1654584303815</v>
      </c>
      <c r="F39" s="10" cm="1">
        <f t="array" ref="F39">F35/3600*([1]!Enthalpy("carbon dioxide","TP","SI",F17+273.15,F28)-[1]!Enthalpy("carbon dioxide","TP","SI",F14+273.15,F26))*1000</f>
        <v>4474.9675999292358</v>
      </c>
      <c r="G39" s="10" cm="1">
        <f t="array" ref="G39">G35/3600*([1]!Enthalpy("carbon dioxide","TP","SI",G17+273.15,G28)-[1]!Enthalpy("carbon dioxide","TP","SI",G14+273.15,G26))*1000</f>
        <v>5277.0929876796872</v>
      </c>
      <c r="H39" s="10" cm="1">
        <f t="array" ref="H39">H35/3600*([1]!Enthalpy("carbon dioxide","TP","SI",H17+273.15,H28)-[1]!Enthalpy("carbon dioxide","TP","SI",H14+273.15,H26))*1000</f>
        <v>5268.2766493534164</v>
      </c>
      <c r="I39" s="10" t="e" cm="1">
        <f t="array" ref="I39">I35/3600*([1]!Enthalpy("carbon dioxide","TP","SI",I17+273.15,I28)-[1]!Enthalpy("carbon dioxide","TP","SI",I14+273.15,I26))*1000</f>
        <v>#VALUE!</v>
      </c>
      <c r="J39" s="10" cm="1">
        <f t="array" ref="J39">J35/3600*([1]!Enthalpy("carbon dioxide","TP","SI",J17+273.15,J28)-[1]!Enthalpy("carbon dioxide","TP","SI",J14+273.15,J26))*1000</f>
        <v>4130.029928351033</v>
      </c>
      <c r="K39" s="10" cm="1">
        <f t="array" ref="K39">K35/3600*([1]!Enthalpy("carbon dioxide","TP","SI",K17+273.15,K28)-[1]!Enthalpy("carbon dioxide","TP","SI",K14+273.15,K26))*1000</f>
        <v>4186.1771051848636</v>
      </c>
      <c r="L39" s="88" cm="1">
        <f t="array" ref="L39">L35/3600*([1]!Enthalpy("carbon dioxide","TP","SI",L17+273.15,L28)-[1]!Enthalpy("carbon dioxide","TP","SI",L14+273.15,L26))*1000</f>
        <v>4771.4174967997151</v>
      </c>
      <c r="M39" s="10" cm="1">
        <f t="array" ref="M39">M35/3600*([1]!Enthalpy("carbon dioxide","TP","SI",M17+273.15,M28)-[1]!Enthalpy("carbon dioxide","TP","SI",M14+273.15,M26))*1000</f>
        <v>4691.2299884857002</v>
      </c>
      <c r="N39" s="10" cm="1">
        <f t="array" ref="N39">N35/3600*([1]!Enthalpy("carbon dioxide","TP","SI",N17+273.15,N28)-[1]!Enthalpy("carbon dioxide","TP","SI",N14+273.15,N26))*1000</f>
        <v>4812.7194457789328</v>
      </c>
      <c r="O39" s="10" cm="1">
        <f t="array" ref="O39">O35/3600*([1]!Enthalpy("carbon dioxide","TP","SI",O17+273.15,O28)-[1]!Enthalpy("carbon dioxide","TP","SI",O14+273.15,O26))*1000</f>
        <v>4157.2245807535428</v>
      </c>
      <c r="P39" s="10" cm="1">
        <f t="array" ref="P39">P35/3600*([1]!Enthalpy("carbon dioxide","TP","SI",P17+273.15,P28)-[1]!Enthalpy("carbon dioxide","TP","SI",P14+273.15,P26))*1000</f>
        <v>4426.3456070400553</v>
      </c>
      <c r="Q39" s="82" cm="1">
        <f t="array" ref="Q39">Q35/3600*([1]!Enthalpy("carbon dioxide","TP","SI",Q17+273.15,Q28)-[1]!Enthalpy("carbon dioxide","TP","SI",Q14+273.15,Q26))*1000</f>
        <v>5129.8185734111476</v>
      </c>
      <c r="R39" s="82" cm="1">
        <f t="array" ref="R39">R35/3600*([1]!Enthalpy("carbon dioxide","TP","SI",R17+273.15,R28)-[1]!Enthalpy("carbon dioxide","TP","SI",R14+273.15,R26))*1000</f>
        <v>5009.9870455732953</v>
      </c>
      <c r="S39" s="82" cm="1">
        <f t="array" ref="S39">S35/3600*([1]!Enthalpy("carbon dioxide","TP","SI",S17+273.15,S28)-[1]!Enthalpy("carbon dioxide","TP","SI",S14+273.15,S26))*1000</f>
        <v>5126.4389447858111</v>
      </c>
      <c r="T39" s="10" cm="1">
        <f t="array" ref="T39">T35/3600*([1]!Enthalpy("carbon dioxide","TP","SI",T17+273.15,T28)-[1]!Enthalpy("carbon dioxide","TP","SI",T14+273.15,T26))*1000</f>
        <v>4531.5765247619038</v>
      </c>
      <c r="U39" s="10" cm="1">
        <f t="array" ref="U39">U35/3600*([1]!Enthalpy("carbon dioxide","TP","SI",U17+273.15,U28)-[1]!Enthalpy("carbon dioxide","TP","SI",U14+273.15,U26))*1000</f>
        <v>4652.6814166377999</v>
      </c>
      <c r="V39" s="10" cm="1">
        <f t="array" ref="V39">V35/3600*([1]!Enthalpy("carbon dioxide","TP","SI",V17+273.15,V28)-[1]!Enthalpy("carbon dioxide","TP","SI",V14+273.15,V26))*1000</f>
        <v>4463.290730955001</v>
      </c>
      <c r="W39" s="88" cm="1">
        <f t="array" ref="W39">W35/3600*([1]!Enthalpy("carbon dioxide","TP","SI",W17+273.15,W28)-[1]!Enthalpy("carbon dioxide","TP","SI",W14+273.15,W26))*1000</f>
        <v>5332.9232043774946</v>
      </c>
      <c r="X39" s="10" cm="1">
        <f t="array" ref="X39">X35/3600*([1]!Enthalpy("carbon dioxide","TP","SI",X17+273.15,X28)-[1]!Enthalpy("carbon dioxide","TP","SI",X14+273.15,X26))*1000</f>
        <v>4567.9384117021345</v>
      </c>
      <c r="Y39" s="10" cm="1">
        <f t="array" ref="Y39">Y35/3600*([1]!Enthalpy("carbon dioxide","TP","SI",Y17+273.15,Y28)-[1]!Enthalpy("carbon dioxide","TP","SI",Y14+273.15,Y26))*1000</f>
        <v>4603.5043152367334</v>
      </c>
      <c r="Z39" s="10" cm="1">
        <f t="array" ref="Z39">Z35/3600*([1]!Enthalpy("carbon dioxide","TP","SI",Z17+273.15,Z28)-[1]!Enthalpy("carbon dioxide","TP","SI",Z14+273.15,Z26))*1000</f>
        <v>4446.8731315069699</v>
      </c>
      <c r="AA39" s="10" cm="1">
        <f t="array" ref="AA39">AA35/3600*([1]!Enthalpy("carbon dioxide","TP","SI",AA17+273.15,AA28)-[1]!Enthalpy("carbon dioxide","TP","SI",AA14+273.15,AA26))*1000</f>
        <v>5238.0515048147363</v>
      </c>
      <c r="AB39" s="10" cm="1">
        <f t="array" ref="AB39">AB35/3600*([1]!Enthalpy("carbon dioxide","TP","SI",AB17+273.15,AB28)-[1]!Enthalpy("carbon dioxide","TP","SI",AB14+273.15,AB26))*1000</f>
        <v>5192.1717678147061</v>
      </c>
      <c r="AC39" s="10" cm="1">
        <f t="array" ref="AC39">AC35/3600*([1]!Enthalpy("carbon dioxide","TP","SI",AC17+273.15,AC28)-[1]!Enthalpy("carbon dioxide","TP","SI",AC14+273.15,AC26))*1000</f>
        <v>5074.4856981325674</v>
      </c>
      <c r="AD39" s="10" cm="1">
        <f t="array" ref="AD39">AD35/3600*([1]!Enthalpy("carbon dioxide","TP","SI",AD17+273.15,AD28)-[1]!Enthalpy("carbon dioxide","TP","SI",AD14+273.15,AD26))*1000</f>
        <v>4669.4307809590637</v>
      </c>
      <c r="AE39" s="10" cm="1">
        <f t="array" ref="AE39">AE35/3600*([1]!Enthalpy("carbon dioxide","TP","SI",AE17+273.15,AE28)-[1]!Enthalpy("carbon dioxide","TP","SI",AE14+273.15,AE26))*1000</f>
        <v>5418.1290951955116</v>
      </c>
      <c r="AF39" s="10" cm="1">
        <f t="array" ref="AF39">AF35/3600*([1]!Enthalpy("carbon dioxide","TP","SI",AF17+273.15,AF28)-[1]!Enthalpy("carbon dioxide","TP","SI",AF14+273.15,AF26))*1000</f>
        <v>4357.9811361566581</v>
      </c>
      <c r="AG39" s="10" cm="1">
        <f t="array" ref="AG39">AG35/3600*([1]!Enthalpy("carbon dioxide","TP","SI",AG17+273.15,AG28)-[1]!Enthalpy("carbon dioxide","TP","SI",AG14+273.15,AG26))*1000</f>
        <v>4490.3112683885183</v>
      </c>
      <c r="AH39" s="10" cm="1">
        <f t="array" ref="AH39">AH35/3600*([1]!Enthalpy("carbon dioxide","TP","SI",AH17+273.15,AH28)-[1]!Enthalpy("carbon dioxide","TP","SI",AH14+273.15,AH26))*1000</f>
        <v>4671.4122629638232</v>
      </c>
      <c r="AI39" s="10" cm="1">
        <f t="array" ref="AI39">AI35/3600*([1]!Enthalpy("carbon dioxide","TP","SI",AI17+273.15,AI28)-[1]!Enthalpy("carbon dioxide","TP","SI",AI14+273.15,AI26))*1000</f>
        <v>4643.6217609484902</v>
      </c>
      <c r="AJ39" s="10" cm="1">
        <f t="array" ref="AJ39">AJ35/3600*([1]!Enthalpy("carbon dioxide","TP","SI",AJ17+273.15,AJ28)-[1]!Enthalpy("carbon dioxide","TP","SI",AJ14+273.15,AJ26))*1000</f>
        <v>5304.6079320712415</v>
      </c>
      <c r="AK39" s="10" cm="1">
        <f t="array" ref="AK39">AK35/3600*([1]!Enthalpy("carbon dioxide","TP","SI",AK17+273.15,AK28)-[1]!Enthalpy("carbon dioxide","TP","SI",AK14+273.15,AK26))*1000</f>
        <v>5258.2517028947796</v>
      </c>
      <c r="AL39" s="10" cm="1">
        <f t="array" ref="AL39">AL35/3600*([1]!Enthalpy("carbon dioxide","TP","SI",AL17+273.15,AL28)-[1]!Enthalpy("carbon dioxide","TP","SI",AL14+273.15,AL26))*1000</f>
        <v>5194.2572800260932</v>
      </c>
      <c r="AM39" s="10" cm="1">
        <f t="array" ref="AM39">AM35/3600*([1]!Enthalpy("carbon dioxide","TP","SI",AM17+273.15,AM28)-[1]!Enthalpy("carbon dioxide","TP","SI",AM14+273.15,AM26))*1000</f>
        <v>5084.331813820063</v>
      </c>
      <c r="AN39" s="10" cm="1">
        <f t="array" ref="AN39">AN35/3600*([1]!Enthalpy("carbon dioxide","TP","SI",AN17+273.15,AN28)-[1]!Enthalpy("carbon dioxide","TP","SI",AN14+273.15,AN26))*1000</f>
        <v>5525.0572524192066</v>
      </c>
      <c r="AO39" s="10" cm="1">
        <f t="array" ref="AO39">AO35/3600*([1]!Enthalpy("carbon dioxide","TP","SI",AO17+273.15,AO28)-[1]!Enthalpy("carbon dioxide","TP","SI",AO14+273.15,AO26))*1000</f>
        <v>5491.9469731975796</v>
      </c>
      <c r="AP39" s="10" cm="1">
        <f t="array" ref="AP39">AP35/3600*([1]!Enthalpy("carbon dioxide","TP","SI",AP17+273.15,AP28)-[1]!Enthalpy("carbon dioxide","TP","SI",AP14+273.15,AP26))*1000</f>
        <v>4709.6895686102771</v>
      </c>
      <c r="AQ39" s="10" cm="1">
        <f t="array" ref="AQ39">AQ35/3600*([1]!Enthalpy("carbon dioxide","TP","SI",AQ17+273.15,AQ28)-[1]!Enthalpy("carbon dioxide","TP","SI",AQ14+273.15,AQ26))*1000</f>
        <v>4728.1523056584365</v>
      </c>
      <c r="AR39" s="10" cm="1">
        <f t="array" ref="AR39">AR35/3600*([1]!Enthalpy("carbon dioxide","TP","SI",AR17+273.15,AR28)-[1]!Enthalpy("carbon dioxide","TP","SI",AR14+273.15,AR26))*1000</f>
        <v>4787.7569611206318</v>
      </c>
      <c r="AS39" s="10" cm="1">
        <f t="array" ref="AS39">AS35/3600*([1]!Enthalpy("carbon dioxide","TP","SI",AS17+273.15,AS28)-[1]!Enthalpy("carbon dioxide","TP","SI",AS14+273.15,AS26))*1000</f>
        <v>5589.4046697704225</v>
      </c>
      <c r="AT39" s="10" cm="1">
        <f t="array" ref="AT39">AT35/3600*([1]!Enthalpy("carbon dioxide","TP","SI",AT17+273.15,AT28)-[1]!Enthalpy("carbon dioxide","TP","SI",AT14+273.15,AT26))*1000</f>
        <v>5713.8445444096833</v>
      </c>
      <c r="AU39" s="10" cm="1">
        <f t="array" ref="AU39">AU35/3600*([1]!Enthalpy("carbon dioxide","TP","SI",AU17+273.15,AU28)-[1]!Enthalpy("carbon dioxide","TP","SI",AU14+273.15,AU26))*1000</f>
        <v>5948.0853929836903</v>
      </c>
      <c r="AV39" s="10" cm="1">
        <f t="array" ref="AV39">AV35/3600*([1]!Enthalpy("carbon dioxide","TP","SI",AV17+273.15,AV28)-[1]!Enthalpy("carbon dioxide","TP","SI",AV14+273.15,AV26))*1000</f>
        <v>6391.6094049742114</v>
      </c>
      <c r="AW39" s="10" cm="1">
        <f t="array" ref="AW39">AW35/3600*([1]!Enthalpy("carbon dioxide","TP","SI",AW17+273.15,AW28)-[1]!Enthalpy("carbon dioxide","TP","SI",AW14+273.15,AW26))*1000</f>
        <v>6666.5384479130889</v>
      </c>
      <c r="AX39" s="10" cm="1">
        <f t="array" ref="AX39">AX35/3600*([1]!Enthalpy("carbon dioxide","TP","SI",AX17+273.15,AX28)-[1]!Enthalpy("carbon dioxide","TP","SI",AX14+273.15,AX26))*1000</f>
        <v>6935.2745257263678</v>
      </c>
      <c r="AY39" s="10" cm="1">
        <f t="array" ref="AY39">AY35/3600*([1]!Enthalpy("carbon dioxide","TP","SI",AY17+273.15,AY28)-[1]!Enthalpy("carbon dioxide","TP","SI",AY14+273.15,AY26))*1000</f>
        <v>6186.380442750883</v>
      </c>
      <c r="AZ39" s="10" cm="1">
        <f t="array" ref="AZ39">AZ35/3600*([1]!Enthalpy("carbon dioxide","TP","SI",AZ17+273.15,AZ28)-[1]!Enthalpy("carbon dioxide","TP","SI",AZ14+273.15,AZ26))*1000</f>
        <v>5467.8723333038333</v>
      </c>
      <c r="BA39" s="10" t="e" cm="1">
        <f t="array" ref="BA39">BA35/3600*([1]!Enthalpy("carbon dioxide","TP","SI",BA17+273.15,BA28)-[1]!Enthalpy("carbon dioxide","TP","SI",BA14+273.15,BA26))*1000</f>
        <v>#VALUE!</v>
      </c>
      <c r="BB39" s="10" t="e" cm="1">
        <f t="array" ref="BB39">BB35/3600*([1]!Enthalpy("carbon dioxide","TP","SI",BB17+273.15,BB28)-[1]!Enthalpy("carbon dioxide","TP","SI",BB14+273.15,BB26))*1000</f>
        <v>#VALUE!</v>
      </c>
      <c r="BC39" s="10" t="e" cm="1">
        <f t="array" ref="BC39">BC35/3600*([1]!Enthalpy("carbon dioxide","TP","SI",BC17+273.15,BC28)-[1]!Enthalpy("carbon dioxide","TP","SI",BC14+273.15,BC26))*1000</f>
        <v>#VALUE!</v>
      </c>
      <c r="BD39" s="51"/>
    </row>
    <row r="40" spans="1:56" x14ac:dyDescent="0.3">
      <c r="A40" s="106"/>
      <c r="B40" s="12" t="s">
        <v>36</v>
      </c>
      <c r="C40" s="10"/>
      <c r="D40" s="41"/>
      <c r="E40" s="41"/>
      <c r="F40" s="41"/>
      <c r="G40" s="10"/>
      <c r="H40" s="41"/>
      <c r="I40" s="10"/>
      <c r="J40" s="10"/>
      <c r="K40" s="10"/>
      <c r="L40" s="88"/>
      <c r="M40" s="10"/>
      <c r="N40" s="10"/>
      <c r="O40" s="41"/>
      <c r="P40" s="10"/>
      <c r="Q40" s="82"/>
      <c r="R40" s="82"/>
      <c r="S40" s="82"/>
      <c r="T40" s="41"/>
      <c r="U40" s="10"/>
      <c r="V40" s="10"/>
      <c r="W40" s="88"/>
      <c r="X40" s="41"/>
      <c r="Y40" s="10"/>
      <c r="Z40" s="10"/>
      <c r="AA40" s="10"/>
      <c r="AB40" s="10"/>
      <c r="AC40" s="41"/>
      <c r="AD40" s="10"/>
      <c r="AE40" s="41"/>
      <c r="AF40" s="10"/>
      <c r="AG40" s="10"/>
      <c r="AH40" s="41"/>
      <c r="AI40" s="10"/>
      <c r="AJ40" s="10"/>
      <c r="AK40" s="10"/>
      <c r="AL40" s="41"/>
      <c r="AM40" s="10"/>
      <c r="AN40" s="41"/>
      <c r="AO40" s="10"/>
      <c r="AP40" s="10"/>
      <c r="AQ40" s="10"/>
      <c r="AR40" s="41"/>
      <c r="AS40" s="10"/>
      <c r="AT40" s="41"/>
      <c r="AU40" s="10"/>
      <c r="AV40" s="10"/>
      <c r="AW40" s="41"/>
      <c r="AX40" s="10"/>
      <c r="AY40" s="10"/>
      <c r="AZ40" s="10"/>
      <c r="BA40" s="10"/>
      <c r="BB40" s="10"/>
      <c r="BC40" s="51"/>
      <c r="BD40" s="51"/>
    </row>
    <row r="41" spans="1:56" x14ac:dyDescent="0.3">
      <c r="A41" s="106"/>
      <c r="B41" s="10" t="s">
        <v>53</v>
      </c>
      <c r="C41" s="10">
        <f>C30*C31</f>
        <v>1725</v>
      </c>
      <c r="D41" s="41">
        <f t="shared" ref="D41:AE41" si="0">D30*D31</f>
        <v>1863.0000000000002</v>
      </c>
      <c r="E41" s="41">
        <f t="shared" si="0"/>
        <v>2415</v>
      </c>
      <c r="F41" s="41">
        <f t="shared" si="0"/>
        <v>3001.4999999999995</v>
      </c>
      <c r="G41" s="10">
        <f t="shared" si="0"/>
        <v>3173.9999999999995</v>
      </c>
      <c r="H41" s="41">
        <f t="shared" si="0"/>
        <v>3191.25</v>
      </c>
      <c r="I41" s="10"/>
      <c r="J41" s="10">
        <f t="shared" si="0"/>
        <v>2018.2499999999998</v>
      </c>
      <c r="K41" s="10">
        <f t="shared" si="0"/>
        <v>2070</v>
      </c>
      <c r="L41" s="88">
        <f t="shared" si="0"/>
        <v>2622</v>
      </c>
      <c r="M41" s="10">
        <f t="shared" si="0"/>
        <v>2587.5</v>
      </c>
      <c r="N41" s="10">
        <f t="shared" si="0"/>
        <v>2673.75</v>
      </c>
      <c r="O41" s="41">
        <f t="shared" si="0"/>
        <v>2035.5000000000002</v>
      </c>
      <c r="P41" s="10">
        <f t="shared" si="0"/>
        <v>2397.75</v>
      </c>
      <c r="Q41" s="82">
        <f t="shared" si="0"/>
        <v>2622</v>
      </c>
      <c r="R41" s="82">
        <f t="shared" si="0"/>
        <v>2587.5</v>
      </c>
      <c r="S41" s="82">
        <f t="shared" si="0"/>
        <v>2656.5</v>
      </c>
      <c r="T41" s="41">
        <f t="shared" si="0"/>
        <v>2035.5000000000002</v>
      </c>
      <c r="U41" s="10">
        <f t="shared" si="0"/>
        <v>2087.25</v>
      </c>
      <c r="V41" s="10">
        <f t="shared" si="0"/>
        <v>2001</v>
      </c>
      <c r="W41" s="88">
        <f t="shared" si="0"/>
        <v>3173.9999999999995</v>
      </c>
      <c r="X41" s="41">
        <f t="shared" si="0"/>
        <v>2035.5000000000002</v>
      </c>
      <c r="Y41" s="10">
        <f t="shared" si="0"/>
        <v>2087.25</v>
      </c>
      <c r="Z41" s="10">
        <f t="shared" si="0"/>
        <v>2001</v>
      </c>
      <c r="AA41" s="10">
        <f t="shared" si="0"/>
        <v>2725.5</v>
      </c>
      <c r="AB41" s="10">
        <f t="shared" si="0"/>
        <v>2691</v>
      </c>
      <c r="AC41" s="41">
        <f t="shared" si="0"/>
        <v>2622</v>
      </c>
      <c r="AD41" s="10">
        <f t="shared" si="0"/>
        <v>2449.5</v>
      </c>
      <c r="AE41" s="41">
        <f t="shared" si="0"/>
        <v>3173.9999999999995</v>
      </c>
      <c r="AF41" s="10">
        <f t="shared" ref="AF41:AS41" si="1">AF30*AF31</f>
        <v>1966.5</v>
      </c>
      <c r="AG41" s="10">
        <f t="shared" si="1"/>
        <v>2035.5000000000002</v>
      </c>
      <c r="AH41" s="41">
        <f t="shared" si="1"/>
        <v>2070</v>
      </c>
      <c r="AI41" s="10">
        <f t="shared" si="1"/>
        <v>2139</v>
      </c>
      <c r="AJ41" s="10">
        <f t="shared" si="1"/>
        <v>2725.5</v>
      </c>
      <c r="AK41" s="10">
        <f t="shared" si="1"/>
        <v>2656.5</v>
      </c>
      <c r="AL41" s="41">
        <f t="shared" si="1"/>
        <v>2587.5</v>
      </c>
      <c r="AM41" s="10">
        <f t="shared" si="1"/>
        <v>2553</v>
      </c>
      <c r="AN41" s="41">
        <f t="shared" si="1"/>
        <v>3173.9999999999995</v>
      </c>
      <c r="AO41" s="10">
        <f t="shared" si="1"/>
        <v>3139.5</v>
      </c>
      <c r="AP41" s="10">
        <f t="shared" si="1"/>
        <v>2104.5</v>
      </c>
      <c r="AQ41" s="10">
        <f t="shared" si="1"/>
        <v>2035.5000000000002</v>
      </c>
      <c r="AR41" s="41">
        <f t="shared" si="1"/>
        <v>1966.5</v>
      </c>
      <c r="AS41" s="10">
        <f t="shared" si="1"/>
        <v>2691</v>
      </c>
      <c r="AT41" s="41">
        <f t="shared" ref="AT41:AZ41" si="2">AT30*AT31</f>
        <v>2622</v>
      </c>
      <c r="AU41" s="10">
        <f t="shared" si="2"/>
        <v>2518.5</v>
      </c>
      <c r="AV41" s="10">
        <f t="shared" si="2"/>
        <v>3277.5</v>
      </c>
      <c r="AW41" s="41">
        <f t="shared" si="2"/>
        <v>3208.5000000000005</v>
      </c>
      <c r="AX41" s="10">
        <f t="shared" si="2"/>
        <v>3139.5</v>
      </c>
      <c r="AY41" s="10">
        <f t="shared" si="2"/>
        <v>2449.5</v>
      </c>
      <c r="AZ41" s="10">
        <f t="shared" si="2"/>
        <v>2760</v>
      </c>
      <c r="BA41" s="10">
        <f>BA30*BA31</f>
        <v>0</v>
      </c>
      <c r="BB41" s="10">
        <f>BB30*BB31</f>
        <v>0</v>
      </c>
      <c r="BC41" s="51"/>
      <c r="BD41" s="51"/>
    </row>
    <row r="42" spans="1:56" x14ac:dyDescent="0.3">
      <c r="A42" s="106"/>
      <c r="B42" s="12" t="s">
        <v>54</v>
      </c>
      <c r="C42" s="10"/>
      <c r="D42" s="41"/>
      <c r="E42" s="41"/>
      <c r="F42" s="41"/>
      <c r="G42" s="10"/>
      <c r="H42" s="41"/>
      <c r="I42" s="10"/>
      <c r="J42" s="10"/>
      <c r="K42" s="10"/>
      <c r="L42" s="88"/>
      <c r="M42" s="10"/>
      <c r="N42" s="10"/>
      <c r="O42" s="41"/>
      <c r="P42" s="10"/>
      <c r="Q42" s="82"/>
      <c r="R42" s="82"/>
      <c r="S42" s="82"/>
      <c r="T42" s="41"/>
      <c r="U42" s="10"/>
      <c r="V42" s="10"/>
      <c r="W42" s="88"/>
      <c r="X42" s="41"/>
      <c r="Y42" s="10"/>
      <c r="Z42" s="10"/>
      <c r="AA42" s="10"/>
      <c r="AB42" s="10"/>
      <c r="AC42" s="41"/>
      <c r="AD42" s="10"/>
      <c r="AE42" s="41"/>
      <c r="AF42" s="10"/>
      <c r="AG42" s="10"/>
      <c r="AH42" s="41"/>
      <c r="AI42" s="10"/>
      <c r="AJ42" s="10"/>
      <c r="AK42" s="10"/>
      <c r="AL42" s="41"/>
      <c r="AM42" s="10"/>
      <c r="AN42" s="41"/>
      <c r="AO42" s="10"/>
      <c r="AP42" s="10"/>
      <c r="AQ42" s="10"/>
      <c r="AR42" s="41"/>
      <c r="AS42" s="10"/>
      <c r="AT42" s="41"/>
      <c r="AU42" s="10"/>
      <c r="AV42" s="10"/>
      <c r="AW42" s="41"/>
      <c r="AX42" s="10"/>
      <c r="AY42" s="10"/>
      <c r="AZ42" s="10"/>
      <c r="BA42" s="10"/>
      <c r="BB42" s="10"/>
      <c r="BC42" s="51"/>
      <c r="BD42" s="51"/>
    </row>
    <row r="43" spans="1:56" s="96" customFormat="1" x14ac:dyDescent="0.3">
      <c r="A43" s="106"/>
      <c r="B43" s="91" t="s">
        <v>55</v>
      </c>
      <c r="C43" s="91">
        <f>C38/C41</f>
        <v>1.0055246376811593</v>
      </c>
      <c r="D43" s="92">
        <f>D38/D41</f>
        <v>1.6141492216854534</v>
      </c>
      <c r="E43" s="92">
        <f>E38/E41</f>
        <v>1.4722318840579711</v>
      </c>
      <c r="F43" s="92">
        <f>F38/F41</f>
        <v>1.3337997667832753</v>
      </c>
      <c r="G43" s="91">
        <f t="shared" ref="G43:AE43" si="3">G38/G41</f>
        <v>1.4487586641461878</v>
      </c>
      <c r="H43" s="92">
        <f t="shared" si="3"/>
        <v>1.4670583627105367</v>
      </c>
      <c r="I43" s="91"/>
      <c r="J43" s="91">
        <f t="shared" si="3"/>
        <v>1.9539204756596062</v>
      </c>
      <c r="K43" s="91">
        <f t="shared" si="3"/>
        <v>1.9323478260869564</v>
      </c>
      <c r="L43" s="93">
        <f t="shared" si="3"/>
        <v>1.7094279176201372</v>
      </c>
      <c r="M43" s="91">
        <f t="shared" si="3"/>
        <v>1.6860019323671496</v>
      </c>
      <c r="N43" s="91">
        <f t="shared" si="3"/>
        <v>1.6969948574100047</v>
      </c>
      <c r="O43" s="92">
        <f t="shared" si="3"/>
        <v>1.9619700319331859</v>
      </c>
      <c r="P43" s="91">
        <f t="shared" si="3"/>
        <v>1.5771660932123865</v>
      </c>
      <c r="Q43" s="94">
        <f t="shared" si="3"/>
        <v>1.7051639969488939</v>
      </c>
      <c r="R43" s="94">
        <f t="shared" si="3"/>
        <v>1.6930589371980675</v>
      </c>
      <c r="S43" s="94">
        <f t="shared" si="3"/>
        <v>1.7019273480143045</v>
      </c>
      <c r="T43" s="92">
        <f t="shared" si="3"/>
        <v>1.9802652910832717</v>
      </c>
      <c r="U43" s="91">
        <f t="shared" si="3"/>
        <v>1.9570487483530961</v>
      </c>
      <c r="V43" s="91">
        <f t="shared" si="3"/>
        <v>1.963768115942029</v>
      </c>
      <c r="W43" s="93">
        <f t="shared" si="3"/>
        <v>1.4746156269691244</v>
      </c>
      <c r="X43" s="92">
        <f t="shared" si="3"/>
        <v>1.9628838123311223</v>
      </c>
      <c r="Y43" s="91">
        <f t="shared" si="3"/>
        <v>1.9330410827644029</v>
      </c>
      <c r="Z43" s="91">
        <f t="shared" si="3"/>
        <v>1.9600599700149925</v>
      </c>
      <c r="AA43" s="91">
        <f t="shared" si="3"/>
        <v>1.6774573472757293</v>
      </c>
      <c r="AB43" s="91">
        <f t="shared" si="3"/>
        <v>1.6846934225195096</v>
      </c>
      <c r="AC43" s="92">
        <f t="shared" si="3"/>
        <v>1.6953508771929824</v>
      </c>
      <c r="AD43" s="91">
        <f t="shared" si="3"/>
        <v>1.618795672586242</v>
      </c>
      <c r="AE43" s="92">
        <f t="shared" si="3"/>
        <v>1.4638657844990552</v>
      </c>
      <c r="AF43" s="97">
        <f t="shared" ref="AF43:AT43" si="4">AF38/AF41</f>
        <v>1.9245105517416732</v>
      </c>
      <c r="AG43" s="91">
        <f t="shared" si="4"/>
        <v>1.9260427413411936</v>
      </c>
      <c r="AH43" s="92">
        <f t="shared" si="4"/>
        <v>1.9347584541062801</v>
      </c>
      <c r="AI43" s="91">
        <f t="shared" si="4"/>
        <v>1.8859887798036465</v>
      </c>
      <c r="AJ43" s="91">
        <f t="shared" si="4"/>
        <v>1.659622087690332</v>
      </c>
      <c r="AK43" s="91">
        <f t="shared" si="4"/>
        <v>1.6903971390927912</v>
      </c>
      <c r="AL43" s="92">
        <f t="shared" si="4"/>
        <v>1.6959845410628018</v>
      </c>
      <c r="AM43" s="91">
        <f t="shared" si="4"/>
        <v>1.6832040736388563</v>
      </c>
      <c r="AN43" s="92">
        <f t="shared" si="4"/>
        <v>1.4575897920604919</v>
      </c>
      <c r="AO43" s="91">
        <f t="shared" si="4"/>
        <v>1.4497499601847428</v>
      </c>
      <c r="AP43" s="91">
        <f t="shared" si="4"/>
        <v>1.8576478973627941</v>
      </c>
      <c r="AQ43" s="91">
        <f t="shared" si="4"/>
        <v>1.9136084500122819</v>
      </c>
      <c r="AR43" s="92">
        <f t="shared" si="4"/>
        <v>1.9372031528095603</v>
      </c>
      <c r="AS43" s="91">
        <f t="shared" si="4"/>
        <v>1.6259383128948346</v>
      </c>
      <c r="AT43" s="92">
        <f t="shared" si="4"/>
        <v>1.6651563691838291</v>
      </c>
      <c r="AU43" s="91">
        <f t="shared" ref="AU43:AZ43" si="5">AU38/AU41</f>
        <v>1.6589001389716098</v>
      </c>
      <c r="AV43" s="91">
        <f t="shared" si="5"/>
        <v>1.4562196796338673</v>
      </c>
      <c r="AW43" s="92">
        <f t="shared" si="5"/>
        <v>1.4637431821723546</v>
      </c>
      <c r="AX43" s="91">
        <f t="shared" si="5"/>
        <v>1.4211243828635132</v>
      </c>
      <c r="AY43" s="91">
        <f t="shared" si="5"/>
        <v>1.5065605225556236</v>
      </c>
      <c r="AZ43" s="91">
        <f t="shared" si="5"/>
        <v>1.6257971014492754</v>
      </c>
      <c r="BA43" s="91" t="e">
        <f>BA38/BA41</f>
        <v>#DIV/0!</v>
      </c>
      <c r="BB43" s="91" t="e">
        <f>BB38/BB41</f>
        <v>#DIV/0!</v>
      </c>
      <c r="BC43" s="95"/>
      <c r="BD43" s="95"/>
    </row>
    <row r="44" spans="1:56" x14ac:dyDescent="0.3">
      <c r="A44" s="106"/>
      <c r="B44" s="10" t="s">
        <v>56</v>
      </c>
      <c r="C44" s="10">
        <f t="shared" ref="C44:AE44" si="6">C39/C41</f>
        <v>1.1482028290365174</v>
      </c>
      <c r="D44" s="41">
        <f t="shared" si="6"/>
        <v>1.7745792320504021</v>
      </c>
      <c r="E44" s="41">
        <f t="shared" si="6"/>
        <v>1.6344370428283153</v>
      </c>
      <c r="F44" s="41">
        <f t="shared" si="6"/>
        <v>1.4909104114373601</v>
      </c>
      <c r="G44" s="10">
        <f t="shared" si="6"/>
        <v>1.6626001851542811</v>
      </c>
      <c r="H44" s="41">
        <f t="shared" si="6"/>
        <v>1.6508504972513642</v>
      </c>
      <c r="I44" s="10" t="e">
        <f t="shared" si="6"/>
        <v>#VALUE!</v>
      </c>
      <c r="J44" s="10">
        <f t="shared" si="6"/>
        <v>2.0463420925807179</v>
      </c>
      <c r="K44" s="10">
        <f t="shared" si="6"/>
        <v>2.0223077802825427</v>
      </c>
      <c r="L44" s="88">
        <f t="shared" si="6"/>
        <v>1.819762584591806</v>
      </c>
      <c r="M44" s="10">
        <f t="shared" si="6"/>
        <v>1.8130357443422995</v>
      </c>
      <c r="N44" s="10">
        <f t="shared" si="6"/>
        <v>1.79998857252134</v>
      </c>
      <c r="O44" s="41">
        <f t="shared" si="6"/>
        <v>2.0423603933940271</v>
      </c>
      <c r="P44" s="10">
        <f t="shared" si="6"/>
        <v>1.8460413333500387</v>
      </c>
      <c r="Q44" s="82">
        <f t="shared" si="6"/>
        <v>1.9564525451606207</v>
      </c>
      <c r="R44" s="82">
        <f t="shared" si="6"/>
        <v>1.9362268775162494</v>
      </c>
      <c r="S44" s="82">
        <f t="shared" si="6"/>
        <v>1.9297718595090574</v>
      </c>
      <c r="T44" s="41">
        <f t="shared" si="6"/>
        <v>2.2262719355253764</v>
      </c>
      <c r="U44" s="10">
        <f t="shared" si="6"/>
        <v>2.229096378794011</v>
      </c>
      <c r="V44" s="10">
        <f t="shared" si="6"/>
        <v>2.2305301004272868</v>
      </c>
      <c r="W44" s="88">
        <f t="shared" si="6"/>
        <v>1.6801900454875536</v>
      </c>
      <c r="X44" s="41">
        <f t="shared" si="6"/>
        <v>2.2441357954812742</v>
      </c>
      <c r="Y44" s="10">
        <f t="shared" si="6"/>
        <v>2.2055356642648141</v>
      </c>
      <c r="Z44" s="10">
        <f t="shared" si="6"/>
        <v>2.222325403051959</v>
      </c>
      <c r="AA44" s="10">
        <f t="shared" si="6"/>
        <v>1.9218680993633228</v>
      </c>
      <c r="AB44" s="10">
        <f t="shared" si="6"/>
        <v>1.9294581076977726</v>
      </c>
      <c r="AC44" s="41">
        <f t="shared" si="6"/>
        <v>1.9353492365112768</v>
      </c>
      <c r="AD44" s="10">
        <f t="shared" si="6"/>
        <v>1.9062791512386461</v>
      </c>
      <c r="AE44" s="41">
        <f t="shared" si="6"/>
        <v>1.7070350016368974</v>
      </c>
      <c r="AF44" s="10">
        <f t="shared" ref="AF44:AY44" si="7">AF39/AF41</f>
        <v>2.2161104175726711</v>
      </c>
      <c r="AG44" s="10">
        <f t="shared" si="7"/>
        <v>2.2059991492942852</v>
      </c>
      <c r="AH44" s="41">
        <f t="shared" si="7"/>
        <v>2.2567208999825232</v>
      </c>
      <c r="AI44" s="10">
        <f t="shared" si="7"/>
        <v>2.1709311645387985</v>
      </c>
      <c r="AJ44" s="10">
        <f t="shared" si="7"/>
        <v>1.946287995623277</v>
      </c>
      <c r="AK44" s="10">
        <f t="shared" si="7"/>
        <v>1.9793908160718161</v>
      </c>
      <c r="AL44" s="41">
        <f t="shared" si="7"/>
        <v>2.0074424270632245</v>
      </c>
      <c r="AM44" s="10">
        <f t="shared" si="7"/>
        <v>1.9915126571954811</v>
      </c>
      <c r="AN44" s="41">
        <f t="shared" si="7"/>
        <v>1.7407237720287358</v>
      </c>
      <c r="AO44" s="10">
        <f t="shared" si="7"/>
        <v>1.7493062504212709</v>
      </c>
      <c r="AP44" s="10">
        <f t="shared" si="7"/>
        <v>2.2379137888383354</v>
      </c>
      <c r="AQ44" s="10">
        <f t="shared" si="7"/>
        <v>2.3228456426717936</v>
      </c>
      <c r="AR44" s="41">
        <f t="shared" si="7"/>
        <v>2.434659019130756</v>
      </c>
      <c r="AS44" s="10">
        <f t="shared" si="7"/>
        <v>2.0770734558790123</v>
      </c>
      <c r="AT44" s="41">
        <f t="shared" si="7"/>
        <v>2.1791931900875987</v>
      </c>
      <c r="AU44" s="10">
        <f t="shared" si="7"/>
        <v>2.361757154252011</v>
      </c>
      <c r="AV44" s="10">
        <f t="shared" si="7"/>
        <v>1.950147797093581</v>
      </c>
      <c r="AW44" s="41">
        <f t="shared" si="7"/>
        <v>2.0777741773143488</v>
      </c>
      <c r="AX44" s="10">
        <f t="shared" si="7"/>
        <v>2.209037912319276</v>
      </c>
      <c r="AY44" s="10">
        <f t="shared" si="7"/>
        <v>2.525568664115486</v>
      </c>
      <c r="AZ44" s="10"/>
      <c r="BA44" s="10"/>
      <c r="BB44" s="10"/>
      <c r="BC44" s="51"/>
      <c r="BD44" s="51"/>
    </row>
    <row r="45" spans="1:56" x14ac:dyDescent="0.3">
      <c r="A45" s="106"/>
      <c r="B45" s="12" t="s">
        <v>20</v>
      </c>
      <c r="C45" s="10"/>
      <c r="D45" s="41"/>
      <c r="E45" s="41"/>
      <c r="F45" s="41"/>
      <c r="G45" s="10"/>
      <c r="H45" s="41"/>
      <c r="I45" s="10"/>
      <c r="J45" s="10"/>
      <c r="K45" s="10"/>
      <c r="L45" s="88"/>
      <c r="M45" s="10"/>
      <c r="N45" s="10"/>
      <c r="O45" s="41"/>
      <c r="P45" s="10"/>
      <c r="Q45" s="82"/>
      <c r="R45" s="82"/>
      <c r="S45" s="82"/>
      <c r="T45" s="41"/>
      <c r="U45" s="10"/>
      <c r="V45" s="10"/>
      <c r="W45" s="88"/>
      <c r="X45" s="41"/>
      <c r="Y45" s="10"/>
      <c r="Z45" s="10"/>
      <c r="AA45" s="10"/>
      <c r="AB45" s="10"/>
      <c r="AC45" s="41"/>
      <c r="AD45" s="10"/>
      <c r="AE45" s="41"/>
      <c r="AF45" s="10"/>
      <c r="AG45" s="10"/>
      <c r="AH45" s="41"/>
      <c r="AI45" s="10"/>
      <c r="AJ45" s="10"/>
      <c r="AK45" s="10"/>
      <c r="AL45" s="41"/>
      <c r="AM45" s="10"/>
      <c r="AN45" s="41"/>
      <c r="AO45" s="10"/>
      <c r="AP45" s="10"/>
      <c r="AQ45" s="10"/>
      <c r="AR45" s="41"/>
      <c r="AS45" s="10"/>
      <c r="AT45" s="41"/>
      <c r="AU45" s="10"/>
      <c r="AV45" s="10"/>
      <c r="AW45" s="41"/>
      <c r="AX45" s="10"/>
      <c r="AY45" s="10"/>
      <c r="AZ45" s="10"/>
      <c r="BA45" s="10"/>
      <c r="BB45" s="10"/>
      <c r="BC45" s="51"/>
      <c r="BD45" s="51"/>
    </row>
    <row r="46" spans="1:56" x14ac:dyDescent="0.3">
      <c r="A46" s="106"/>
      <c r="B46" s="10" t="s">
        <v>37</v>
      </c>
      <c r="C46" s="10">
        <v>17.64</v>
      </c>
      <c r="D46" s="41">
        <v>13.83</v>
      </c>
      <c r="E46" s="41">
        <v>12.12</v>
      </c>
      <c r="F46" s="41">
        <v>10.81</v>
      </c>
      <c r="G46" s="10">
        <v>9.26</v>
      </c>
      <c r="H46" s="41">
        <v>9</v>
      </c>
      <c r="I46" s="10"/>
      <c r="J46" s="10">
        <v>10.87</v>
      </c>
      <c r="K46" s="10">
        <v>10.79</v>
      </c>
      <c r="L46" s="88">
        <v>9.41</v>
      </c>
      <c r="M46" s="10">
        <v>9.73</v>
      </c>
      <c r="N46" s="10">
        <v>9.23</v>
      </c>
      <c r="O46" s="41">
        <v>10.71</v>
      </c>
      <c r="P46" s="10">
        <v>11.29</v>
      </c>
      <c r="Q46" s="82">
        <v>9.57</v>
      </c>
      <c r="R46" s="82">
        <v>9.85</v>
      </c>
      <c r="S46" s="82">
        <v>9.4</v>
      </c>
      <c r="T46" s="41">
        <v>10.81</v>
      </c>
      <c r="U46" s="10">
        <v>10.69</v>
      </c>
      <c r="V46" s="10">
        <v>11.03</v>
      </c>
      <c r="W46" s="88">
        <v>8.98</v>
      </c>
      <c r="X46" s="41">
        <v>11.04</v>
      </c>
      <c r="Y46" s="10">
        <v>10.93</v>
      </c>
      <c r="Z46" s="10">
        <v>11.27</v>
      </c>
      <c r="AA46" s="10">
        <v>9.44</v>
      </c>
      <c r="AB46" s="10">
        <v>9.49</v>
      </c>
      <c r="AC46" s="41">
        <v>9.76</v>
      </c>
      <c r="AD46" s="10">
        <v>11.05</v>
      </c>
      <c r="AE46" s="41">
        <v>9.23</v>
      </c>
      <c r="AF46" s="10">
        <v>11.66</v>
      </c>
      <c r="AG46" s="10">
        <v>11.33</v>
      </c>
      <c r="AH46" s="41">
        <v>10.74</v>
      </c>
      <c r="AI46" s="10">
        <v>10.65</v>
      </c>
      <c r="AJ46" s="10">
        <v>9.18</v>
      </c>
      <c r="AK46" s="10">
        <v>9.32</v>
      </c>
      <c r="AL46" s="41">
        <v>9.58</v>
      </c>
      <c r="AM46" s="10">
        <v>9.83</v>
      </c>
      <c r="AN46" s="41">
        <v>8.8699999999999992</v>
      </c>
      <c r="AO46" s="10">
        <v>9.07</v>
      </c>
      <c r="AP46" s="10">
        <v>10.7</v>
      </c>
      <c r="AQ46" s="10">
        <v>10.8</v>
      </c>
      <c r="AR46" s="41">
        <v>11.03</v>
      </c>
      <c r="AS46" s="10">
        <v>9.18</v>
      </c>
      <c r="AT46" s="41">
        <v>9.39</v>
      </c>
      <c r="AU46" s="10">
        <v>10.199999999999999</v>
      </c>
      <c r="AV46" s="10">
        <v>8.0399999999999991</v>
      </c>
      <c r="AW46" s="41">
        <v>8.57</v>
      </c>
      <c r="AX46" s="10">
        <v>9.35</v>
      </c>
      <c r="AY46" s="10">
        <v>11.43</v>
      </c>
      <c r="AZ46" s="10">
        <v>8.9</v>
      </c>
      <c r="BA46" s="10"/>
      <c r="BB46" s="10"/>
      <c r="BC46" s="51"/>
      <c r="BD46" s="51"/>
    </row>
    <row r="47" spans="1:56" x14ac:dyDescent="0.3">
      <c r="A47" s="106"/>
      <c r="B47" s="10" t="s">
        <v>57</v>
      </c>
      <c r="C47" s="10">
        <v>15.91</v>
      </c>
      <c r="D47" s="41">
        <v>13.08</v>
      </c>
      <c r="E47" s="41">
        <v>11.62</v>
      </c>
      <c r="F47" s="41">
        <v>10.47</v>
      </c>
      <c r="G47" s="10">
        <v>8.8800000000000008</v>
      </c>
      <c r="H47" s="41">
        <v>8.65</v>
      </c>
      <c r="I47" s="10"/>
      <c r="J47" s="10">
        <v>10.65</v>
      </c>
      <c r="K47" s="10">
        <v>10.5</v>
      </c>
      <c r="L47" s="88">
        <v>9.19</v>
      </c>
      <c r="M47" s="10">
        <v>9.51</v>
      </c>
      <c r="N47" s="10">
        <v>9.0500000000000007</v>
      </c>
      <c r="O47" s="41">
        <v>10.52</v>
      </c>
      <c r="P47" s="10">
        <v>11.06</v>
      </c>
      <c r="Q47" s="82">
        <v>9.24</v>
      </c>
      <c r="R47" s="82">
        <v>9.52</v>
      </c>
      <c r="S47" s="82">
        <v>9.08</v>
      </c>
      <c r="T47" s="41">
        <v>10.41</v>
      </c>
      <c r="U47" s="10">
        <v>10.29</v>
      </c>
      <c r="V47" s="10">
        <v>10.65</v>
      </c>
      <c r="W47" s="88">
        <v>8.68</v>
      </c>
      <c r="X47" s="41">
        <v>10.53</v>
      </c>
      <c r="Y47" s="10">
        <v>10.38</v>
      </c>
      <c r="Z47" s="10">
        <v>10.75</v>
      </c>
      <c r="AA47" s="10">
        <v>8.99</v>
      </c>
      <c r="AB47" s="10">
        <v>9.0500000000000007</v>
      </c>
      <c r="AC47" s="41">
        <v>9.33</v>
      </c>
      <c r="AD47" s="10">
        <v>10.62</v>
      </c>
      <c r="AE47" s="41">
        <v>8.81</v>
      </c>
      <c r="AF47" s="10">
        <v>11.05</v>
      </c>
      <c r="AG47" s="10">
        <v>10.72</v>
      </c>
      <c r="AH47" s="41">
        <v>10.48</v>
      </c>
      <c r="AI47" s="10">
        <v>10.44</v>
      </c>
      <c r="AJ47" s="10">
        <v>9.09</v>
      </c>
      <c r="AK47" s="10">
        <v>9.1999999999999993</v>
      </c>
      <c r="AL47" s="41">
        <v>9.48</v>
      </c>
      <c r="AM47" s="10">
        <v>9.74</v>
      </c>
      <c r="AN47" s="41">
        <v>8.83</v>
      </c>
      <c r="AO47" s="10">
        <v>9</v>
      </c>
      <c r="AP47" s="10">
        <v>10.75</v>
      </c>
      <c r="AQ47" s="10">
        <v>10.78</v>
      </c>
      <c r="AR47" s="41">
        <v>10.98</v>
      </c>
      <c r="AS47" s="10">
        <v>9.51</v>
      </c>
      <c r="AT47" s="41">
        <v>9.56</v>
      </c>
      <c r="AU47" s="10">
        <v>10.1</v>
      </c>
      <c r="AV47" s="10">
        <v>8.41</v>
      </c>
      <c r="AW47" s="41">
        <v>8.67</v>
      </c>
      <c r="AX47" s="10">
        <v>9.33</v>
      </c>
      <c r="AY47" s="10">
        <v>11.32</v>
      </c>
      <c r="AZ47" s="10">
        <v>9.19</v>
      </c>
      <c r="BA47" s="10"/>
      <c r="BB47" s="10"/>
      <c r="BC47" s="51"/>
      <c r="BD47" s="51"/>
    </row>
    <row r="48" spans="1:56" x14ac:dyDescent="0.3">
      <c r="A48" s="106"/>
      <c r="B48" s="10" t="s">
        <v>58</v>
      </c>
      <c r="C48" s="10">
        <v>38.56</v>
      </c>
      <c r="D48" s="41">
        <v>39.64</v>
      </c>
      <c r="E48" s="41">
        <v>40.380000000000003</v>
      </c>
      <c r="F48" s="41">
        <v>41.13</v>
      </c>
      <c r="G48" s="10">
        <v>41.67</v>
      </c>
      <c r="H48" s="41">
        <v>41.8</v>
      </c>
      <c r="I48" s="10"/>
      <c r="J48" s="10">
        <v>40.42</v>
      </c>
      <c r="K48" s="10">
        <v>40.56</v>
      </c>
      <c r="L48" s="88">
        <v>41.29</v>
      </c>
      <c r="M48" s="10">
        <v>41.15</v>
      </c>
      <c r="N48" s="10">
        <v>41.35</v>
      </c>
      <c r="O48" s="41">
        <v>40.47</v>
      </c>
      <c r="P48" s="10">
        <v>40.61</v>
      </c>
      <c r="Q48" s="82">
        <v>41.25</v>
      </c>
      <c r="R48" s="82">
        <v>41.12</v>
      </c>
      <c r="S48" s="82">
        <v>41.28</v>
      </c>
      <c r="T48" s="41">
        <v>40.49</v>
      </c>
      <c r="U48" s="10">
        <v>40.520000000000003</v>
      </c>
      <c r="V48" s="10">
        <v>40.409999999999997</v>
      </c>
      <c r="W48" s="88">
        <v>41.74</v>
      </c>
      <c r="X48" s="41">
        <v>40.46</v>
      </c>
      <c r="Y48" s="10">
        <v>40.5</v>
      </c>
      <c r="Z48" s="10">
        <v>40.35</v>
      </c>
      <c r="AA48" s="10">
        <v>41.33</v>
      </c>
      <c r="AB48" s="10">
        <v>41.25</v>
      </c>
      <c r="AC48" s="41">
        <v>41.13</v>
      </c>
      <c r="AD48" s="10">
        <v>40.659999999999997</v>
      </c>
      <c r="AE48" s="41">
        <v>41.62</v>
      </c>
      <c r="AF48" s="10">
        <v>40.24</v>
      </c>
      <c r="AG48" s="10">
        <v>40.369999999999997</v>
      </c>
      <c r="AH48" s="41">
        <v>40.49</v>
      </c>
      <c r="AI48" s="10">
        <v>40.630000000000003</v>
      </c>
      <c r="AJ48" s="10">
        <v>41.39</v>
      </c>
      <c r="AK48" s="10">
        <v>41.3</v>
      </c>
      <c r="AL48" s="41">
        <v>41.1</v>
      </c>
      <c r="AM48" s="10">
        <v>41</v>
      </c>
      <c r="AN48" s="41">
        <v>41.78</v>
      </c>
      <c r="AO48" s="10">
        <v>41.52</v>
      </c>
      <c r="AP48" s="10">
        <v>39.53</v>
      </c>
      <c r="AQ48" s="10">
        <v>39.369999999999997</v>
      </c>
      <c r="AR48" s="41">
        <v>39.21</v>
      </c>
      <c r="AS48" s="10">
        <v>40.119999999999997</v>
      </c>
      <c r="AT48" s="41">
        <v>39.9</v>
      </c>
      <c r="AU48" s="10">
        <v>39.57</v>
      </c>
      <c r="AV48" s="10">
        <v>40.549999999999997</v>
      </c>
      <c r="AW48" s="41">
        <v>40.4</v>
      </c>
      <c r="AX48" s="10">
        <v>40.130000000000003</v>
      </c>
      <c r="AY48" s="10">
        <v>39.44</v>
      </c>
      <c r="AZ48" s="10">
        <v>40.03</v>
      </c>
      <c r="BA48" s="10"/>
      <c r="BB48" s="10"/>
      <c r="BC48" s="51"/>
      <c r="BD48" s="51"/>
    </row>
    <row r="49" spans="1:56" x14ac:dyDescent="0.3">
      <c r="A49" s="106"/>
      <c r="B49" s="10" t="s">
        <v>59</v>
      </c>
      <c r="C49" s="10">
        <v>28.87</v>
      </c>
      <c r="D49" s="41">
        <v>28.77</v>
      </c>
      <c r="E49" s="41">
        <v>29.06</v>
      </c>
      <c r="F49" s="41">
        <v>29.36</v>
      </c>
      <c r="G49" s="10">
        <v>29.5</v>
      </c>
      <c r="H49" s="41">
        <v>29.57</v>
      </c>
      <c r="I49" s="10"/>
      <c r="J49" s="10">
        <v>28.64</v>
      </c>
      <c r="K49" s="10">
        <v>29.13</v>
      </c>
      <c r="L49" s="88">
        <v>29.08</v>
      </c>
      <c r="M49" s="10">
        <v>28.96</v>
      </c>
      <c r="N49" s="10">
        <v>29</v>
      </c>
      <c r="O49" s="41">
        <v>28.71</v>
      </c>
      <c r="P49" s="10">
        <v>28.7</v>
      </c>
      <c r="Q49" s="82">
        <v>28.86</v>
      </c>
      <c r="R49" s="82">
        <v>28.76</v>
      </c>
      <c r="S49" s="82">
        <v>28.77</v>
      </c>
      <c r="T49" s="41">
        <v>31.26</v>
      </c>
      <c r="U49" s="10">
        <v>31.82</v>
      </c>
      <c r="V49" s="10">
        <v>30.8</v>
      </c>
      <c r="W49" s="88">
        <v>31.23</v>
      </c>
      <c r="X49" s="41">
        <v>30.06</v>
      </c>
      <c r="Y49" s="10">
        <v>29.94</v>
      </c>
      <c r="Z49" s="10">
        <v>29.81</v>
      </c>
      <c r="AA49" s="10">
        <v>30.13</v>
      </c>
      <c r="AB49" s="10">
        <v>29.68</v>
      </c>
      <c r="AC49" s="41">
        <v>29.57</v>
      </c>
      <c r="AD49" s="10">
        <v>29.77</v>
      </c>
      <c r="AE49" s="41">
        <v>29.7</v>
      </c>
      <c r="AF49" s="10">
        <v>29.22</v>
      </c>
      <c r="AG49" s="10">
        <v>29.04</v>
      </c>
      <c r="AH49" s="41">
        <v>30.35</v>
      </c>
      <c r="AI49" s="10">
        <v>29.95</v>
      </c>
      <c r="AJ49" s="10">
        <v>29.31</v>
      </c>
      <c r="AK49" s="10">
        <v>29.06</v>
      </c>
      <c r="AL49" s="41">
        <v>28.68</v>
      </c>
      <c r="AM49" s="10">
        <v>28.61</v>
      </c>
      <c r="AN49" s="41">
        <v>28.78</v>
      </c>
      <c r="AO49" s="10">
        <v>28.71</v>
      </c>
      <c r="AP49" s="10">
        <v>34.18</v>
      </c>
      <c r="AQ49" s="10">
        <v>34.119999999999997</v>
      </c>
      <c r="AR49" s="41">
        <v>33.81</v>
      </c>
      <c r="AS49" s="10">
        <v>33.549999999999997</v>
      </c>
      <c r="AT49" s="41">
        <v>33.43</v>
      </c>
      <c r="AU49" s="10">
        <v>33.22</v>
      </c>
      <c r="AV49" s="10">
        <v>33.4</v>
      </c>
      <c r="AW49" s="41">
        <v>33.21</v>
      </c>
      <c r="AX49" s="10">
        <v>32.92</v>
      </c>
      <c r="AY49" s="10">
        <v>32.79</v>
      </c>
      <c r="AZ49" s="10">
        <v>32.68</v>
      </c>
      <c r="BA49" s="10"/>
      <c r="BB49" s="10"/>
      <c r="BC49" s="51"/>
      <c r="BD49" s="51"/>
    </row>
    <row r="50" spans="1:56" ht="13.5" customHeight="1" x14ac:dyDescent="0.3">
      <c r="A50" s="106"/>
      <c r="B50" s="10" t="s">
        <v>60</v>
      </c>
      <c r="C50" s="10">
        <f>C38/C39</f>
        <v>0.87573781587432376</v>
      </c>
      <c r="D50" s="10">
        <f t="shared" ref="D50:BC50" si="8">D38/D39</f>
        <v>0.90959546496011723</v>
      </c>
      <c r="E50" s="10">
        <f t="shared" si="8"/>
        <v>0.90075778110752069</v>
      </c>
      <c r="F50" s="10">
        <f t="shared" si="8"/>
        <v>0.89462100240978437</v>
      </c>
      <c r="G50" s="10">
        <f t="shared" si="8"/>
        <v>0.87138127198737814</v>
      </c>
      <c r="H50" s="10">
        <f t="shared" si="8"/>
        <v>0.88866821384078198</v>
      </c>
      <c r="I50" s="10" t="e">
        <f t="shared" si="8"/>
        <v>#VALUE!</v>
      </c>
      <c r="J50" s="10">
        <f t="shared" si="8"/>
        <v>0.95483569572448412</v>
      </c>
      <c r="K50" s="10">
        <f t="shared" si="8"/>
        <v>0.95551619042724656</v>
      </c>
      <c r="L50" s="88">
        <f t="shared" si="8"/>
        <v>0.93936864736867964</v>
      </c>
      <c r="M50" s="10">
        <f t="shared" si="8"/>
        <v>0.92993309019330284</v>
      </c>
      <c r="N50" s="10">
        <f t="shared" si="8"/>
        <v>0.94278090612149468</v>
      </c>
      <c r="O50" s="10">
        <f t="shared" si="8"/>
        <v>0.96063850350757762</v>
      </c>
      <c r="P50" s="10">
        <f t="shared" si="8"/>
        <v>0.85435036839087442</v>
      </c>
      <c r="Q50" s="82">
        <f t="shared" si="8"/>
        <v>0.8715590884975456</v>
      </c>
      <c r="R50" s="82">
        <f t="shared" si="8"/>
        <v>0.8744114426145595</v>
      </c>
      <c r="S50" s="82">
        <f t="shared" si="8"/>
        <v>0.88193189242964831</v>
      </c>
      <c r="T50" s="10">
        <f t="shared" si="8"/>
        <v>0.88949838493829392</v>
      </c>
      <c r="U50" s="10">
        <f t="shared" si="8"/>
        <v>0.87795609331701541</v>
      </c>
      <c r="V50" s="10">
        <f t="shared" si="8"/>
        <v>0.88040422120546313</v>
      </c>
      <c r="W50" s="88">
        <f t="shared" si="8"/>
        <v>0.87764811541971965</v>
      </c>
      <c r="X50" s="10">
        <f t="shared" si="8"/>
        <v>0.87467247582946062</v>
      </c>
      <c r="Y50" s="10">
        <f t="shared" si="8"/>
        <v>0.87644970520517795</v>
      </c>
      <c r="Z50" s="10">
        <f t="shared" si="8"/>
        <v>0.88198603468385295</v>
      </c>
      <c r="AA50" s="10">
        <f t="shared" si="8"/>
        <v>0.87282646911691697</v>
      </c>
      <c r="AB50" s="10">
        <f t="shared" si="8"/>
        <v>0.87314330163388931</v>
      </c>
      <c r="AC50" s="10">
        <f t="shared" si="8"/>
        <v>0.87599222156362688</v>
      </c>
      <c r="AD50" s="10">
        <f t="shared" si="8"/>
        <v>0.84919130104024609</v>
      </c>
      <c r="AE50" s="10">
        <f t="shared" si="8"/>
        <v>0.85754878083655917</v>
      </c>
      <c r="AF50" s="10">
        <f t="shared" si="8"/>
        <v>0.86841816927588356</v>
      </c>
      <c r="AG50" s="10">
        <f t="shared" si="8"/>
        <v>0.87309314781800718</v>
      </c>
      <c r="AH50" s="10">
        <f t="shared" si="8"/>
        <v>0.85733173921563077</v>
      </c>
      <c r="AI50" s="10">
        <f t="shared" si="8"/>
        <v>0.86874646723509252</v>
      </c>
      <c r="AJ50" s="10">
        <f t="shared" si="8"/>
        <v>0.85271146481014837</v>
      </c>
      <c r="AK50" s="10">
        <f t="shared" si="8"/>
        <v>0.85399867745544822</v>
      </c>
      <c r="AL50" s="10">
        <f t="shared" si="8"/>
        <v>0.84484840919892878</v>
      </c>
      <c r="AM50" s="10">
        <f t="shared" si="8"/>
        <v>0.84518874010532485</v>
      </c>
      <c r="AN50" s="10">
        <f t="shared" si="8"/>
        <v>0.83734697916013179</v>
      </c>
      <c r="AO50" s="10">
        <f t="shared" si="8"/>
        <v>0.82875709146732401</v>
      </c>
      <c r="AP50" s="10">
        <f t="shared" si="8"/>
        <v>0.83008018746203294</v>
      </c>
      <c r="AQ50" s="10">
        <f t="shared" si="8"/>
        <v>0.82382075453416814</v>
      </c>
      <c r="AR50" s="10">
        <f t="shared" si="8"/>
        <v>0.79567739777424684</v>
      </c>
      <c r="AS50" s="10">
        <f t="shared" si="8"/>
        <v>0.78280250912298199</v>
      </c>
      <c r="AT50" s="10">
        <f t="shared" si="8"/>
        <v>0.76411599336766178</v>
      </c>
      <c r="AU50" s="10">
        <f t="shared" si="8"/>
        <v>0.70240081033945156</v>
      </c>
      <c r="AV50" s="10">
        <f t="shared" si="8"/>
        <v>0.74672272624882918</v>
      </c>
      <c r="AW50" s="10">
        <f t="shared" si="8"/>
        <v>0.70447654906575685</v>
      </c>
      <c r="AX50" s="10">
        <f t="shared" si="8"/>
        <v>0.64332276731795435</v>
      </c>
      <c r="AY50" s="10">
        <f t="shared" si="8"/>
        <v>0.59652328759125495</v>
      </c>
      <c r="AZ50" s="10">
        <f t="shared" si="8"/>
        <v>0.82064827532078</v>
      </c>
      <c r="BA50" s="10" t="e">
        <f t="shared" si="8"/>
        <v>#VALUE!</v>
      </c>
      <c r="BB50" s="10" t="e">
        <f t="shared" si="8"/>
        <v>#VALUE!</v>
      </c>
      <c r="BC50" s="10" t="e">
        <f t="shared" si="8"/>
        <v>#VALUE!</v>
      </c>
      <c r="BD50" s="51"/>
    </row>
    <row r="51" spans="1:56" x14ac:dyDescent="0.3">
      <c r="A51" s="106"/>
      <c r="B51" s="10" t="s">
        <v>61</v>
      </c>
      <c r="C51" s="10" t="e">
        <f ca="1">C35/3600*([2]!Enthalpy("carbon dioxide","TP","SI",C9+273.15,C23)-[2]!Enthalpy("carbon dioxide","TP","SI",C8+273.15,C22))*1000</f>
        <v>#NAME?</v>
      </c>
      <c r="D51" s="10" t="e">
        <f ca="1">D35/3600*([2]!Enthalpy("carbon dioxide","TP","SI",D9+273.15,D23)-[2]!Enthalpy("carbon dioxide","TP","SI",D8+273.15,D22))*1000</f>
        <v>#NAME?</v>
      </c>
      <c r="E51" s="10" t="e">
        <f ca="1">E35/3600*([2]!Enthalpy("carbon dioxide","TP","SI",E9+273.15,E23)-[2]!Enthalpy("carbon dioxide","TP","SI",E8+273.15,E22))*1000</f>
        <v>#NAME?</v>
      </c>
      <c r="F51" s="10" t="e">
        <f ca="1">F35/3600*([2]!Enthalpy("carbon dioxide","TP","SI",F9+273.15,F23)-[2]!Enthalpy("carbon dioxide","TP","SI",F8+273.15,F22))*1000</f>
        <v>#NAME?</v>
      </c>
      <c r="G51" s="10" t="e">
        <f ca="1">G35/3600*([2]!Enthalpy("carbon dioxide","TP","SI",G9+273.15,G23)-[2]!Enthalpy("carbon dioxide","TP","SI",G8+273.15,G22))*1000</f>
        <v>#NAME?</v>
      </c>
      <c r="H51" s="10" t="e">
        <f ca="1">H35/3600*([2]!Enthalpy("carbon dioxide","TP","SI",H9+273.15,H23)-[2]!Enthalpy("carbon dioxide","TP","SI",H8+273.15,H22))*1000</f>
        <v>#NAME?</v>
      </c>
      <c r="I51" s="10" t="e">
        <f ca="1">I35/3600*([2]!Enthalpy("carbon dioxide","TP","SI",I9+273.15,I23)-[2]!Enthalpy("carbon dioxide","TP","SI",I8+273.15,I22))*1000</f>
        <v>#NAME?</v>
      </c>
      <c r="J51" s="10" t="e">
        <f ca="1">J35/3600*([2]!Enthalpy("carbon dioxide","TP","SI",J9+273.15,J23)-[2]!Enthalpy("carbon dioxide","TP","SI",J8+273.15,J22))*1000</f>
        <v>#NAME?</v>
      </c>
      <c r="K51" s="10" t="e">
        <f ca="1">K35/3600*([2]!Enthalpy("carbon dioxide","TP","SI",K9+273.15,K23)-[2]!Enthalpy("carbon dioxide","TP","SI",K8+273.15,K22))*1000</f>
        <v>#NAME?</v>
      </c>
      <c r="L51" s="88" t="e">
        <f ca="1">L35/3600*([2]!Enthalpy("carbon dioxide","TP","SI",L9+273.15,L23)-[2]!Enthalpy("carbon dioxide","TP","SI",L8+273.15,L22))*1000</f>
        <v>#NAME?</v>
      </c>
      <c r="M51" s="10" t="e">
        <f ca="1">M35/3600*([2]!Enthalpy("carbon dioxide","TP","SI",M9+273.15,M23)-[2]!Enthalpy("carbon dioxide","TP","SI",M8+273.15,M22))*1000</f>
        <v>#NAME?</v>
      </c>
      <c r="N51" s="10" t="e">
        <f ca="1">N35/3600*([2]!Enthalpy("carbon dioxide","TP","SI",N9+273.15,N23)-[2]!Enthalpy("carbon dioxide","TP","SI",N8+273.15,N22))*1000</f>
        <v>#NAME?</v>
      </c>
      <c r="O51" s="10" t="e">
        <f ca="1">O35/3600*([2]!Enthalpy("carbon dioxide","TP","SI",O9+273.15,O23)-[2]!Enthalpy("carbon dioxide","TP","SI",O8+273.15,O22))*1000</f>
        <v>#NAME?</v>
      </c>
      <c r="P51" s="10" t="e">
        <f ca="1">P35/3600*([2]!Enthalpy("carbon dioxide","TP","SI",P9+273.15,P23)-[2]!Enthalpy("carbon dioxide","TP","SI",P8+273.15,P22))*1000</f>
        <v>#NAME?</v>
      </c>
      <c r="Q51" s="82" t="e">
        <f ca="1">Q35/3600*([2]!Enthalpy("carbon dioxide","TP","SI",Q9+273.15,Q23)-[2]!Enthalpy("carbon dioxide","TP","SI",Q8+273.15,Q22))*1000</f>
        <v>#NAME?</v>
      </c>
      <c r="R51" s="82" t="e">
        <f ca="1">R35/3600*([2]!Enthalpy("carbon dioxide","TP","SI",R9+273.15,R23)-[2]!Enthalpy("carbon dioxide","TP","SI",R8+273.15,R22))*1000</f>
        <v>#NAME?</v>
      </c>
      <c r="S51" s="82" t="e">
        <f ca="1">S35/3600*([2]!Enthalpy("carbon dioxide","TP","SI",S9+273.15,S23)-[2]!Enthalpy("carbon dioxide","TP","SI",S8+273.15,S22))*1000</f>
        <v>#NAME?</v>
      </c>
      <c r="T51" s="10" t="e">
        <f ca="1">T35/3600*([2]!Enthalpy("carbon dioxide","TP","SI",T9+273.15,T23)-[2]!Enthalpy("carbon dioxide","TP","SI",T8+273.15,T22))*1000</f>
        <v>#NAME?</v>
      </c>
      <c r="U51" s="10" t="e">
        <f ca="1">U35/3600*([2]!Enthalpy("carbon dioxide","TP","SI",U9+273.15,U23)-[2]!Enthalpy("carbon dioxide","TP","SI",U8+273.15,U22))*1000</f>
        <v>#NAME?</v>
      </c>
      <c r="V51" s="10" t="e">
        <f ca="1">V35/3600*([2]!Enthalpy("carbon dioxide","TP","SI",V9+273.15,V23)-[2]!Enthalpy("carbon dioxide","TP","SI",V8+273.15,V22))*1000</f>
        <v>#NAME?</v>
      </c>
      <c r="W51" s="88" t="e">
        <f ca="1">W35/3600*([2]!Enthalpy("carbon dioxide","TP","SI",W9+273.15,W23)-[2]!Enthalpy("carbon dioxide","TP","SI",W8+273.15,W22))*1000</f>
        <v>#NAME?</v>
      </c>
      <c r="X51" s="10" cm="1">
        <f t="array" ref="X51">X35/3600*([3]!Enthalpy("carbon dioxide","TP","SI",X9+273.15,X23)-[3]!Enthalpy("carbon dioxide","TP","SI",X8+273.15,X22))*1000</f>
        <v>1838.4365120172295</v>
      </c>
      <c r="Y51" s="10" cm="1">
        <f t="array" ref="Y51">Y35/3600*([3]!Enthalpy("carbon dioxide","TP","SI",Y9+273.15,Y23)-[3]!Enthalpy("carbon dioxide","TP","SI",Y8+273.15,Y22))*1000</f>
        <v>1871.5221581916319</v>
      </c>
      <c r="Z51" s="10" cm="1">
        <f t="array" ref="Z51">Z35/3600*([3]!Enthalpy("carbon dioxide","TP","SI",Z9+273.15,Z23)-[3]!Enthalpy("carbon dioxide","TP","SI",Z8+273.15,Z22))*1000</f>
        <v>1765.5356788967915</v>
      </c>
      <c r="AA51" s="10" cm="1">
        <f t="array" ref="AA51">AA35/3600*([3]!Enthalpy("carbon dioxide","TP","SI",AA9+273.15,AA23)-[3]!Enthalpy("carbon dioxide","TP","SI",AA8+273.15,AA22))*1000</f>
        <v>2458.2115585120105</v>
      </c>
      <c r="AB51" s="10" cm="1">
        <f t="array" ref="AB51">AB35/3600*([3]!Enthalpy("carbon dioxide","TP","SI",AB9+273.15,AB23)-[3]!Enthalpy("carbon dioxide","TP","SI",AB8+273.15,AB22))*1000</f>
        <v>2393.0107119266245</v>
      </c>
      <c r="AC51" s="10" cm="1">
        <f t="array" ref="AC51">AC35/3600*([3]!Enthalpy("carbon dioxide","TP","SI",AC9+273.15,AC23)-[3]!Enthalpy("carbon dioxide","TP","SI",AC8+273.15,AC22))*1000</f>
        <v>2329.3424440801418</v>
      </c>
      <c r="AD51" s="10" cm="1">
        <f t="array" ref="AD51">AD35/3600*([3]!Enthalpy("carbon dioxide","TP","SI",AD9+273.15,AD23)-[3]!Enthalpy("carbon dioxide","TP","SI",AD8+273.15,AD22))*1000</f>
        <v>2193.9117612008067</v>
      </c>
      <c r="AE51" s="10" cm="1">
        <f t="array" ref="AE51">AE35/3600*([3]!Enthalpy("carbon dioxide","TP","SI",AE9+273.15,AE23)-[3]!Enthalpy("carbon dioxide","TP","SI",AE8+273.15,AE22))*1000</f>
        <v>2849.857622344578</v>
      </c>
      <c r="AF51" s="10" cm="1">
        <f t="array" ref="AF51">AF35/3600*([3]!Enthalpy("carbon dioxide","TP","SI",AF9+273.15,AF23)-[3]!Enthalpy("carbon dioxide","TP","SI",AF8+273.15,AF22))*1000</f>
        <v>1746.5967169193298</v>
      </c>
      <c r="AG51" s="10" cm="1">
        <f t="array" ref="AG51">AG35/3600*([3]!Enthalpy("carbon dioxide","TP","SI",AG9+273.15,AG23)-[3]!Enthalpy("carbon dioxide","TP","SI",AG8+273.15,AG22))*1000</f>
        <v>1818.3445322140744</v>
      </c>
      <c r="AH51" s="10" cm="1">
        <f t="array" ref="AH51">AH35/3600*([3]!Enthalpy("carbon dioxide","TP","SI",AH9+273.15,AH23)-[3]!Enthalpy("carbon dioxide","TP","SI",AH8+273.15,AH22))*1000</f>
        <v>1889.7130701677106</v>
      </c>
      <c r="AI51" s="10" cm="1">
        <f t="array" ref="AI51">AI35/3600*([3]!Enthalpy("carbon dioxide","TP","SI",AI9+273.15,AI23)-[3]!Enthalpy("carbon dioxide","TP","SI",AI8+273.15,AI22))*1000</f>
        <v>1923.9027840313659</v>
      </c>
      <c r="AJ51" s="10" cm="1">
        <f t="array" ref="AJ51">AJ35/3600*([3]!Enthalpy("carbon dioxide","TP","SI",AJ9+273.15,AJ23)-[3]!Enthalpy("carbon dioxide","TP","SI",AJ8+273.15,AJ22))*1000</f>
        <v>2448.1092713884659</v>
      </c>
      <c r="AK51" s="10" t="e">
        <f ca="1">AK35/3600*([2]!Enthalpy("carbon dioxide","TP","SI",AK9+273.15,AK23)-[2]!Enthalpy("carbon dioxide","TP","SI",AK8+273.15,AK22))*1000</f>
        <v>#NAME?</v>
      </c>
      <c r="AL51" s="10" t="e">
        <f ca="1">AL35/3600*([2]!Enthalpy("carbon dioxide","TP","SI",AL9+273.15,AL23)-[2]!Enthalpy("carbon dioxide","TP","SI",AL8+273.15,AL22))*1000</f>
        <v>#NAME?</v>
      </c>
      <c r="AM51" s="10" t="e">
        <f ca="1">AM35/3600*([2]!Enthalpy("carbon dioxide","TP","SI",AM9+273.15,AM23)-[2]!Enthalpy("carbon dioxide","TP","SI",AM8+273.15,AM22))*1000</f>
        <v>#NAME?</v>
      </c>
      <c r="AN51" s="10" t="e">
        <f ca="1">AN35/3600*([2]!Enthalpy("carbon dioxide","TP","SI",AN9+273.15,AN23)-[2]!Enthalpy("carbon dioxide","TP","SI",AN8+273.15,AN22))*1000</f>
        <v>#NAME?</v>
      </c>
      <c r="AO51" s="10" t="e">
        <f ca="1">AO35/3600*([2]!Enthalpy("carbon dioxide","TP","SI",AO9+273.15,AO23)-[2]!Enthalpy("carbon dioxide","TP","SI",AO8+273.15,AO22))*1000</f>
        <v>#NAME?</v>
      </c>
      <c r="AP51" s="10" t="e">
        <f ca="1">AP35/3600*([2]!Enthalpy("carbon dioxide","TP","SI",AP9+273.15,AP23)-[2]!Enthalpy("carbon dioxide","TP","SI",AP8+273.15,AP22))*1000</f>
        <v>#NAME?</v>
      </c>
      <c r="AQ51" s="10" t="e">
        <f ca="1">AQ35/3600*([2]!Enthalpy("carbon dioxide","TP","SI",AQ9+273.15,AQ23)-[2]!Enthalpy("carbon dioxide","TP","SI",AQ8+273.15,AQ22))*1000</f>
        <v>#NAME?</v>
      </c>
      <c r="AR51" s="10" t="e">
        <f ca="1">AR35/3600*([2]!Enthalpy("carbon dioxide","TP","SI",AR9+273.15,AR23)-[2]!Enthalpy("carbon dioxide","TP","SI",AR8+273.15,AR22))*1000</f>
        <v>#NAME?</v>
      </c>
      <c r="AS51" s="10" t="e">
        <f ca="1">AS35/3600*([2]!Enthalpy("carbon dioxide","TP","SI",AS9+273.15,AS23)-[2]!Enthalpy("carbon dioxide","TP","SI",AS8+273.15,AS22))*1000</f>
        <v>#NAME?</v>
      </c>
      <c r="AT51" s="10" t="e">
        <f ca="1">AT35/3600*([2]!Enthalpy("carbon dioxide","TP","SI",AT9+273.15,AT23)-[2]!Enthalpy("carbon dioxide","TP","SI",AT8+273.15,AT22))*1000</f>
        <v>#NAME?</v>
      </c>
      <c r="AU51" s="10" t="e">
        <f ca="1">AU35/3600*([2]!Enthalpy("carbon dioxide","TP","SI",AU9+273.15,AU23)-[2]!Enthalpy("carbon dioxide","TP","SI",AU8+273.15,AU22))*1000</f>
        <v>#NAME?</v>
      </c>
      <c r="AV51" s="10" t="e">
        <f ca="1">AV35/3600*([2]!Enthalpy("carbon dioxide","TP","SI",AV9+273.15,AV23)-[2]!Enthalpy("carbon dioxide","TP","SI",AV8+273.15,AV22))*1000</f>
        <v>#NAME?</v>
      </c>
      <c r="AW51" s="10" t="e">
        <f ca="1">AW35/3600*([2]!Enthalpy("carbon dioxide","TP","SI",AW9+273.15,AW23)-[2]!Enthalpy("carbon dioxide","TP","SI",AW8+273.15,AW22))*1000</f>
        <v>#NAME?</v>
      </c>
      <c r="AX51" s="10" t="e">
        <f ca="1">AX35/3600*([2]!Enthalpy("carbon dioxide","TP","SI",AX9+273.15,AX23)-[2]!Enthalpy("carbon dioxide","TP","SI",AX8+273.15,AX22))*1000</f>
        <v>#NAME?</v>
      </c>
      <c r="AY51" s="10" t="e">
        <f ca="1">AY35/3600*([2]!Enthalpy("carbon dioxide","TP","SI",AY9+273.15,AY23)-[2]!Enthalpy("carbon dioxide","TP","SI",AY8+273.15,AY22))*1000</f>
        <v>#NAME?</v>
      </c>
      <c r="AZ51" s="10" t="e">
        <f ca="1">AZ35/3600*([2]!Enthalpy("carbon dioxide","TP","SI",AZ9+273.15,AZ23)-[2]!Enthalpy("carbon dioxide","TP","SI",AZ8+273.15,AZ22))*1000</f>
        <v>#NAME?</v>
      </c>
      <c r="BA51" s="10" t="e">
        <f ca="1">BA35/3600*([2]!Enthalpy("carbon dioxide","TP","SI",BA9+273.15,BA23)-[2]!Enthalpy("carbon dioxide","TP","SI",BA8+273.15,BA22))*1000</f>
        <v>#NAME?</v>
      </c>
      <c r="BB51" s="10" t="e">
        <f ca="1">BB35/3600*([2]!Enthalpy("carbon dioxide","TP","SI",BB9+273.15,BB23)-[2]!Enthalpy("carbon dioxide","TP","SI",BB8+273.15,BB22))*1000</f>
        <v>#NAME?</v>
      </c>
      <c r="BC51" s="10" t="e">
        <f ca="1">BC35/3600*([2]!Enthalpy("carbon dioxide","TP","SI",BC9+273.15,BC23)-[2]!Enthalpy("carbon dioxide","TP","SI",BC8+273.15,BC22))*1000</f>
        <v>#NAME?</v>
      </c>
      <c r="BD51" s="51"/>
    </row>
    <row r="52" spans="1:56" x14ac:dyDescent="0.3">
      <c r="A52" s="106"/>
      <c r="B52" s="10" t="s">
        <v>62</v>
      </c>
      <c r="C52" s="10" t="e">
        <f ca="1">C35/3600*1000*([2]!Enthalpy("carbon dioxide","PS","SI",C23,[2]!Entropy("carbon dioxide","TP","SI",C8+273.15,C22))-[2]!Enthalpy("carbon dioxide","TP","SI",C8+273.15,C22))</f>
        <v>#NAME?</v>
      </c>
      <c r="D52" s="10" t="e">
        <f ca="1">D35/3600*1000*([2]!Enthalpy("carbon dioxide","PS","SI",D23,[2]!Entropy("carbon dioxide","TP","SI",D8+273.15,D22))-[2]!Enthalpy("carbon dioxide","TP","SI",D8+273.15,D22))</f>
        <v>#NAME?</v>
      </c>
      <c r="E52" s="10" t="e">
        <f ca="1">E35/3600*1000*([2]!Enthalpy("carbon dioxide","PS","SI",E23,[2]!Entropy("carbon dioxide","TP","SI",E8+273.15,E22))-[2]!Enthalpy("carbon dioxide","TP","SI",E8+273.15,E22))</f>
        <v>#NAME?</v>
      </c>
      <c r="F52" s="10" t="e">
        <f ca="1">F35/3600*1000*([2]!Enthalpy("carbon dioxide","PS","SI",F23,[2]!Entropy("carbon dioxide","TP","SI",F8+273.15,F22))-[2]!Enthalpy("carbon dioxide","TP","SI",F8+273.15,F22))</f>
        <v>#NAME?</v>
      </c>
      <c r="G52" s="10" t="e">
        <f ca="1">G35/3600*1000*([2]!Enthalpy("carbon dioxide","PS","SI",G23,[2]!Entropy("carbon dioxide","TP","SI",G8+273.15,G22))-[2]!Enthalpy("carbon dioxide","TP","SI",G8+273.15,G22))</f>
        <v>#NAME?</v>
      </c>
      <c r="H52" s="10" t="e">
        <f ca="1">H35/3600*1000*([2]!Enthalpy("carbon dioxide","PS","SI",H23,[2]!Entropy("carbon dioxide","TP","SI",H8+273.15,H22))-[2]!Enthalpy("carbon dioxide","TP","SI",H8+273.15,H22))</f>
        <v>#NAME?</v>
      </c>
      <c r="I52" s="10" t="e">
        <f ca="1">I35/3600*1000*([2]!Enthalpy("carbon dioxide","PS","SI",I23,[2]!Entropy("carbon dioxide","TP","SI",I8+273.15,I22))-[2]!Enthalpy("carbon dioxide","TP","SI",I8+273.15,I22))</f>
        <v>#NAME?</v>
      </c>
      <c r="J52" s="10" t="e">
        <f ca="1">J35/3600*1000*([2]!Enthalpy("carbon dioxide","PS","SI",J23,[2]!Entropy("carbon dioxide","TP","SI",J8+273.15,J22))-[2]!Enthalpy("carbon dioxide","TP","SI",J8+273.15,J22))</f>
        <v>#NAME?</v>
      </c>
      <c r="K52" s="10" t="e">
        <f ca="1">K35/3600*1000*([2]!Enthalpy("carbon dioxide","PS","SI",K23,[2]!Entropy("carbon dioxide","TP","SI",K8+273.15,K22))-[2]!Enthalpy("carbon dioxide","TP","SI",K8+273.15,K22))</f>
        <v>#NAME?</v>
      </c>
      <c r="L52" s="88" t="e">
        <f ca="1">L35/3600*1000*([2]!Enthalpy("carbon dioxide","PS","SI",L23,[2]!Entropy("carbon dioxide","TP","SI",L8+273.15,L22))-[2]!Enthalpy("carbon dioxide","TP","SI",L8+273.15,L22))</f>
        <v>#NAME?</v>
      </c>
      <c r="M52" s="10" t="e">
        <f ca="1">M35/3600*1000*([2]!Enthalpy("carbon dioxide","PS","SI",M23,[2]!Entropy("carbon dioxide","TP","SI",M8+273.15,M22))-[2]!Enthalpy("carbon dioxide","TP","SI",M8+273.15,M22))</f>
        <v>#NAME?</v>
      </c>
      <c r="N52" s="10" t="e">
        <f ca="1">N35/3600*1000*([2]!Enthalpy("carbon dioxide","PS","SI",N23,[2]!Entropy("carbon dioxide","TP","SI",N8+273.15,N22))-[2]!Enthalpy("carbon dioxide","TP","SI",N8+273.15,N22))</f>
        <v>#NAME?</v>
      </c>
      <c r="O52" s="10" t="e">
        <f ca="1">O35/3600*1000*([2]!Enthalpy("carbon dioxide","PS","SI",O23,[2]!Entropy("carbon dioxide","TP","SI",O8+273.15,O22))-[2]!Enthalpy("carbon dioxide","TP","SI",O8+273.15,O22))</f>
        <v>#NAME?</v>
      </c>
      <c r="P52" s="10" t="e">
        <f ca="1">P35/3600*1000*([2]!Enthalpy("carbon dioxide","PS","SI",P23,[2]!Entropy("carbon dioxide","TP","SI",P8+273.15,P22))-[2]!Enthalpy("carbon dioxide","TP","SI",P8+273.15,P22))</f>
        <v>#NAME?</v>
      </c>
      <c r="Q52" s="82" t="e">
        <f ca="1">Q35/3600*1000*([2]!Enthalpy("carbon dioxide","PS","SI",Q23,[2]!Entropy("carbon dioxide","TP","SI",Q8+273.15,Q22))-[2]!Enthalpy("carbon dioxide","TP","SI",Q8+273.15,Q22))</f>
        <v>#NAME?</v>
      </c>
      <c r="R52" s="82" t="e">
        <f ca="1">R35/3600*1000*([2]!Enthalpy("carbon dioxide","PS","SI",R23,[2]!Entropy("carbon dioxide","TP","SI",R8+273.15,R22))-[2]!Enthalpy("carbon dioxide","TP","SI",R8+273.15,R22))</f>
        <v>#NAME?</v>
      </c>
      <c r="S52" s="82" t="e">
        <f ca="1">S35/3600*1000*([2]!Enthalpy("carbon dioxide","PS","SI",S23,[2]!Entropy("carbon dioxide","TP","SI",S8+273.15,S22))-[2]!Enthalpy("carbon dioxide","TP","SI",S8+273.15,S22))</f>
        <v>#NAME?</v>
      </c>
      <c r="T52" s="10" t="e">
        <f ca="1">T35/3600*1000*([2]!Enthalpy("carbon dioxide","PS","SI",T23,[2]!Entropy("carbon dioxide","TP","SI",T8+273.15,T22))-[2]!Enthalpy("carbon dioxide","TP","SI",T8+273.15,T22))</f>
        <v>#NAME?</v>
      </c>
      <c r="U52" s="10" t="e">
        <f ca="1">U35/3600*1000*([2]!Enthalpy("carbon dioxide","PS","SI",U23,[2]!Entropy("carbon dioxide","TP","SI",U8+273.15,U22))-[2]!Enthalpy("carbon dioxide","TP","SI",U8+273.15,U22))</f>
        <v>#NAME?</v>
      </c>
      <c r="V52" s="10" t="e">
        <f ca="1">V35/3600*1000*([2]!Enthalpy("carbon dioxide","PS","SI",V23,[2]!Entropy("carbon dioxide","TP","SI",V8+273.15,V22))-[2]!Enthalpy("carbon dioxide","TP","SI",V8+273.15,V22))</f>
        <v>#NAME?</v>
      </c>
      <c r="W52" s="88" t="e">
        <f ca="1">W35/3600*1000*([2]!Enthalpy("carbon dioxide","PS","SI",W23,[2]!Entropy("carbon dioxide","TP","SI",W8+273.15,W22))-[2]!Enthalpy("carbon dioxide","TP","SI",W8+273.15,W22))</f>
        <v>#NAME?</v>
      </c>
      <c r="X52" s="10" cm="1">
        <f t="array" ref="X52">X35/3600*1000*([3]!Enthalpy("carbon dioxide","PS","SI",X23,[3]!Entropy("carbon dioxide","TP","SI",X8+273.15,X22))-[3]!Enthalpy("carbon dioxide","TP","SI",X8+273.15,X22))</f>
        <v>1245.6246797577408</v>
      </c>
      <c r="Y52" s="10" cm="1">
        <f t="array" ref="Y52">Y35/3600*1000*([3]!Enthalpy("carbon dioxide","PS","SI",Y23,[3]!Entropy("carbon dioxide","TP","SI",Y8+273.15,Y22))-[3]!Enthalpy("carbon dioxide","TP","SI",Y8+273.15,Y22))</f>
        <v>1257.9595650077847</v>
      </c>
      <c r="Z52" s="10" cm="1">
        <f t="array" ref="Z52">Z35/3600*1000*([3]!Enthalpy("carbon dioxide","PS","SI",Z23,[3]!Entropy("carbon dioxide","TP","SI",Z8+273.15,Z22))-[3]!Enthalpy("carbon dioxide","TP","SI",Z8+273.15,Z22))</f>
        <v>1229.631946387223</v>
      </c>
      <c r="AA52" s="10" cm="1">
        <f t="array" ref="AA52">AA35/3600*1000*([3]!Enthalpy("carbon dioxide","PS","SI",AA23,[3]!Entropy("carbon dioxide","TP","SI",AA8+273.15,AA22))-[3]!Enthalpy("carbon dioxide","TP","SI",AA8+273.15,AA22))</f>
        <v>1615.4934144629035</v>
      </c>
      <c r="AB52" s="10" cm="1">
        <f t="array" ref="AB52">AB35/3600*1000*([3]!Enthalpy("carbon dioxide","PS","SI",AB23,[3]!Entropy("carbon dioxide","TP","SI",AB8+273.15,AB22))-[3]!Enthalpy("carbon dioxide","TP","SI",AB8+273.15,AB22))</f>
        <v>1605.070576378025</v>
      </c>
      <c r="AC52" s="10" cm="1">
        <f t="array" ref="AC52">AC35/3600*1000*([3]!Enthalpy("carbon dioxide","PS","SI",AC23,[3]!Entropy("carbon dioxide","TP","SI",AC8+273.15,AC22))-[3]!Enthalpy("carbon dioxide","TP","SI",AC8+273.15,AC22))</f>
        <v>1578.9054291350574</v>
      </c>
      <c r="AD52" s="10" cm="1">
        <f t="array" ref="AD52">AD35/3600*1000*([3]!Enthalpy("carbon dioxide","PS","SI",AD23,[3]!Entropy("carbon dioxide","TP","SI",AD8+273.15,AD22))-[3]!Enthalpy("carbon dioxide","TP","SI",AD8+273.15,AD22))</f>
        <v>1523.0876291206007</v>
      </c>
      <c r="AE52" s="10" cm="1">
        <f t="array" ref="AE52">AE35/3600*1000*([3]!Enthalpy("carbon dioxide","PS","SI",AE23,[3]!Entropy("carbon dioxide","TP","SI",AE8+273.15,AE22))-[3]!Enthalpy("carbon dioxide","TP","SI",AE8+273.15,AE22))</f>
        <v>1892.7145820980022</v>
      </c>
      <c r="AF52" s="10" cm="1">
        <f t="array" ref="AF52">AF35/3600*1000*([3]!Enthalpy("carbon dioxide","PS","SI",AF23,[3]!Entropy("carbon dioxide","TP","SI",AF8+273.15,AF22))-[3]!Enthalpy("carbon dioxide","TP","SI",AF8+273.15,AF22))</f>
        <v>1191.8953446808882</v>
      </c>
      <c r="AG52" s="10" cm="1">
        <f t="array" ref="AG52">AG35/3600*1000*([3]!Enthalpy("carbon dioxide","PS","SI",AG23,[3]!Entropy("carbon dioxide","TP","SI",AG8+273.15,AG22))-[3]!Enthalpy("carbon dioxide","TP","SI",AG8+273.15,AG22))</f>
        <v>1214.9801357107197</v>
      </c>
      <c r="AH52" s="10" cm="1">
        <f t="array" ref="AH52">AH35/3600*1000*([3]!Enthalpy("carbon dioxide","PS","SI",AH23,[3]!Entropy("carbon dioxide","TP","SI",AH8+273.15,AH22))-[3]!Enthalpy("carbon dioxide","TP","SI",AH8+273.15,AH22))</f>
        <v>1249.2941158283224</v>
      </c>
      <c r="AI52" s="10" cm="1">
        <f t="array" ref="AI52">AI35/3600*1000*([3]!Enthalpy("carbon dioxide","PS","SI",AI23,[3]!Entropy("carbon dioxide","TP","SI",AI8+273.15,AI22))-[3]!Enthalpy("carbon dioxide","TP","SI",AI8+273.15,AI22))</f>
        <v>1242.1810982024895</v>
      </c>
      <c r="AJ52" s="10" cm="1">
        <f t="array" ref="AJ52">AJ35/3600*1000*([3]!Enthalpy("carbon dioxide","PS","SI",AJ23,[3]!Entropy("carbon dioxide","TP","SI",AJ8+273.15,AJ22))-[3]!Enthalpy("carbon dioxide","TP","SI",AJ8+273.15,AJ22))</f>
        <v>1585.1750941433147</v>
      </c>
      <c r="AK52" s="10" cm="1">
        <f t="array" ref="AK52">AK35/3600*1000*([3]!Enthalpy("carbon dioxide","PS","SI",AK23,[3]!Entropy("carbon dioxide","TP","SI",AK8+273.15,AK22))-[3]!Enthalpy("carbon dioxide","TP","SI",AK8+273.15,AK22))</f>
        <v>1567.2624691015631</v>
      </c>
      <c r="AL52" s="10" cm="1">
        <f t="array" ref="AL52">AL35/3600*1000*([3]!Enthalpy("carbon dioxide","PS","SI",AL23,[3]!Entropy("carbon dioxide","TP","SI",AL8+273.15,AL22))-[3]!Enthalpy("carbon dioxide","TP","SI",AL8+273.15,AL22))</f>
        <v>1540.5755460307332</v>
      </c>
      <c r="AM52" s="10" cm="1">
        <f t="array" ref="AM52">AM35/3600*1000*([3]!Enthalpy("carbon dioxide","PS","SI",AM23,[3]!Entropy("carbon dioxide","TP","SI",AM8+273.15,AM22))-[3]!Enthalpy("carbon dioxide","TP","SI",AM8+273.15,AM22))</f>
        <v>1528.2175707176716</v>
      </c>
      <c r="AN52" s="10" cm="1">
        <f t="array" ref="AN52">AN35/3600*1000*([3]!Enthalpy("carbon dioxide","PS","SI",AN23,[3]!Entropy("carbon dioxide","TP","SI",AN8+273.15,AN22))-[3]!Enthalpy("carbon dioxide","TP","SI",AN8+273.15,AN22))</f>
        <v>1874.2011511430567</v>
      </c>
      <c r="AO52" s="10" cm="1">
        <f t="array" ref="AO52">AO35/3600*1000*([3]!Enthalpy("carbon dioxide","PS","SI",AO23,[3]!Entropy("carbon dioxide","TP","SI",AO8+273.15,AO22))-[3]!Enthalpy("carbon dioxide","TP","SI",AO8+273.15,AO22))</f>
        <v>1865.9345841445961</v>
      </c>
      <c r="AP52" s="10" t="e">
        <f ca="1">AP35/3600*1000*([2]!Enthalpy("carbon dioxide","PS","SI",AP23,[2]!Entropy("carbon dioxide","TP","SI",AP8+273.15,AP22))-[2]!Enthalpy("carbon dioxide","TP","SI",AP8+273.15,AP22))</f>
        <v>#NAME?</v>
      </c>
      <c r="AQ52" s="10" t="e">
        <f ca="1">AQ35/3600*1000*([2]!Enthalpy("carbon dioxide","PS","SI",AQ23,[2]!Entropy("carbon dioxide","TP","SI",AQ8+273.15,AQ22))-[2]!Enthalpy("carbon dioxide","TP","SI",AQ8+273.15,AQ22))</f>
        <v>#NAME?</v>
      </c>
      <c r="AR52" s="10" t="e">
        <f ca="1">AR35/3600*1000*([2]!Enthalpy("carbon dioxide","PS","SI",AR23,[2]!Entropy("carbon dioxide","TP","SI",AR8+273.15,AR22))-[2]!Enthalpy("carbon dioxide","TP","SI",AR8+273.15,AR22))</f>
        <v>#NAME?</v>
      </c>
      <c r="AS52" s="10" t="e">
        <f ca="1">AS35/3600*1000*([2]!Enthalpy("carbon dioxide","PS","SI",AS23,[2]!Entropy("carbon dioxide","TP","SI",AS8+273.15,AS22))-[2]!Enthalpy("carbon dioxide","TP","SI",AS8+273.15,AS22))</f>
        <v>#NAME?</v>
      </c>
      <c r="AT52" s="10" t="e">
        <f ca="1">AT35/3600*1000*([2]!Enthalpy("carbon dioxide","PS","SI",AT23,[2]!Entropy("carbon dioxide","TP","SI",AT8+273.15,AT22))-[2]!Enthalpy("carbon dioxide","TP","SI",AT8+273.15,AT22))</f>
        <v>#NAME?</v>
      </c>
      <c r="AU52" s="10" t="e">
        <f ca="1">AU35/3600*1000*([2]!Enthalpy("carbon dioxide","PS","SI",AU23,[2]!Entropy("carbon dioxide","TP","SI",AU8+273.15,AU22))-[2]!Enthalpy("carbon dioxide","TP","SI",AU8+273.15,AU22))</f>
        <v>#NAME?</v>
      </c>
      <c r="AV52" s="10" t="e">
        <f ca="1">AV35/3600*1000*([2]!Enthalpy("carbon dioxide","PS","SI",AV23,[2]!Entropy("carbon dioxide","TP","SI",AV8+273.15,AV22))-[2]!Enthalpy("carbon dioxide","TP","SI",AV8+273.15,AV22))</f>
        <v>#NAME?</v>
      </c>
      <c r="AW52" s="10" t="e">
        <f ca="1">AW35/3600*1000*([2]!Enthalpy("carbon dioxide","PS","SI",AW23,[2]!Entropy("carbon dioxide","TP","SI",AW8+273.15,AW22))-[2]!Enthalpy("carbon dioxide","TP","SI",AW8+273.15,AW22))</f>
        <v>#NAME?</v>
      </c>
      <c r="AX52" s="10" t="e">
        <f ca="1">AX35/3600*1000*([2]!Enthalpy("carbon dioxide","PS","SI",AX23,[2]!Entropy("carbon dioxide","TP","SI",AX8+273.15,AX22))-[2]!Enthalpy("carbon dioxide","TP","SI",AX8+273.15,AX22))</f>
        <v>#NAME?</v>
      </c>
      <c r="AY52" s="10" t="e">
        <f ca="1">AY35/3600*1000*([2]!Enthalpy("carbon dioxide","PS","SI",AY23,[2]!Entropy("carbon dioxide","TP","SI",AY8+273.15,AY22))-[2]!Enthalpy("carbon dioxide","TP","SI",AY8+273.15,AY22))</f>
        <v>#NAME?</v>
      </c>
      <c r="AZ52" s="10" t="e">
        <f ca="1">AZ35/3600*1000*([2]!Enthalpy("carbon dioxide","PS","SI",AZ23,[2]!Entropy("carbon dioxide","TP","SI",AZ8+273.15,AZ22))-[2]!Enthalpy("carbon dioxide","TP","SI",AZ8+273.15,AZ22))</f>
        <v>#NAME?</v>
      </c>
      <c r="BA52" s="10" t="e">
        <f ca="1">BA35/3600*1000*([2]!Enthalpy("carbon dioxide","PS","SI",BA23,[2]!Entropy("carbon dioxide","TP","SI",BA8+273.15,BA22))-[2]!Enthalpy("carbon dioxide","TP","SI",BA8+273.15,BA22))</f>
        <v>#NAME?</v>
      </c>
      <c r="BB52" s="10" t="e">
        <f ca="1">BB35/3600*1000*([2]!Enthalpy("carbon dioxide","PS","SI",BB23,[2]!Entropy("carbon dioxide","TP","SI",BB8+273.15,BB22))-[2]!Enthalpy("carbon dioxide","TP","SI",BB8+273.15,BB22))</f>
        <v>#NAME?</v>
      </c>
      <c r="BC52" s="10" t="e">
        <f ca="1">BC35/3600*1000*([2]!Enthalpy("carbon dioxide","PS","SI",BC23,[2]!Entropy("carbon dioxide","TP","SI",BC8+273.15,BC22))-[2]!Enthalpy("carbon dioxide","TP","SI",BC8+273.15,BC22))</f>
        <v>#NAME?</v>
      </c>
      <c r="BD52" s="51"/>
    </row>
    <row r="53" spans="1:56" x14ac:dyDescent="0.3">
      <c r="A53" s="106"/>
      <c r="B53" s="10" t="s">
        <v>38</v>
      </c>
      <c r="C53" s="10">
        <f>C23/C22</f>
        <v>2.5907590759075907</v>
      </c>
      <c r="D53" s="41">
        <f t="shared" ref="D53:AE53" si="9">D23/D22</f>
        <v>2.4883040935672516</v>
      </c>
      <c r="E53" s="41">
        <f t="shared" si="9"/>
        <v>2.5873493975903616</v>
      </c>
      <c r="F53" s="41">
        <f t="shared" si="9"/>
        <v>2.7106918238993707</v>
      </c>
      <c r="G53" s="10">
        <f t="shared" si="9"/>
        <v>2.7675840978593276</v>
      </c>
      <c r="H53" s="41">
        <f t="shared" si="9"/>
        <v>2.8209876543209877</v>
      </c>
      <c r="I53" s="10" t="e">
        <f t="shared" si="9"/>
        <v>#DIV/0!</v>
      </c>
      <c r="J53" s="10">
        <f t="shared" si="9"/>
        <v>2.4582210242587599</v>
      </c>
      <c r="K53" s="10">
        <f t="shared" si="9"/>
        <v>2.5355191256830598</v>
      </c>
      <c r="L53" s="88">
        <f t="shared" si="9"/>
        <v>2.7134502923976607</v>
      </c>
      <c r="M53" s="10">
        <f t="shared" si="9"/>
        <v>2.6224783861671468</v>
      </c>
      <c r="N53" s="10">
        <f t="shared" si="9"/>
        <v>2.7728613569321534</v>
      </c>
      <c r="O53" s="41">
        <f t="shared" si="9"/>
        <v>2.5054347826086958</v>
      </c>
      <c r="P53" s="10">
        <f t="shared" si="9"/>
        <v>2.3180592991913747</v>
      </c>
      <c r="Q53" s="82">
        <f t="shared" si="9"/>
        <v>2.6637931034482758</v>
      </c>
      <c r="R53" s="82">
        <f t="shared" si="9"/>
        <v>2.5909090909090908</v>
      </c>
      <c r="S53" s="82">
        <f t="shared" si="9"/>
        <v>2.7080924855491326</v>
      </c>
      <c r="T53" s="41">
        <f t="shared" si="9"/>
        <v>2.4613333333333336</v>
      </c>
      <c r="U53" s="10">
        <f t="shared" si="9"/>
        <v>2.5147453083109923</v>
      </c>
      <c r="V53" s="10">
        <f t="shared" si="9"/>
        <v>2.3968253968253972</v>
      </c>
      <c r="W53" s="88">
        <f t="shared" si="9"/>
        <v>2.7682926829268295</v>
      </c>
      <c r="X53" s="41">
        <f t="shared" si="9"/>
        <v>2.46524064171123</v>
      </c>
      <c r="Y53" s="10">
        <f t="shared" si="9"/>
        <v>2.521505376344086</v>
      </c>
      <c r="Z53" s="10">
        <f t="shared" si="9"/>
        <v>2.4005305039787799</v>
      </c>
      <c r="AA53" s="10">
        <f t="shared" si="9"/>
        <v>2.8035190615835779</v>
      </c>
      <c r="AB53" s="10">
        <f t="shared" si="9"/>
        <v>2.7456140350877196</v>
      </c>
      <c r="AC53" s="41">
        <f t="shared" si="9"/>
        <v>2.6589595375722541</v>
      </c>
      <c r="AD53" s="10">
        <f t="shared" si="9"/>
        <v>2.4049586776859506</v>
      </c>
      <c r="AE53" s="41">
        <f t="shared" si="9"/>
        <v>2.7706422018348627</v>
      </c>
      <c r="AF53" s="10">
        <f t="shared" ref="AF53:AM53" si="10">AF23/AF22</f>
        <v>2.3403141361256545</v>
      </c>
      <c r="AG53" s="10">
        <f t="shared" si="10"/>
        <v>2.4441489361702127</v>
      </c>
      <c r="AH53" s="41">
        <f t="shared" si="10"/>
        <v>2.4736842105263159</v>
      </c>
      <c r="AI53" s="10">
        <f t="shared" si="10"/>
        <v>2.5277044854881265</v>
      </c>
      <c r="AJ53" s="10">
        <f t="shared" si="10"/>
        <v>2.7371428571428571</v>
      </c>
      <c r="AK53" s="10">
        <f t="shared" si="10"/>
        <v>2.6676136363636367</v>
      </c>
      <c r="AL53" s="41">
        <f t="shared" si="10"/>
        <v>2.584269662921348</v>
      </c>
      <c r="AM53" s="10">
        <f t="shared" si="10"/>
        <v>2.5236768802228413</v>
      </c>
      <c r="AN53" s="41">
        <f>AN23/AN22</f>
        <v>2.7305389221556884</v>
      </c>
      <c r="AO53" s="10">
        <f>AO23/AO22</f>
        <v>2.6845238095238093</v>
      </c>
      <c r="AP53" s="10">
        <f>AP23/AP22</f>
        <v>2.4894736842105267</v>
      </c>
      <c r="AQ53" s="10">
        <f>AQ23/AQ22</f>
        <v>2.4136125654450264</v>
      </c>
      <c r="AR53" s="41">
        <f>AR23/AR22</f>
        <v>2.3402597402597403</v>
      </c>
      <c r="AS53" s="10">
        <f t="shared" ref="AS53:AZ53" si="11">AS23/AS22</f>
        <v>2.6866096866096867</v>
      </c>
      <c r="AT53" s="41">
        <f t="shared" si="11"/>
        <v>2.6016949152542375</v>
      </c>
      <c r="AU53" s="10">
        <f t="shared" si="11"/>
        <v>2.4383561643835616</v>
      </c>
      <c r="AV53" s="10">
        <f t="shared" si="11"/>
        <v>2.875</v>
      </c>
      <c r="AW53" s="41">
        <f t="shared" si="11"/>
        <v>2.7574850299401201</v>
      </c>
      <c r="AX53" s="10">
        <f t="shared" si="11"/>
        <v>2.634502923976608</v>
      </c>
      <c r="AY53" s="10">
        <f t="shared" si="11"/>
        <v>2.2894736842105261</v>
      </c>
      <c r="AZ53" s="10">
        <f t="shared" si="11"/>
        <v>2.7593123209169055</v>
      </c>
      <c r="BA53" s="10" t="e">
        <f>BA23/BA22</f>
        <v>#DIV/0!</v>
      </c>
      <c r="BB53" s="10" t="e">
        <f>BB23/BB22</f>
        <v>#DIV/0!</v>
      </c>
      <c r="BC53" s="51"/>
      <c r="BD53" s="51"/>
    </row>
    <row r="54" spans="1:56" x14ac:dyDescent="0.3">
      <c r="A54" s="106"/>
      <c r="B54" s="10" t="s">
        <v>63</v>
      </c>
      <c r="C54" s="10" t="e">
        <f ca="1">C51/C41</f>
        <v>#NAME?</v>
      </c>
      <c r="D54" s="41" t="e">
        <f t="shared" ref="D54:AE54" ca="1" si="12">D51/D41</f>
        <v>#NAME?</v>
      </c>
      <c r="E54" s="41" t="e">
        <f t="shared" ca="1" si="12"/>
        <v>#NAME?</v>
      </c>
      <c r="F54" s="41" t="e">
        <f t="shared" ca="1" si="12"/>
        <v>#NAME?</v>
      </c>
      <c r="G54" s="10" t="e">
        <f t="shared" ca="1" si="12"/>
        <v>#NAME?</v>
      </c>
      <c r="H54" s="41" t="e">
        <f t="shared" ca="1" si="12"/>
        <v>#NAME?</v>
      </c>
      <c r="I54" s="10" t="e">
        <f t="shared" ca="1" si="12"/>
        <v>#NAME?</v>
      </c>
      <c r="J54" s="10" t="e">
        <f t="shared" ca="1" si="12"/>
        <v>#NAME?</v>
      </c>
      <c r="K54" s="10" t="e">
        <f t="shared" ca="1" si="12"/>
        <v>#NAME?</v>
      </c>
      <c r="L54" s="88" t="e">
        <f t="shared" ca="1" si="12"/>
        <v>#NAME?</v>
      </c>
      <c r="M54" s="10" t="e">
        <f t="shared" ca="1" si="12"/>
        <v>#NAME?</v>
      </c>
      <c r="N54" s="10" t="e">
        <f t="shared" ca="1" si="12"/>
        <v>#NAME?</v>
      </c>
      <c r="O54" s="41" t="e">
        <f t="shared" ca="1" si="12"/>
        <v>#NAME?</v>
      </c>
      <c r="P54" s="10" t="e">
        <f t="shared" ca="1" si="12"/>
        <v>#NAME?</v>
      </c>
      <c r="Q54" s="82" t="e">
        <f t="shared" ca="1" si="12"/>
        <v>#NAME?</v>
      </c>
      <c r="R54" s="82" t="e">
        <f t="shared" ca="1" si="12"/>
        <v>#NAME?</v>
      </c>
      <c r="S54" s="82" t="e">
        <f t="shared" ca="1" si="12"/>
        <v>#NAME?</v>
      </c>
      <c r="T54" s="41" t="e">
        <f t="shared" ca="1" si="12"/>
        <v>#NAME?</v>
      </c>
      <c r="U54" s="10" t="e">
        <f t="shared" ca="1" si="12"/>
        <v>#NAME?</v>
      </c>
      <c r="V54" s="10" t="e">
        <f t="shared" ca="1" si="12"/>
        <v>#NAME?</v>
      </c>
      <c r="W54" s="88" t="e">
        <f t="shared" ca="1" si="12"/>
        <v>#NAME?</v>
      </c>
      <c r="X54" s="41">
        <f t="shared" si="12"/>
        <v>0.9031866922216798</v>
      </c>
      <c r="Y54" s="10">
        <f t="shared" si="12"/>
        <v>0.89664494343831924</v>
      </c>
      <c r="Z54" s="10">
        <f t="shared" si="12"/>
        <v>0.88232667611034055</v>
      </c>
      <c r="AA54" s="10">
        <f t="shared" si="12"/>
        <v>0.90193049294148242</v>
      </c>
      <c r="AB54" s="10">
        <f t="shared" si="12"/>
        <v>0.88926447860521163</v>
      </c>
      <c r="AC54" s="41">
        <f t="shared" si="12"/>
        <v>0.88838384594971087</v>
      </c>
      <c r="AD54" s="10">
        <f t="shared" si="12"/>
        <v>0.89565697538306055</v>
      </c>
      <c r="AE54" s="41">
        <f t="shared" si="12"/>
        <v>0.89787574743055398</v>
      </c>
      <c r="AF54" s="10">
        <f t="shared" ref="AF54:AM54" si="13">AF51/AF41</f>
        <v>0.88817529464496814</v>
      </c>
      <c r="AG54" s="10">
        <f t="shared" si="13"/>
        <v>0.89331590872713051</v>
      </c>
      <c r="AH54" s="41">
        <f t="shared" si="13"/>
        <v>0.91290486481531918</v>
      </c>
      <c r="AI54" s="10">
        <f t="shared" si="13"/>
        <v>0.89944029173976903</v>
      </c>
      <c r="AJ54" s="10">
        <f t="shared" si="13"/>
        <v>0.89822391171838778</v>
      </c>
      <c r="AK54" s="10" t="e">
        <f t="shared" ca="1" si="13"/>
        <v>#NAME?</v>
      </c>
      <c r="AL54" s="41" t="e">
        <f t="shared" ca="1" si="13"/>
        <v>#NAME?</v>
      </c>
      <c r="AM54" s="10" t="e">
        <f t="shared" ca="1" si="13"/>
        <v>#NAME?</v>
      </c>
      <c r="AN54" s="41" t="e">
        <f ca="1">AN51/AN41</f>
        <v>#NAME?</v>
      </c>
      <c r="AO54" s="10" t="e">
        <f ca="1">AO51/AO41</f>
        <v>#NAME?</v>
      </c>
      <c r="AP54" s="10" t="e">
        <f ca="1">AP51/AP41</f>
        <v>#NAME?</v>
      </c>
      <c r="AQ54" s="10" t="e">
        <f ca="1">AQ51/AQ41</f>
        <v>#NAME?</v>
      </c>
      <c r="AR54" s="41" t="e">
        <f ca="1">AR51/AR41</f>
        <v>#NAME?</v>
      </c>
      <c r="AS54" s="10" t="e">
        <f t="shared" ref="AS54:AZ54" ca="1" si="14">AS51/AS41</f>
        <v>#NAME?</v>
      </c>
      <c r="AT54" s="41" t="e">
        <f t="shared" ca="1" si="14"/>
        <v>#NAME?</v>
      </c>
      <c r="AU54" s="10" t="e">
        <f t="shared" ca="1" si="14"/>
        <v>#NAME?</v>
      </c>
      <c r="AV54" s="10" t="e">
        <f t="shared" ca="1" si="14"/>
        <v>#NAME?</v>
      </c>
      <c r="AW54" s="41" t="e">
        <f t="shared" ca="1" si="14"/>
        <v>#NAME?</v>
      </c>
      <c r="AX54" s="10" t="e">
        <f t="shared" ca="1" si="14"/>
        <v>#NAME?</v>
      </c>
      <c r="AY54" s="10" t="e">
        <f t="shared" ca="1" si="14"/>
        <v>#NAME?</v>
      </c>
      <c r="AZ54" s="10" t="e">
        <f t="shared" ca="1" si="14"/>
        <v>#NAME?</v>
      </c>
      <c r="BA54" s="10" t="e">
        <f ca="1">BA51/BA41</f>
        <v>#NAME?</v>
      </c>
      <c r="BB54" s="10" t="e">
        <f ca="1">BB51/BB41</f>
        <v>#NAME?</v>
      </c>
      <c r="BC54" s="51"/>
      <c r="BD54" s="51"/>
    </row>
    <row r="55" spans="1:56" s="5" customFormat="1" x14ac:dyDescent="0.3">
      <c r="A55" s="106"/>
      <c r="B55" s="12" t="s">
        <v>64</v>
      </c>
      <c r="C55" s="12" t="e">
        <f ca="1">C52/C51</f>
        <v>#NAME?</v>
      </c>
      <c r="D55" s="12" t="e">
        <f t="shared" ref="D55:X55" ca="1" si="15">D52/D51</f>
        <v>#NAME?</v>
      </c>
      <c r="E55" s="12" t="e">
        <f t="shared" ca="1" si="15"/>
        <v>#NAME?</v>
      </c>
      <c r="F55" s="12" t="e">
        <f t="shared" ca="1" si="15"/>
        <v>#NAME?</v>
      </c>
      <c r="G55" s="12" t="e">
        <f t="shared" ca="1" si="15"/>
        <v>#NAME?</v>
      </c>
      <c r="H55" s="12" t="e">
        <f t="shared" ca="1" si="15"/>
        <v>#NAME?</v>
      </c>
      <c r="I55" s="12" t="e">
        <f t="shared" ca="1" si="15"/>
        <v>#NAME?</v>
      </c>
      <c r="J55" s="12" t="e">
        <f t="shared" ca="1" si="15"/>
        <v>#NAME?</v>
      </c>
      <c r="K55" s="12" t="e">
        <f t="shared" ca="1" si="15"/>
        <v>#NAME?</v>
      </c>
      <c r="L55" s="88" t="e">
        <f t="shared" ca="1" si="15"/>
        <v>#NAME?</v>
      </c>
      <c r="M55" s="12" t="e">
        <f t="shared" ca="1" si="15"/>
        <v>#NAME?</v>
      </c>
      <c r="N55" s="12" t="e">
        <f t="shared" ca="1" si="15"/>
        <v>#NAME?</v>
      </c>
      <c r="O55" s="12" t="e">
        <f t="shared" ca="1" si="15"/>
        <v>#NAME?</v>
      </c>
      <c r="P55" s="12" t="e">
        <f t="shared" ca="1" si="15"/>
        <v>#NAME?</v>
      </c>
      <c r="Q55" s="82" t="e">
        <f t="shared" ca="1" si="15"/>
        <v>#NAME?</v>
      </c>
      <c r="R55" s="82" t="e">
        <f t="shared" ca="1" si="15"/>
        <v>#NAME?</v>
      </c>
      <c r="S55" s="82" t="e">
        <f t="shared" ca="1" si="15"/>
        <v>#NAME?</v>
      </c>
      <c r="T55" s="12" t="e">
        <f t="shared" ca="1" si="15"/>
        <v>#NAME?</v>
      </c>
      <c r="U55" s="12" t="e">
        <f t="shared" ca="1" si="15"/>
        <v>#NAME?</v>
      </c>
      <c r="V55" s="12" t="e">
        <f t="shared" ca="1" si="15"/>
        <v>#NAME?</v>
      </c>
      <c r="W55" s="88" t="e">
        <f t="shared" ca="1" si="15"/>
        <v>#NAME?</v>
      </c>
      <c r="X55" s="12">
        <f t="shared" si="15"/>
        <v>0.67754565992109006</v>
      </c>
      <c r="Y55" s="12">
        <f t="shared" ref="Y55:BB55" si="16">Y52/Y51</f>
        <v>0.6721585205399303</v>
      </c>
      <c r="Z55" s="12">
        <f t="shared" si="16"/>
        <v>0.69646394637324349</v>
      </c>
      <c r="AA55" s="12">
        <f t="shared" si="16"/>
        <v>0.65718241738346717</v>
      </c>
      <c r="AB55" s="12">
        <f t="shared" si="16"/>
        <v>0.67073271689861136</v>
      </c>
      <c r="AC55" s="12">
        <f t="shared" si="16"/>
        <v>0.67783310828673271</v>
      </c>
      <c r="AD55" s="12">
        <f t="shared" si="16"/>
        <v>0.6942337682199945</v>
      </c>
      <c r="AE55" s="12">
        <f t="shared" si="16"/>
        <v>0.66414355835112415</v>
      </c>
      <c r="AF55" s="12">
        <f t="shared" si="16"/>
        <v>0.68241015978958719</v>
      </c>
      <c r="AG55" s="12">
        <f t="shared" si="16"/>
        <v>0.66817927746141759</v>
      </c>
      <c r="AH55" s="12">
        <f t="shared" si="16"/>
        <v>0.66110254278838665</v>
      </c>
      <c r="AI55" s="12">
        <f t="shared" si="16"/>
        <v>0.64565689519904446</v>
      </c>
      <c r="AJ55" s="12">
        <f t="shared" si="16"/>
        <v>0.64750994274216744</v>
      </c>
      <c r="AK55" s="12" t="e">
        <f t="shared" ca="1" si="16"/>
        <v>#NAME?</v>
      </c>
      <c r="AL55" s="12" t="e">
        <f t="shared" ca="1" si="16"/>
        <v>#NAME?</v>
      </c>
      <c r="AM55" s="12" t="e">
        <f t="shared" ca="1" si="16"/>
        <v>#NAME?</v>
      </c>
      <c r="AN55" s="12" t="e">
        <f t="shared" ca="1" si="16"/>
        <v>#NAME?</v>
      </c>
      <c r="AO55" s="12" t="e">
        <f t="shared" ca="1" si="16"/>
        <v>#NAME?</v>
      </c>
      <c r="AP55" s="12" t="e">
        <f t="shared" ca="1" si="16"/>
        <v>#NAME?</v>
      </c>
      <c r="AQ55" s="12" t="e">
        <f t="shared" ca="1" si="16"/>
        <v>#NAME?</v>
      </c>
      <c r="AR55" s="12" t="e">
        <f t="shared" ca="1" si="16"/>
        <v>#NAME?</v>
      </c>
      <c r="AS55" s="12" t="e">
        <f t="shared" ca="1" si="16"/>
        <v>#NAME?</v>
      </c>
      <c r="AT55" s="12" t="e">
        <f t="shared" ca="1" si="16"/>
        <v>#NAME?</v>
      </c>
      <c r="AU55" s="12" t="e">
        <f t="shared" ca="1" si="16"/>
        <v>#NAME?</v>
      </c>
      <c r="AV55" s="12" t="e">
        <f t="shared" ca="1" si="16"/>
        <v>#NAME?</v>
      </c>
      <c r="AW55" s="12" t="e">
        <f t="shared" ca="1" si="16"/>
        <v>#NAME?</v>
      </c>
      <c r="AX55" s="12" t="e">
        <f t="shared" ca="1" si="16"/>
        <v>#NAME?</v>
      </c>
      <c r="AY55" s="12" t="e">
        <f t="shared" ca="1" si="16"/>
        <v>#NAME?</v>
      </c>
      <c r="AZ55" s="12" t="e">
        <f t="shared" ca="1" si="16"/>
        <v>#NAME?</v>
      </c>
      <c r="BA55" s="12" t="e">
        <f t="shared" ca="1" si="16"/>
        <v>#NAME?</v>
      </c>
      <c r="BB55" s="12" t="e">
        <f t="shared" ca="1" si="16"/>
        <v>#NAME?</v>
      </c>
      <c r="BC55" s="16"/>
      <c r="BD55" s="16"/>
    </row>
    <row r="56" spans="1:56" s="5" customFormat="1" x14ac:dyDescent="0.3">
      <c r="A56" s="106"/>
      <c r="B56" s="12" t="s">
        <v>65</v>
      </c>
      <c r="C56" s="12" cm="1">
        <f t="array" ref="C56">C35/((C33*5.8/1000000)*60*[3]!Density("carbon dioxide","TP","SI",C8+273.15,C22))</f>
        <v>0.80809288393391554</v>
      </c>
      <c r="D56" s="12" cm="1">
        <f t="array" ref="D56">D35/((D33*5.8/1000000)*60*[3]!Density("carbon dioxide","TP","SI",D8+273.15,D22))</f>
        <v>0.84700808879045875</v>
      </c>
      <c r="E56" s="12" cm="1">
        <f t="array" ref="E56">E35/((E33*5.8/1000000)*60*[3]!Density("carbon dioxide","TP","SI",E8+273.15,E22))</f>
        <v>0.85466812482844712</v>
      </c>
      <c r="F56" s="12" cm="1">
        <f t="array" ref="F56">F35/((F33*5.8/1000000)*60*[3]!Density("carbon dioxide","TP","SI",F8+273.15,F22))</f>
        <v>0.88192264800939757</v>
      </c>
      <c r="G56" s="12" cm="1">
        <f t="array" ref="G56">G35/((G33*5.8/1000000)*60*[3]!Density("carbon dioxide","TP","SI",G8+273.15,G22))</f>
        <v>0.88923141927595184</v>
      </c>
      <c r="H56" s="12" cm="1">
        <f t="array" ref="H56">H35/((H33*5.8/1000000)*60*[3]!Density("carbon dioxide","TP","SI",H8+273.15,H22))</f>
        <v>0.88292042661571235</v>
      </c>
      <c r="I56" s="12" t="e" cm="1">
        <f t="array" ref="I56">I35/((I33*5.8/1000000)*60*[3]!Density("carbon dioxide","TP","SI",I8+273.15,I22))</f>
        <v>#VALUE!</v>
      </c>
      <c r="J56" s="12" cm="1">
        <f t="array" ref="J56">J35/((J33*5.8/1000000)*60*[3]!Density("carbon dioxide","TP","SI",J8+273.15,J22))</f>
        <v>0.86253170735166551</v>
      </c>
      <c r="K56" s="12" cm="1">
        <f t="array" ref="K56">K35/((K33*5.8/1000000)*60*[3]!Density("carbon dioxide","TP","SI",K8+273.15,K22))</f>
        <v>0.85577543366688658</v>
      </c>
      <c r="L56" s="88" cm="1">
        <f t="array" ref="L56">L35/((L33*5.8/1000000)*60*[3]!Density("carbon dioxide","TP","SI",L8+273.15,L22))</f>
        <v>0.87241797134279908</v>
      </c>
      <c r="M56" s="12" cm="1">
        <f t="array" ref="M56">M35/((M33*5.8/1000000)*60*[3]!Density("carbon dioxide","TP","SI",M8+273.15,M22))</f>
        <v>0.88618484615088466</v>
      </c>
      <c r="N56" s="12" cm="1">
        <f t="array" ref="N56">N35/((N33*5.8/1000000)*60*[3]!Density("carbon dioxide","TP","SI",N8+273.15,N22))</f>
        <v>0.86523283585226651</v>
      </c>
      <c r="O56" s="12" cm="1">
        <f t="array" ref="O56">O35/((O33*5.8/1000000)*60*[3]!Density("carbon dioxide","TP","SI",O8+273.15,O22))</f>
        <v>0.85206406695652659</v>
      </c>
      <c r="P56" s="12" cm="1">
        <f t="array" ref="P56">P35/((P33*5.8/1000000)*60*[3]!Density("carbon dioxide","TP","SI",P8+273.15,P22))</f>
        <v>0.91701126955986378</v>
      </c>
      <c r="Q56" s="82" cm="1">
        <f t="array" ref="Q56">Q35/((Q33*5.8/1000000)*60*[3]!Density("carbon dioxide","TP","SI",Q8+273.15,Q22))</f>
        <v>0.86671411001136522</v>
      </c>
      <c r="R56" s="82" cm="1">
        <f t="array" ref="R56">R35/((R33*5.8/1000000)*60*[3]!Density("carbon dioxide","TP","SI",R8+273.15,R22))</f>
        <v>0.87300713505785432</v>
      </c>
      <c r="S56" s="82" cm="1">
        <f t="array" ref="S56">S35/((S33*5.8/1000000)*60*[3]!Density("carbon dioxide","TP","SI",S8+273.15,S22))</f>
        <v>0.86488455203259673</v>
      </c>
      <c r="T56" s="12" cm="1">
        <f t="array" ref="T56">T35/((T33*5.8/1000000)*60*[3]!Density("carbon dioxide","TP","SI",T8+273.15,T22))</f>
        <v>0.86502637318189557</v>
      </c>
      <c r="U56" s="12" cm="1">
        <f t="array" ref="U56">U35/((U33*5.8/1000000)*60*[3]!Density("carbon dioxide","TP","SI",U8+273.15,U22))</f>
        <v>0.86356377782628324</v>
      </c>
      <c r="V56" s="12" cm="1">
        <f t="array" ref="V56">V35/((V33*5.8/1000000)*60*[3]!Density("carbon dioxide","TP","SI",V8+273.15,V22))</f>
        <v>0.87252049745330684</v>
      </c>
      <c r="W56" s="88" cm="1">
        <f t="array" ref="W56">W35/((W33*5.8/1000000)*60*[3]!Density("carbon dioxide","TP","SI",W8+273.15,W22))</f>
        <v>0.8833059398167934</v>
      </c>
      <c r="X56" s="12" cm="1">
        <f t="array" ref="X56">X35/((X33*5.8/1000000)*60*[3]!Density("carbon dioxide","TP","SI",X8+273.15,X22))</f>
        <v>0.86351155869868124</v>
      </c>
      <c r="Y56" s="12" cm="1">
        <f t="array" ref="Y56">Y35/((Y33*5.8/1000000)*60*[3]!Density("carbon dioxide","TP","SI",Y8+273.15,Y22))</f>
        <v>0.85310736732562564</v>
      </c>
      <c r="Z56" s="12" cm="1">
        <f t="array" ref="Z56">Z35/((Z33*5.8/1000000)*60*[3]!Density("carbon dioxide","TP","SI",Z8+273.15,Z22))</f>
        <v>0.87400504747475705</v>
      </c>
      <c r="AA56" s="12" cm="1">
        <f t="array" ref="AA56">AA35/((AA33*5.8/1000000)*60*[3]!Density("carbon dioxide","TP","SI",AA8+273.15,AA22))</f>
        <v>0.84827276619536396</v>
      </c>
      <c r="AB56" s="12" cm="1">
        <f t="array" ref="AB56">AB35/((AB33*5.8/1000000)*60*[3]!Density("carbon dioxide","TP","SI",AB8+273.15,AB22))</f>
        <v>0.85981579385371876</v>
      </c>
      <c r="AC56" s="12" cm="1">
        <f t="array" ref="AC56">AC35/((AC33*5.8/1000000)*60*[3]!Density("carbon dioxide","TP","SI",AC8+273.15,AC22))</f>
        <v>0.86659887112300638</v>
      </c>
      <c r="AD56" s="12" cm="1">
        <f t="array" ref="AD56">AD35/((AD33*5.8/1000000)*60*[3]!Density("carbon dioxide","TP","SI",AD8+273.15,AD22))</f>
        <v>0.89791943467513113</v>
      </c>
      <c r="AE56" s="12" cm="1">
        <f t="array" ref="AE56">AE35/((AE33*5.8/1000000)*60*[3]!Density("carbon dioxide","TP","SI",AE8+273.15,AE22))</f>
        <v>0.87548371383886203</v>
      </c>
      <c r="AF56" s="12" cm="1">
        <f t="array" ref="AF56">AF35/((AF33*5.8/1000000)*60*[3]!Density("carbon dioxide","TP","SI",AF8+273.15,AF22))</f>
        <v>0.86348644002108343</v>
      </c>
      <c r="AG56" s="12" cm="1">
        <f t="array" ref="AG56">AG35/((AG33*5.8/1000000)*60*[3]!Density("carbon dioxide","TP","SI",AG8+273.15,AG22))</f>
        <v>0.84661938921957325</v>
      </c>
      <c r="AH56" s="12" cm="1">
        <f t="array" ref="AH56">AH35/((AH33*5.8/1000000)*60*[3]!Density("carbon dioxide","TP","SI",AH8+273.15,AH22))</f>
        <v>0.84854977393308795</v>
      </c>
      <c r="AI56" s="12" cm="1">
        <f t="array" ref="AI56">AI35/((AI33*5.8/1000000)*60*[3]!Density("carbon dioxide","TP","SI",AI8+273.15,AI22))</f>
        <v>0.82410165990698836</v>
      </c>
      <c r="AJ56" s="12" cm="1">
        <f t="array" ref="AJ56">AJ35/((AJ33*5.8/1000000)*60*[3]!Density("carbon dioxide","TP","SI",AJ8+273.15,AJ22))</f>
        <v>0.83226057250864149</v>
      </c>
      <c r="AK56" s="12" cm="1">
        <f t="array" ref="AK56">AK35/((AK33*5.8/1000000)*60*[3]!Density("carbon dioxide","TP","SI",AK8+273.15,AK22))</f>
        <v>0.84214828189220337</v>
      </c>
      <c r="AL56" s="12" cm="1">
        <f t="array" ref="AL56">AL35/((AL33*5.8/1000000)*60*[3]!Density("carbon dioxide","TP","SI",AL8+273.15,AL22))</f>
        <v>0.84892407954903393</v>
      </c>
      <c r="AM56" s="12" cm="1">
        <f t="array" ref="AM56">AM35/((AM33*5.8/1000000)*60*[3]!Density("carbon dioxide","TP","SI",AM8+273.15,AM22))</f>
        <v>0.85879805994750102</v>
      </c>
      <c r="AN56" s="12" cm="1">
        <f t="array" ref="AN56">AN35/((AN33*5.8/1000000)*60*[3]!Density("carbon dioxide","TP","SI",AN8+273.15,AN22))</f>
        <v>0.86229120519057323</v>
      </c>
      <c r="AO56" s="12" cm="1">
        <f t="array" ref="AO56">AO35/((AO33*5.8/1000000)*60*[3]!Density("carbon dioxide","TP","SI",AO8+273.15,AO22))</f>
        <v>0.86972318308368568</v>
      </c>
      <c r="AP56" s="12" cm="1">
        <f t="array" ref="AP56">AP35/((AP33*5.8/1000000)*60*[3]!Density("carbon dioxide","TP","SI",AP8+273.15,AP22))</f>
        <v>0.82082944245519118</v>
      </c>
      <c r="AQ56" s="12" cm="1">
        <f t="array" ref="AQ56">AQ35/((AQ33*5.8/1000000)*60*[3]!Density("carbon dioxide","TP","SI",AQ8+273.15,AQ22))</f>
        <v>0.83700624439643823</v>
      </c>
      <c r="AR56" s="12" cm="1">
        <f t="array" ref="AR56">AR35/((AR33*5.8/1000000)*60*[3]!Density("carbon dioxide","TP","SI",AR8+273.15,AR22))</f>
        <v>0.85480499712378477</v>
      </c>
      <c r="AS56" s="12" cm="1">
        <f t="array" ref="AS56">AS35/((AS33*5.8/1000000)*60*[3]!Density("carbon dioxide","TP","SI",AS8+273.15,AS22))</f>
        <v>0.83320904803049856</v>
      </c>
      <c r="AT56" s="12" cm="1">
        <f t="array" ref="AT56">AT35/((AT33*5.8/1000000)*60*[3]!Density("carbon dioxide","TP","SI",AT8+273.15,AT22))</f>
        <v>0.855539447928505</v>
      </c>
      <c r="AU56" s="12" cm="1">
        <f t="array" ref="AU56">AU35/((AU33*5.8/1000000)*60*[3]!Density("carbon dioxide","TP","SI",AU8+273.15,AU22))</f>
        <v>0.8852672892234601</v>
      </c>
      <c r="AV56" s="12" cm="1">
        <f t="array" ref="AV56">AV35/((AV33*5.8/1000000)*60*[3]!Density("carbon dioxide","TP","SI",AV8+273.15,AV22))</f>
        <v>0.83206067807484685</v>
      </c>
      <c r="AW56" s="12" cm="1">
        <f t="array" ref="AW56">AW35/((AW33*5.8/1000000)*60*[3]!Density("carbon dioxide","TP","SI",AW8+273.15,AW22))</f>
        <v>0.8581167580536142</v>
      </c>
      <c r="AX56" s="12" cm="1">
        <f t="array" ref="AX56">AX35/((AX33*5.8/1000000)*60*[3]!Density("carbon dioxide","TP","SI",AX8+273.15,AX22))</f>
        <v>0.87332784502738792</v>
      </c>
      <c r="AY56" s="12" cm="1">
        <f t="array" ref="AY56">AY35/((AY33*5.8/1000000)*60*[3]!Density("carbon dioxide","TP","SI",AY8+273.15,AY22))</f>
        <v>0.89607394580790389</v>
      </c>
      <c r="AZ56" s="12" cm="1">
        <f t="array" ref="AZ56">AZ35/((AZ33*5.8/1000000)*60*[3]!Density("carbon dioxide","TP","SI",AZ8+273.15,AZ22))</f>
        <v>0.81082419453624477</v>
      </c>
      <c r="BA56" s="12" t="e" cm="1">
        <f t="array" ref="BA56">BA35/((BA33*5.8/1000000)*60*[3]!Density("carbon dioxide","TP","SI",BA8+273.15,BA22))</f>
        <v>#VALUE!</v>
      </c>
      <c r="BB56" s="12" t="e" cm="1">
        <f t="array" ref="BB56">BB35/((BB33*5.8/1000000)*60*[3]!Density("carbon dioxide","TP","SI",BB8+273.15,BB22))</f>
        <v>#VALUE!</v>
      </c>
      <c r="BC56" s="12" t="e">
        <f ca="1">BC35/((BC33*5.8/1000000)*60*[2]!Density("carbon dioxide","TP","SI",BC8+273.15,BC22))</f>
        <v>#NAME?</v>
      </c>
      <c r="BD56" s="12" t="e">
        <f ca="1">BD35/((BD33*5.8/1000000)*60*[2]!Density("carbon dioxide","TP","SI",BD8+273.15,BD22))</f>
        <v>#NAME?</v>
      </c>
    </row>
    <row r="57" spans="1:56" x14ac:dyDescent="0.3">
      <c r="A57" s="106"/>
      <c r="B57" s="10" t="s">
        <v>67</v>
      </c>
      <c r="C57" s="10" t="e">
        <f ca="1">C54*C55</f>
        <v>#NAME?</v>
      </c>
      <c r="D57" s="41" t="e">
        <f t="shared" ref="D57:AE57" ca="1" si="17">D54*D55</f>
        <v>#NAME?</v>
      </c>
      <c r="E57" s="41" t="e">
        <f t="shared" ca="1" si="17"/>
        <v>#NAME?</v>
      </c>
      <c r="F57" s="41" t="e">
        <f t="shared" ca="1" si="17"/>
        <v>#NAME?</v>
      </c>
      <c r="G57" s="10" t="e">
        <f t="shared" ca="1" si="17"/>
        <v>#NAME?</v>
      </c>
      <c r="H57" s="41" t="e">
        <f t="shared" ca="1" si="17"/>
        <v>#NAME?</v>
      </c>
      <c r="I57" s="10" t="e">
        <f t="shared" ca="1" si="17"/>
        <v>#NAME?</v>
      </c>
      <c r="J57" s="10" t="e">
        <f t="shared" ca="1" si="17"/>
        <v>#NAME?</v>
      </c>
      <c r="K57" s="10" t="e">
        <f t="shared" ca="1" si="17"/>
        <v>#NAME?</v>
      </c>
      <c r="L57" s="88" t="e">
        <f t="shared" ca="1" si="17"/>
        <v>#NAME?</v>
      </c>
      <c r="M57" s="10" t="e">
        <f t="shared" ca="1" si="17"/>
        <v>#NAME?</v>
      </c>
      <c r="N57" s="10" t="e">
        <f t="shared" ca="1" si="17"/>
        <v>#NAME?</v>
      </c>
      <c r="O57" s="41" t="e">
        <f t="shared" ca="1" si="17"/>
        <v>#NAME?</v>
      </c>
      <c r="P57" s="10" t="e">
        <f t="shared" ca="1" si="17"/>
        <v>#NAME?</v>
      </c>
      <c r="Q57" s="82" t="e">
        <f t="shared" ca="1" si="17"/>
        <v>#NAME?</v>
      </c>
      <c r="R57" s="82" t="e">
        <f t="shared" ca="1" si="17"/>
        <v>#NAME?</v>
      </c>
      <c r="S57" s="82" t="e">
        <f t="shared" ca="1" si="17"/>
        <v>#NAME?</v>
      </c>
      <c r="T57" s="41" t="e">
        <f t="shared" ca="1" si="17"/>
        <v>#NAME?</v>
      </c>
      <c r="U57" s="10" t="e">
        <f t="shared" ca="1" si="17"/>
        <v>#NAME?</v>
      </c>
      <c r="V57" s="10" t="e">
        <f t="shared" ca="1" si="17"/>
        <v>#NAME?</v>
      </c>
      <c r="W57" s="88" t="e">
        <f t="shared" ca="1" si="17"/>
        <v>#NAME?</v>
      </c>
      <c r="X57" s="41">
        <f t="shared" si="17"/>
        <v>0.61195022341328453</v>
      </c>
      <c r="Y57" s="10">
        <f t="shared" si="17"/>
        <v>0.60268753863111013</v>
      </c>
      <c r="Z57" s="10">
        <f t="shared" si="17"/>
        <v>0.61450871883419445</v>
      </c>
      <c r="AA57" s="10">
        <f t="shared" si="17"/>
        <v>0.59273286166314554</v>
      </c>
      <c r="AB57" s="10">
        <f t="shared" si="17"/>
        <v>0.59645877977630068</v>
      </c>
      <c r="AC57" s="41">
        <f t="shared" si="17"/>
        <v>0.60217598365181446</v>
      </c>
      <c r="AD57" s="10">
        <f t="shared" si="17"/>
        <v>0.62179531705270497</v>
      </c>
      <c r="AE57" s="41">
        <f t="shared" si="17"/>
        <v>0.59631839385570329</v>
      </c>
      <c r="AF57" s="10">
        <f t="shared" ref="AF57:AM57" si="18">AF54*AF55</f>
        <v>0.60609984473983636</v>
      </c>
      <c r="AG57" s="10">
        <f t="shared" si="18"/>
        <v>0.59689517843808371</v>
      </c>
      <c r="AH57" s="41">
        <f t="shared" si="18"/>
        <v>0.60352372745329586</v>
      </c>
      <c r="AI57" s="10">
        <f t="shared" si="18"/>
        <v>0.58072982618162206</v>
      </c>
      <c r="AJ57" s="10">
        <f t="shared" si="18"/>
        <v>0.58160891364641898</v>
      </c>
      <c r="AK57" s="10" t="e">
        <f t="shared" ca="1" si="18"/>
        <v>#NAME?</v>
      </c>
      <c r="AL57" s="41" t="e">
        <f t="shared" ca="1" si="18"/>
        <v>#NAME?</v>
      </c>
      <c r="AM57" s="10" t="e">
        <f t="shared" ca="1" si="18"/>
        <v>#NAME?</v>
      </c>
      <c r="AN57" s="41" t="e">
        <f ca="1">AN54*AN55</f>
        <v>#NAME?</v>
      </c>
      <c r="AO57" s="10" t="e">
        <f ca="1">AO54*AO55</f>
        <v>#NAME?</v>
      </c>
      <c r="AP57" s="10" t="e">
        <f ca="1">AP54*AP55</f>
        <v>#NAME?</v>
      </c>
      <c r="AQ57" s="10" t="e">
        <f ca="1">AQ54*AQ55</f>
        <v>#NAME?</v>
      </c>
      <c r="AR57" s="41" t="e">
        <f ca="1">AR54*AR55</f>
        <v>#NAME?</v>
      </c>
      <c r="AS57" s="10" t="e">
        <f t="shared" ref="AS57:AZ57" ca="1" si="19">AS54*AS55</f>
        <v>#NAME?</v>
      </c>
      <c r="AT57" s="41" t="e">
        <f t="shared" ca="1" si="19"/>
        <v>#NAME?</v>
      </c>
      <c r="AU57" s="10" t="e">
        <f t="shared" ca="1" si="19"/>
        <v>#NAME?</v>
      </c>
      <c r="AV57" s="10" t="e">
        <f t="shared" ca="1" si="19"/>
        <v>#NAME?</v>
      </c>
      <c r="AW57" s="41" t="e">
        <f t="shared" ca="1" si="19"/>
        <v>#NAME?</v>
      </c>
      <c r="AX57" s="10" t="e">
        <f t="shared" ca="1" si="19"/>
        <v>#NAME?</v>
      </c>
      <c r="AY57" s="10" t="e">
        <f t="shared" ca="1" si="19"/>
        <v>#NAME?</v>
      </c>
      <c r="AZ57" s="10" t="e">
        <f t="shared" ca="1" si="19"/>
        <v>#NAME?</v>
      </c>
      <c r="BA57" s="10" t="e">
        <f ca="1">BA54*BA55</f>
        <v>#NAME?</v>
      </c>
      <c r="BB57" s="10" t="e">
        <f ca="1">BB54*BB55</f>
        <v>#NAME?</v>
      </c>
      <c r="BC57" s="51"/>
      <c r="BD57" s="51"/>
    </row>
    <row r="58" spans="1:56" x14ac:dyDescent="0.3">
      <c r="A58" s="106"/>
      <c r="B58" s="10" t="s">
        <v>66</v>
      </c>
      <c r="C58" s="10"/>
      <c r="D58" s="41"/>
      <c r="E58" s="41"/>
      <c r="F58" s="41"/>
      <c r="G58" s="10"/>
      <c r="H58" s="41"/>
      <c r="I58" s="10"/>
      <c r="J58" s="10"/>
      <c r="K58" s="10"/>
      <c r="L58" s="88"/>
      <c r="M58" s="10"/>
      <c r="N58" s="10"/>
      <c r="O58" s="41"/>
      <c r="P58" s="10"/>
      <c r="Q58" s="82"/>
      <c r="R58" s="82"/>
      <c r="S58" s="82"/>
      <c r="T58" s="41"/>
      <c r="U58" s="10"/>
      <c r="V58" s="10"/>
      <c r="W58" s="88"/>
      <c r="X58" s="41"/>
      <c r="Y58" s="10"/>
      <c r="Z58" s="10"/>
      <c r="AA58" s="10"/>
      <c r="AB58" s="10"/>
      <c r="AC58" s="41"/>
      <c r="AD58" s="10"/>
      <c r="AE58" s="41"/>
      <c r="AF58" s="10"/>
      <c r="AG58" s="10"/>
      <c r="AH58" s="41"/>
      <c r="AI58" s="10"/>
      <c r="AJ58" s="10"/>
      <c r="AK58" s="10"/>
      <c r="AL58" s="41"/>
      <c r="AM58" s="10"/>
      <c r="AN58" s="41"/>
      <c r="AO58" s="10"/>
      <c r="AP58" s="10"/>
      <c r="AQ58" s="10"/>
      <c r="AR58" s="41"/>
      <c r="AS58" s="10"/>
      <c r="AT58" s="41"/>
      <c r="AU58" s="10"/>
      <c r="AV58" s="10"/>
      <c r="AW58" s="41"/>
      <c r="AX58" s="10"/>
      <c r="AY58" s="10"/>
      <c r="AZ58" s="10"/>
      <c r="BA58" s="10"/>
      <c r="BB58" s="10"/>
      <c r="BC58" s="51"/>
      <c r="BD58" s="51"/>
    </row>
    <row r="59" spans="1:56" s="21" customFormat="1" x14ac:dyDescent="0.3">
      <c r="A59" s="107" t="s">
        <v>94</v>
      </c>
      <c r="B59" s="20" t="s">
        <v>142</v>
      </c>
      <c r="C59" s="20"/>
      <c r="D59" s="42"/>
      <c r="E59" s="43"/>
      <c r="F59" s="43"/>
      <c r="G59" s="20"/>
      <c r="H59" s="43"/>
      <c r="I59" s="20"/>
      <c r="J59" s="18">
        <v>5613</v>
      </c>
      <c r="K59" s="20"/>
      <c r="L59" s="89"/>
      <c r="M59" s="18"/>
      <c r="N59" s="18"/>
      <c r="O59" s="43"/>
      <c r="P59" s="18"/>
      <c r="Q59" s="78"/>
      <c r="R59" s="78"/>
      <c r="S59" s="78"/>
      <c r="T59" s="37"/>
      <c r="U59" s="18"/>
      <c r="V59" s="18"/>
      <c r="W59" s="84"/>
      <c r="X59" s="37"/>
      <c r="Y59" s="18"/>
      <c r="Z59" s="18"/>
      <c r="AA59" s="18"/>
      <c r="AB59" s="24"/>
      <c r="AC59" s="37"/>
      <c r="AD59" s="24"/>
      <c r="AE59" s="37"/>
      <c r="AF59" s="24"/>
      <c r="AG59" s="24"/>
      <c r="AH59" s="37"/>
      <c r="AI59" s="24"/>
      <c r="AJ59" s="24"/>
      <c r="AK59" s="24"/>
      <c r="AL59" s="37"/>
      <c r="AM59" s="24"/>
      <c r="AN59" s="37"/>
      <c r="AO59" s="26"/>
      <c r="AP59" s="26"/>
      <c r="AQ59" s="26"/>
      <c r="AR59" s="37"/>
      <c r="AS59" s="26"/>
      <c r="AT59" s="37"/>
      <c r="AU59" s="26"/>
      <c r="AV59" s="26"/>
      <c r="AW59" s="37"/>
      <c r="AX59" s="26"/>
      <c r="AY59" s="26"/>
      <c r="AZ59" s="26"/>
      <c r="BA59" s="28"/>
      <c r="BB59" s="28"/>
      <c r="BC59" s="50"/>
      <c r="BD59" s="50"/>
    </row>
    <row r="60" spans="1:56" s="21" customFormat="1" x14ac:dyDescent="0.3">
      <c r="A60" s="107"/>
      <c r="B60" s="20" t="s">
        <v>143</v>
      </c>
      <c r="C60" s="20"/>
      <c r="D60" s="42"/>
      <c r="E60" s="43"/>
      <c r="F60" s="43"/>
      <c r="G60" s="20"/>
      <c r="H60" s="43"/>
      <c r="I60" s="20"/>
      <c r="J60" s="18">
        <v>5612</v>
      </c>
      <c r="K60" s="20"/>
      <c r="L60" s="89"/>
      <c r="M60" s="18"/>
      <c r="N60" s="18"/>
      <c r="O60" s="43"/>
      <c r="P60" s="18"/>
      <c r="Q60" s="78"/>
      <c r="R60" s="78"/>
      <c r="S60" s="78"/>
      <c r="T60" s="37"/>
      <c r="U60" s="18"/>
      <c r="V60" s="18"/>
      <c r="W60" s="84"/>
      <c r="X60" s="37"/>
      <c r="Y60" s="18"/>
      <c r="Z60" s="18"/>
      <c r="AA60" s="18"/>
      <c r="AB60" s="24"/>
      <c r="AC60" s="37"/>
      <c r="AD60" s="24"/>
      <c r="AE60" s="37"/>
      <c r="AF60" s="24"/>
      <c r="AG60" s="24"/>
      <c r="AH60" s="37"/>
      <c r="AI60" s="24"/>
      <c r="AJ60" s="24"/>
      <c r="AK60" s="24"/>
      <c r="AL60" s="37"/>
      <c r="AM60" s="24"/>
      <c r="AN60" s="37"/>
      <c r="AO60" s="26"/>
      <c r="AP60" s="26"/>
      <c r="AQ60" s="26"/>
      <c r="AR60" s="37"/>
      <c r="AS60" s="26"/>
      <c r="AT60" s="37"/>
      <c r="AU60" s="26"/>
      <c r="AV60" s="26"/>
      <c r="AW60" s="37"/>
      <c r="AX60" s="26"/>
      <c r="AY60" s="26"/>
      <c r="AZ60" s="26"/>
      <c r="BA60" s="28"/>
      <c r="BB60" s="28"/>
      <c r="BC60" s="50"/>
      <c r="BD60" s="50"/>
    </row>
    <row r="61" spans="1:56" x14ac:dyDescent="0.3">
      <c r="B61" s="62"/>
      <c r="C61" s="63">
        <v>0.80800000000000005</v>
      </c>
      <c r="D61" s="64">
        <v>0.84699999999999998</v>
      </c>
      <c r="E61" s="65">
        <v>0.85499999999999998</v>
      </c>
      <c r="F61" s="65">
        <v>0.88200000000000001</v>
      </c>
      <c r="G61" s="63">
        <v>0.88900000000000001</v>
      </c>
      <c r="H61" s="43">
        <v>0.88300000000000001</v>
      </c>
      <c r="I61" s="66"/>
      <c r="J61" s="67">
        <v>0.86299999999999999</v>
      </c>
      <c r="K61" s="63">
        <v>0.85599999999999998</v>
      </c>
      <c r="L61" s="89">
        <v>0.872</v>
      </c>
      <c r="M61" s="63">
        <v>0.88600000000000001</v>
      </c>
      <c r="N61" s="63">
        <v>0.86499999999999999</v>
      </c>
      <c r="O61" s="43">
        <v>0.85199999999999998</v>
      </c>
      <c r="P61" s="63">
        <v>0.91700000000000004</v>
      </c>
      <c r="Q61" s="83">
        <v>0.86699999999999999</v>
      </c>
      <c r="R61" s="83">
        <v>0.873</v>
      </c>
      <c r="S61" s="83">
        <v>0.86499999999999999</v>
      </c>
      <c r="T61" s="65">
        <v>0.86499999999999999</v>
      </c>
      <c r="U61" s="63">
        <v>0.86399999999999999</v>
      </c>
      <c r="V61" s="63">
        <v>0.873</v>
      </c>
      <c r="W61" s="90">
        <v>0.88300000000000001</v>
      </c>
      <c r="X61" s="65">
        <v>0.86299999999999999</v>
      </c>
      <c r="Y61" s="63">
        <v>0.85299999999999998</v>
      </c>
      <c r="Z61" s="63">
        <v>0.874</v>
      </c>
      <c r="AA61" s="63">
        <v>0.84799999999999998</v>
      </c>
      <c r="AB61" s="63">
        <v>0.85980000000000001</v>
      </c>
      <c r="AC61" s="65">
        <v>0.86660000000000004</v>
      </c>
      <c r="AD61" s="63">
        <v>0.89800000000000002</v>
      </c>
      <c r="AE61" s="65">
        <v>0.875</v>
      </c>
      <c r="AF61" s="63">
        <v>0.86299999999999999</v>
      </c>
      <c r="AG61" s="63">
        <v>0.84699999999999998</v>
      </c>
      <c r="AH61" s="65">
        <v>0.84850000000000003</v>
      </c>
      <c r="AI61" s="63">
        <v>0.82399999999999995</v>
      </c>
      <c r="AJ61" s="63">
        <v>0.83199999999999996</v>
      </c>
      <c r="AK61" s="63">
        <v>0.84199999999999997</v>
      </c>
      <c r="AL61" s="65">
        <v>0.84899999999999998</v>
      </c>
      <c r="AM61" s="63">
        <v>0.85880000000000001</v>
      </c>
      <c r="AN61" s="65">
        <v>0.86199999999999999</v>
      </c>
      <c r="AO61" s="63">
        <v>0.87</v>
      </c>
      <c r="AP61" s="63">
        <v>0.82</v>
      </c>
      <c r="AQ61" s="63">
        <v>0.83699999999999997</v>
      </c>
      <c r="AR61" s="65">
        <v>0.85499999999999998</v>
      </c>
      <c r="AS61" s="63">
        <v>0.83299999999999996</v>
      </c>
      <c r="AT61" s="65">
        <v>0.85550000000000004</v>
      </c>
      <c r="AU61" s="63">
        <v>0.88500000000000001</v>
      </c>
      <c r="AV61" s="63">
        <v>0.83199999999999996</v>
      </c>
      <c r="AW61" s="65">
        <v>0.85799999999999998</v>
      </c>
      <c r="AX61" s="63">
        <v>0.873</v>
      </c>
      <c r="AY61" s="63">
        <v>0.89600000000000002</v>
      </c>
      <c r="AZ61" s="63">
        <v>0.81100000000000005</v>
      </c>
      <c r="BA61" s="63"/>
      <c r="BB61" s="63"/>
      <c r="BC61" s="63"/>
      <c r="BD61" s="63"/>
    </row>
    <row r="62" spans="1:56" x14ac:dyDescent="0.3">
      <c r="C62"/>
      <c r="D62"/>
      <c r="H62"/>
    </row>
    <row r="63" spans="1:56" x14ac:dyDescent="0.3">
      <c r="B63" s="52" t="s">
        <v>12</v>
      </c>
      <c r="C63" s="52" t="s">
        <v>42</v>
      </c>
      <c r="D63" s="57" t="s">
        <v>47</v>
      </c>
      <c r="E63" t="s">
        <v>64</v>
      </c>
      <c r="F63" t="s">
        <v>38</v>
      </c>
      <c r="G63" t="s">
        <v>65</v>
      </c>
      <c r="H63"/>
      <c r="I63" s="68"/>
      <c r="J63">
        <v>4000</v>
      </c>
      <c r="K63">
        <v>6000</v>
      </c>
    </row>
    <row r="64" spans="1:56" s="5" customFormat="1" x14ac:dyDescent="0.3">
      <c r="B64" s="71">
        <v>3.03</v>
      </c>
      <c r="C64" s="71">
        <v>7.85</v>
      </c>
      <c r="D64" s="59">
        <v>4000</v>
      </c>
      <c r="E64" s="5">
        <v>0.66900000000000004</v>
      </c>
      <c r="F64" s="5">
        <f>C64/B64</f>
        <v>2.5907590759075907</v>
      </c>
      <c r="G64" s="72">
        <v>0.80800000000000005</v>
      </c>
      <c r="I64" s="72">
        <v>2.5907590759999999</v>
      </c>
      <c r="J64" s="5">
        <v>0.80800000000000005</v>
      </c>
    </row>
    <row r="65" spans="2:10" s="5" customFormat="1" x14ac:dyDescent="0.3">
      <c r="B65" s="71">
        <v>3.42</v>
      </c>
      <c r="C65" s="71">
        <v>8.51</v>
      </c>
      <c r="D65" s="59">
        <v>4000</v>
      </c>
      <c r="E65" s="5">
        <v>0.67766000000000004</v>
      </c>
      <c r="F65" s="5">
        <f t="shared" ref="F65:F112" si="20">C65/B65</f>
        <v>2.4883040935672516</v>
      </c>
      <c r="G65" s="73">
        <v>0.84699999999999998</v>
      </c>
      <c r="I65" s="72">
        <v>2.4883040940000001</v>
      </c>
      <c r="J65" s="5">
        <v>0.84699999999999998</v>
      </c>
    </row>
    <row r="66" spans="2:10" x14ac:dyDescent="0.3">
      <c r="B66" s="54">
        <v>3.32</v>
      </c>
      <c r="C66" s="54">
        <v>8.59</v>
      </c>
      <c r="D66" s="58">
        <v>5000</v>
      </c>
      <c r="E66">
        <v>0.67266700000000001</v>
      </c>
      <c r="F66">
        <f t="shared" si="20"/>
        <v>2.5873493975903616</v>
      </c>
      <c r="G66" s="69">
        <v>0.85499999999999998</v>
      </c>
      <c r="H66"/>
      <c r="I66">
        <v>2.4582210240000002</v>
      </c>
      <c r="J66">
        <v>0.86299999999999999</v>
      </c>
    </row>
    <row r="67" spans="2:10" x14ac:dyDescent="0.3">
      <c r="B67" s="54">
        <v>3.18</v>
      </c>
      <c r="C67" s="54">
        <v>8.6199999999999992</v>
      </c>
      <c r="D67" s="58">
        <v>6000</v>
      </c>
      <c r="E67">
        <v>0.67100000000000004</v>
      </c>
      <c r="F67">
        <f t="shared" si="20"/>
        <v>2.7106918238993707</v>
      </c>
      <c r="G67" s="69">
        <v>0.88200000000000001</v>
      </c>
      <c r="H67"/>
      <c r="I67">
        <v>2.5355191260000001</v>
      </c>
      <c r="J67">
        <v>0.85599999999999998</v>
      </c>
    </row>
    <row r="68" spans="2:10" x14ac:dyDescent="0.3">
      <c r="B68" s="53">
        <v>3.27</v>
      </c>
      <c r="C68" s="53">
        <v>9.0500000000000007</v>
      </c>
      <c r="D68" s="57">
        <v>6000</v>
      </c>
      <c r="E68">
        <v>0.68330000000000002</v>
      </c>
      <c r="F68">
        <f t="shared" si="20"/>
        <v>2.7675840978593276</v>
      </c>
      <c r="G68" s="68">
        <v>0.88900000000000001</v>
      </c>
      <c r="H68"/>
      <c r="I68">
        <v>2.5054347830000001</v>
      </c>
      <c r="J68">
        <v>0.85199999999999998</v>
      </c>
    </row>
    <row r="69" spans="2:10" x14ac:dyDescent="0.3">
      <c r="B69" s="54">
        <v>3.24</v>
      </c>
      <c r="C69" s="54">
        <v>9.14</v>
      </c>
      <c r="D69" s="58">
        <v>6000</v>
      </c>
      <c r="E69">
        <v>0.68</v>
      </c>
      <c r="F69">
        <f t="shared" si="20"/>
        <v>2.8209876543209877</v>
      </c>
      <c r="G69" s="70">
        <v>0.88300000000000001</v>
      </c>
      <c r="H69"/>
      <c r="I69">
        <v>2.4613333329999998</v>
      </c>
      <c r="J69">
        <v>0.86499999999999999</v>
      </c>
    </row>
    <row r="70" spans="2:10" s="5" customFormat="1" ht="24" customHeight="1" x14ac:dyDescent="0.3">
      <c r="B70" s="71">
        <v>3.71</v>
      </c>
      <c r="C70" s="71">
        <v>9.1199999999999992</v>
      </c>
      <c r="D70" s="59">
        <v>4000</v>
      </c>
      <c r="E70" s="5">
        <v>0.68379999999999996</v>
      </c>
      <c r="F70" s="5">
        <f t="shared" si="20"/>
        <v>2.4582210242587599</v>
      </c>
      <c r="G70" s="72">
        <v>0.86299999999999999</v>
      </c>
      <c r="I70" s="5">
        <v>2.4652406419999999</v>
      </c>
      <c r="J70" s="5">
        <v>0.86399999999999999</v>
      </c>
    </row>
    <row r="71" spans="2:10" s="5" customFormat="1" x14ac:dyDescent="0.3">
      <c r="B71" s="71">
        <v>3.66</v>
      </c>
      <c r="C71" s="71">
        <v>9.2799999999999994</v>
      </c>
      <c r="D71" s="59">
        <v>4000</v>
      </c>
      <c r="E71" s="5">
        <v>0.67600000000000005</v>
      </c>
      <c r="F71" s="5">
        <f t="shared" si="20"/>
        <v>2.5355191256830598</v>
      </c>
      <c r="G71" s="72">
        <v>0.85599999999999998</v>
      </c>
      <c r="I71" s="5">
        <v>2.5147453080000002</v>
      </c>
      <c r="J71" s="5">
        <v>0.873</v>
      </c>
    </row>
    <row r="72" spans="2:10" x14ac:dyDescent="0.3">
      <c r="B72" s="54">
        <v>3.42</v>
      </c>
      <c r="C72" s="54">
        <v>9.2799999999999994</v>
      </c>
      <c r="D72" s="58">
        <v>5000</v>
      </c>
      <c r="E72">
        <v>0.68799999999999994</v>
      </c>
      <c r="F72">
        <f t="shared" si="20"/>
        <v>2.7134502923976607</v>
      </c>
      <c r="G72" s="70">
        <v>0.872</v>
      </c>
      <c r="H72"/>
      <c r="I72">
        <v>2.3968253970000002</v>
      </c>
      <c r="J72">
        <v>0.86299999999999999</v>
      </c>
    </row>
    <row r="73" spans="2:10" x14ac:dyDescent="0.3">
      <c r="B73" s="53">
        <v>3.47</v>
      </c>
      <c r="C73" s="53">
        <v>9.1</v>
      </c>
      <c r="D73" s="59">
        <v>5000</v>
      </c>
      <c r="E73">
        <v>0.69599999999999995</v>
      </c>
      <c r="F73">
        <f t="shared" si="20"/>
        <v>2.6224783861671468</v>
      </c>
      <c r="G73" s="68">
        <v>0.88600000000000001</v>
      </c>
      <c r="H73"/>
      <c r="I73">
        <v>2.5215053759999999</v>
      </c>
      <c r="J73">
        <v>0.85299999999999998</v>
      </c>
    </row>
    <row r="74" spans="2:10" x14ac:dyDescent="0.3">
      <c r="B74" s="53">
        <v>3.39</v>
      </c>
      <c r="C74" s="53">
        <v>9.4</v>
      </c>
      <c r="D74" s="59">
        <v>5000</v>
      </c>
      <c r="E74">
        <v>0.68100000000000005</v>
      </c>
      <c r="F74">
        <f t="shared" si="20"/>
        <v>2.7728613569321534</v>
      </c>
      <c r="G74" s="68">
        <v>0.86499999999999999</v>
      </c>
      <c r="H74"/>
      <c r="I74">
        <v>2.4005305039999998</v>
      </c>
      <c r="J74">
        <v>0.874</v>
      </c>
    </row>
    <row r="75" spans="2:10" x14ac:dyDescent="0.3">
      <c r="B75" s="54">
        <v>3.68</v>
      </c>
      <c r="C75" s="54">
        <v>9.2200000000000006</v>
      </c>
      <c r="D75" s="58">
        <v>4000</v>
      </c>
      <c r="E75">
        <v>0.67400000000000004</v>
      </c>
      <c r="F75">
        <f t="shared" si="20"/>
        <v>2.5054347826086958</v>
      </c>
      <c r="G75" s="70">
        <v>0.85199999999999998</v>
      </c>
      <c r="H75"/>
      <c r="I75">
        <v>2.3403141359999999</v>
      </c>
      <c r="J75">
        <v>0.86299999999999999</v>
      </c>
    </row>
    <row r="76" spans="2:10" x14ac:dyDescent="0.3">
      <c r="B76" s="53">
        <v>3.71</v>
      </c>
      <c r="C76" s="53">
        <v>8.6</v>
      </c>
      <c r="D76" s="59">
        <v>5000</v>
      </c>
      <c r="E76">
        <v>0.70899999999999996</v>
      </c>
      <c r="F76">
        <f t="shared" si="20"/>
        <v>2.3180592991913747</v>
      </c>
      <c r="G76" s="68">
        <v>0.91700000000000004</v>
      </c>
      <c r="H76"/>
      <c r="I76">
        <v>2.4441489359999999</v>
      </c>
      <c r="J76">
        <v>0.84699999999999998</v>
      </c>
    </row>
    <row r="77" spans="2:10" x14ac:dyDescent="0.3">
      <c r="B77" s="54">
        <v>3.48</v>
      </c>
      <c r="C77" s="54">
        <v>9.27</v>
      </c>
      <c r="D77" s="58">
        <v>5000</v>
      </c>
      <c r="E77">
        <v>0.67849999999999999</v>
      </c>
      <c r="F77">
        <f t="shared" si="20"/>
        <v>2.6637931034482758</v>
      </c>
      <c r="G77" s="69">
        <v>0.86699999999999999</v>
      </c>
      <c r="H77"/>
      <c r="I77">
        <v>2.4736842110000001</v>
      </c>
      <c r="J77">
        <v>0.84850000000000003</v>
      </c>
    </row>
    <row r="78" spans="2:10" x14ac:dyDescent="0.3">
      <c r="B78" s="53">
        <v>3.52</v>
      </c>
      <c r="C78" s="53">
        <v>9.1199999999999992</v>
      </c>
      <c r="D78" s="57">
        <v>5000</v>
      </c>
      <c r="E78">
        <v>0.68569999999999998</v>
      </c>
      <c r="F78">
        <f t="shared" si="20"/>
        <v>2.5909090909090908</v>
      </c>
      <c r="G78" s="68">
        <v>0.873</v>
      </c>
      <c r="H78"/>
      <c r="I78">
        <v>2.5277044850000001</v>
      </c>
      <c r="J78">
        <v>0.82399999999999995</v>
      </c>
    </row>
    <row r="79" spans="2:10" x14ac:dyDescent="0.3">
      <c r="B79" s="53">
        <v>3.46</v>
      </c>
      <c r="C79" s="53">
        <v>9.3699999999999992</v>
      </c>
      <c r="D79" s="57">
        <v>5000</v>
      </c>
      <c r="E79">
        <v>0.67300000000000004</v>
      </c>
      <c r="F79">
        <f t="shared" si="20"/>
        <v>2.7080924855491326</v>
      </c>
      <c r="G79" s="68">
        <v>0.86499999999999999</v>
      </c>
      <c r="H79"/>
      <c r="I79">
        <v>2.489473684</v>
      </c>
      <c r="J79">
        <v>0.82</v>
      </c>
    </row>
    <row r="80" spans="2:10" s="5" customFormat="1" x14ac:dyDescent="0.3">
      <c r="B80" s="71">
        <v>3.75</v>
      </c>
      <c r="C80" s="71">
        <v>9.23</v>
      </c>
      <c r="D80" s="59">
        <v>4000</v>
      </c>
      <c r="E80" s="5">
        <v>0.68400000000000005</v>
      </c>
      <c r="F80" s="5">
        <f t="shared" si="20"/>
        <v>2.4613333333333336</v>
      </c>
      <c r="G80" s="72">
        <v>0.86499999999999999</v>
      </c>
      <c r="I80" s="5">
        <v>2.4136125650000002</v>
      </c>
      <c r="J80" s="5">
        <v>0.83699999999999997</v>
      </c>
    </row>
    <row r="81" spans="2:11" s="5" customFormat="1" x14ac:dyDescent="0.3">
      <c r="B81" s="71">
        <v>3.73</v>
      </c>
      <c r="C81" s="71">
        <v>9.3800000000000008</v>
      </c>
      <c r="D81" s="59">
        <v>4000</v>
      </c>
      <c r="E81" s="5">
        <v>0.67800000000000005</v>
      </c>
      <c r="F81" s="5">
        <f t="shared" si="20"/>
        <v>2.5147453083109923</v>
      </c>
      <c r="G81" s="72">
        <v>0.86399999999999999</v>
      </c>
      <c r="I81" s="5">
        <v>2.34025974</v>
      </c>
      <c r="J81" s="5">
        <v>0.85499999999999998</v>
      </c>
    </row>
    <row r="82" spans="2:11" s="5" customFormat="1" x14ac:dyDescent="0.3">
      <c r="B82" s="71">
        <v>3.78</v>
      </c>
      <c r="C82" s="71">
        <v>9.06</v>
      </c>
      <c r="D82" s="59">
        <v>4000</v>
      </c>
      <c r="E82" s="5">
        <v>0.69299999999999995</v>
      </c>
      <c r="F82" s="5">
        <f t="shared" si="20"/>
        <v>2.3968253968253972</v>
      </c>
      <c r="G82" s="72">
        <v>0.873</v>
      </c>
      <c r="I82" s="5">
        <v>2.710691824</v>
      </c>
      <c r="K82" s="5">
        <v>0.88200000000000001</v>
      </c>
    </row>
    <row r="83" spans="2:11" x14ac:dyDescent="0.3">
      <c r="B83" s="54">
        <v>3.28</v>
      </c>
      <c r="C83" s="54">
        <v>9.08</v>
      </c>
      <c r="D83" s="58">
        <v>6000</v>
      </c>
      <c r="E83">
        <v>0.67</v>
      </c>
      <c r="F83">
        <f t="shared" si="20"/>
        <v>2.7682926829268295</v>
      </c>
      <c r="G83" s="69">
        <v>0.88300000000000001</v>
      </c>
      <c r="H83"/>
      <c r="I83">
        <v>2.7675840979999999</v>
      </c>
      <c r="K83">
        <v>0.88900000000000001</v>
      </c>
    </row>
    <row r="84" spans="2:11" x14ac:dyDescent="0.3">
      <c r="B84" s="54">
        <v>3.74</v>
      </c>
      <c r="C84" s="54">
        <v>9.2200000000000006</v>
      </c>
      <c r="D84" s="58">
        <v>4000</v>
      </c>
      <c r="E84">
        <v>0.67749999999999999</v>
      </c>
      <c r="F84">
        <f>C84/B84</f>
        <v>2.46524064171123</v>
      </c>
      <c r="G84" s="69">
        <v>0.86299999999999999</v>
      </c>
      <c r="H84"/>
      <c r="I84">
        <v>2.8209876540000001</v>
      </c>
      <c r="K84">
        <v>0.88300000000000001</v>
      </c>
    </row>
    <row r="85" spans="2:11" x14ac:dyDescent="0.3">
      <c r="B85" s="53">
        <v>3.72</v>
      </c>
      <c r="C85" s="53">
        <v>9.3800000000000008</v>
      </c>
      <c r="D85" s="57">
        <v>4000</v>
      </c>
      <c r="E85">
        <v>0.67200000000000004</v>
      </c>
      <c r="F85">
        <f t="shared" si="20"/>
        <v>2.521505376344086</v>
      </c>
      <c r="G85" s="68">
        <v>0.85299999999999998</v>
      </c>
      <c r="H85"/>
      <c r="I85">
        <v>2.7682926829999999</v>
      </c>
      <c r="K85">
        <v>0.88300000000000001</v>
      </c>
    </row>
    <row r="86" spans="2:11" x14ac:dyDescent="0.3">
      <c r="B86" s="53">
        <v>3.77</v>
      </c>
      <c r="C86" s="53">
        <v>9.0500000000000007</v>
      </c>
      <c r="D86" s="57">
        <v>4000</v>
      </c>
      <c r="E86">
        <v>0.69640000000000002</v>
      </c>
      <c r="F86">
        <f t="shared" si="20"/>
        <v>2.4005305039787799</v>
      </c>
      <c r="G86" s="68">
        <v>0.874</v>
      </c>
      <c r="H86"/>
      <c r="I86">
        <v>2.7706422019999999</v>
      </c>
      <c r="K86">
        <v>0.875</v>
      </c>
    </row>
    <row r="87" spans="2:11" x14ac:dyDescent="0.3">
      <c r="B87" s="53">
        <v>3.41</v>
      </c>
      <c r="C87" s="53">
        <v>9.56</v>
      </c>
      <c r="D87" s="59">
        <v>5000</v>
      </c>
      <c r="E87">
        <v>0.65720000000000001</v>
      </c>
      <c r="F87">
        <f t="shared" si="20"/>
        <v>2.8035190615835779</v>
      </c>
      <c r="G87" s="68">
        <v>0.84799999999999998</v>
      </c>
      <c r="H87"/>
      <c r="I87">
        <v>2.730538922</v>
      </c>
      <c r="K87">
        <v>0.86199999999999999</v>
      </c>
    </row>
    <row r="88" spans="2:11" x14ac:dyDescent="0.3">
      <c r="B88" s="53">
        <v>3.42</v>
      </c>
      <c r="C88" s="53">
        <v>9.39</v>
      </c>
      <c r="D88" s="59">
        <v>5000</v>
      </c>
      <c r="E88">
        <v>0.67</v>
      </c>
      <c r="F88">
        <f t="shared" si="20"/>
        <v>2.7456140350877196</v>
      </c>
      <c r="G88" s="68">
        <v>0.85980000000000001</v>
      </c>
      <c r="H88"/>
      <c r="I88">
        <v>2.68452381</v>
      </c>
      <c r="K88">
        <v>0.87</v>
      </c>
    </row>
    <row r="89" spans="2:11" x14ac:dyDescent="0.3">
      <c r="B89" s="54">
        <v>3.46</v>
      </c>
      <c r="C89" s="54">
        <v>9.1999999999999993</v>
      </c>
      <c r="D89" s="58">
        <v>5000</v>
      </c>
      <c r="E89">
        <v>0.67779999999999996</v>
      </c>
      <c r="F89">
        <f t="shared" si="20"/>
        <v>2.6589595375722541</v>
      </c>
      <c r="G89" s="69">
        <v>0.86660000000000004</v>
      </c>
      <c r="H89"/>
      <c r="I89">
        <v>2.875</v>
      </c>
      <c r="K89">
        <v>0.83199999999999996</v>
      </c>
    </row>
    <row r="90" spans="2:11" x14ac:dyDescent="0.3">
      <c r="B90" s="53">
        <v>3.63</v>
      </c>
      <c r="C90" s="53">
        <v>8.73</v>
      </c>
      <c r="D90" s="59">
        <v>5000</v>
      </c>
      <c r="E90">
        <v>0.69399999999999995</v>
      </c>
      <c r="F90">
        <f t="shared" si="20"/>
        <v>2.4049586776859506</v>
      </c>
      <c r="G90" s="68">
        <v>0.89800000000000002</v>
      </c>
      <c r="H90"/>
      <c r="I90">
        <v>2.7574850299999998</v>
      </c>
      <c r="K90">
        <v>0.85799999999999998</v>
      </c>
    </row>
    <row r="91" spans="2:11" x14ac:dyDescent="0.3">
      <c r="B91" s="54">
        <v>3.27</v>
      </c>
      <c r="C91" s="54">
        <v>9.06</v>
      </c>
      <c r="D91" s="58">
        <v>6000</v>
      </c>
      <c r="E91">
        <v>0.66400000000000003</v>
      </c>
      <c r="F91">
        <f t="shared" si="20"/>
        <v>2.7706422018348627</v>
      </c>
      <c r="G91" s="69">
        <v>0.875</v>
      </c>
      <c r="H91"/>
      <c r="I91">
        <v>2.634502924</v>
      </c>
      <c r="K91">
        <v>0.873</v>
      </c>
    </row>
    <row r="92" spans="2:11" x14ac:dyDescent="0.3">
      <c r="B92" s="53">
        <v>3.82</v>
      </c>
      <c r="C92" s="53">
        <v>8.94</v>
      </c>
      <c r="D92" s="57">
        <v>4000</v>
      </c>
      <c r="E92">
        <v>0.68240000000000001</v>
      </c>
      <c r="F92">
        <f t="shared" si="20"/>
        <v>2.3403141361256545</v>
      </c>
      <c r="G92" s="68">
        <v>0.86299999999999999</v>
      </c>
      <c r="H92"/>
    </row>
    <row r="93" spans="2:11" x14ac:dyDescent="0.3">
      <c r="B93" s="53">
        <v>3.76</v>
      </c>
      <c r="C93" s="53">
        <v>9.19</v>
      </c>
      <c r="D93" s="57">
        <v>4000</v>
      </c>
      <c r="E93">
        <v>0.66800000000000004</v>
      </c>
      <c r="F93">
        <f t="shared" si="20"/>
        <v>2.4441489361702127</v>
      </c>
      <c r="G93" s="68">
        <v>0.84699999999999998</v>
      </c>
      <c r="H93"/>
    </row>
    <row r="94" spans="2:11" x14ac:dyDescent="0.3">
      <c r="B94" s="54">
        <v>3.8</v>
      </c>
      <c r="C94" s="54">
        <v>9.4</v>
      </c>
      <c r="D94" s="58">
        <v>4000</v>
      </c>
      <c r="E94">
        <v>0.66110000000000002</v>
      </c>
      <c r="F94">
        <f t="shared" si="20"/>
        <v>2.4736842105263159</v>
      </c>
      <c r="G94" s="69">
        <v>0.84850000000000003</v>
      </c>
      <c r="H94"/>
    </row>
    <row r="95" spans="2:11" x14ac:dyDescent="0.3">
      <c r="B95" s="53">
        <v>3.79</v>
      </c>
      <c r="C95" s="53">
        <v>9.58</v>
      </c>
      <c r="D95" s="57">
        <v>4000</v>
      </c>
      <c r="E95">
        <v>0.64564999999999995</v>
      </c>
      <c r="F95">
        <f t="shared" si="20"/>
        <v>2.5277044854881265</v>
      </c>
      <c r="G95" s="68">
        <v>0.82399999999999995</v>
      </c>
      <c r="H95"/>
    </row>
    <row r="96" spans="2:11" x14ac:dyDescent="0.3">
      <c r="B96" s="53">
        <v>3.5</v>
      </c>
      <c r="C96" s="53">
        <v>9.58</v>
      </c>
      <c r="D96" s="59">
        <v>5000</v>
      </c>
      <c r="E96">
        <v>0.64749999999999996</v>
      </c>
      <c r="F96">
        <f t="shared" si="20"/>
        <v>2.7371428571428571</v>
      </c>
      <c r="G96" s="68">
        <v>0.83199999999999996</v>
      </c>
      <c r="H96"/>
    </row>
    <row r="97" spans="2:8" x14ac:dyDescent="0.3">
      <c r="B97" s="53">
        <v>3.52</v>
      </c>
      <c r="C97" s="53">
        <v>9.39</v>
      </c>
      <c r="D97" s="59">
        <v>5000</v>
      </c>
      <c r="E97">
        <v>0.65</v>
      </c>
      <c r="F97">
        <f t="shared" si="20"/>
        <v>2.6676136363636367</v>
      </c>
      <c r="G97" s="68">
        <v>0.84199999999999997</v>
      </c>
      <c r="H97"/>
    </row>
    <row r="98" spans="2:8" x14ac:dyDescent="0.3">
      <c r="B98" s="54">
        <v>3.56</v>
      </c>
      <c r="C98" s="54">
        <v>9.1999999999999993</v>
      </c>
      <c r="D98" s="58">
        <v>5000</v>
      </c>
      <c r="E98">
        <v>0.65800000000000003</v>
      </c>
      <c r="F98">
        <f t="shared" si="20"/>
        <v>2.584269662921348</v>
      </c>
      <c r="G98" s="69">
        <v>0.84899999999999998</v>
      </c>
      <c r="H98"/>
    </row>
    <row r="99" spans="2:8" x14ac:dyDescent="0.3">
      <c r="B99" s="53">
        <v>3.59</v>
      </c>
      <c r="C99" s="53">
        <v>9.06</v>
      </c>
      <c r="D99" s="59">
        <v>5000</v>
      </c>
      <c r="E99">
        <v>0.66600000000000004</v>
      </c>
      <c r="F99">
        <f t="shared" si="20"/>
        <v>2.5236768802228413</v>
      </c>
      <c r="G99" s="68">
        <v>0.85880000000000001</v>
      </c>
      <c r="H99"/>
    </row>
    <row r="100" spans="2:8" x14ac:dyDescent="0.3">
      <c r="B100" s="55">
        <v>3.34</v>
      </c>
      <c r="C100" s="54">
        <v>9.1199999999999992</v>
      </c>
      <c r="D100" s="58">
        <v>6000</v>
      </c>
      <c r="E100">
        <v>0.65300000000000002</v>
      </c>
      <c r="F100">
        <f t="shared" si="20"/>
        <v>2.7305389221556884</v>
      </c>
      <c r="G100" s="69">
        <v>0.86199999999999999</v>
      </c>
      <c r="H100"/>
    </row>
    <row r="101" spans="2:8" x14ac:dyDescent="0.3">
      <c r="B101" s="56">
        <v>3.36</v>
      </c>
      <c r="C101" s="53">
        <v>9.02</v>
      </c>
      <c r="D101" s="57">
        <v>6000</v>
      </c>
      <c r="E101">
        <v>0.65900000000000003</v>
      </c>
      <c r="F101">
        <f t="shared" si="20"/>
        <v>2.6845238095238093</v>
      </c>
      <c r="G101" s="68">
        <v>0.87</v>
      </c>
      <c r="H101"/>
    </row>
    <row r="102" spans="2:8" x14ac:dyDescent="0.3">
      <c r="B102" s="56">
        <v>3.8</v>
      </c>
      <c r="C102" s="53">
        <v>9.4600000000000009</v>
      </c>
      <c r="D102" s="57">
        <v>4000</v>
      </c>
      <c r="E102">
        <v>0.64670000000000005</v>
      </c>
      <c r="F102">
        <f t="shared" si="20"/>
        <v>2.4894736842105267</v>
      </c>
      <c r="G102" s="68">
        <v>0.82</v>
      </c>
      <c r="H102"/>
    </row>
    <row r="103" spans="2:8" x14ac:dyDescent="0.3">
      <c r="B103" s="56">
        <v>3.82</v>
      </c>
      <c r="C103" s="53">
        <v>9.2200000000000006</v>
      </c>
      <c r="D103" s="57">
        <v>4000</v>
      </c>
      <c r="E103">
        <v>0.65700000000000003</v>
      </c>
      <c r="F103">
        <f t="shared" si="20"/>
        <v>2.4136125654450264</v>
      </c>
      <c r="G103" s="68">
        <v>0.83699999999999997</v>
      </c>
      <c r="H103"/>
    </row>
    <row r="104" spans="2:8" x14ac:dyDescent="0.3">
      <c r="B104" s="55">
        <v>3.85</v>
      </c>
      <c r="C104" s="54">
        <v>9.01</v>
      </c>
      <c r="D104" s="58">
        <v>4000</v>
      </c>
      <c r="E104">
        <v>0.66979999999999995</v>
      </c>
      <c r="F104">
        <f t="shared" si="20"/>
        <v>2.3402597402597403</v>
      </c>
      <c r="G104" s="69">
        <v>0.85499999999999998</v>
      </c>
      <c r="H104"/>
    </row>
    <row r="105" spans="2:8" x14ac:dyDescent="0.3">
      <c r="B105" s="56">
        <v>3.51</v>
      </c>
      <c r="C105" s="53">
        <v>9.43</v>
      </c>
      <c r="D105" s="59">
        <v>5000</v>
      </c>
      <c r="E105">
        <v>0.64600000000000002</v>
      </c>
      <c r="F105">
        <f t="shared" si="20"/>
        <v>2.6866096866096867</v>
      </c>
      <c r="G105" s="68">
        <v>0.83299999999999996</v>
      </c>
      <c r="H105"/>
    </row>
    <row r="106" spans="2:8" x14ac:dyDescent="0.3">
      <c r="B106" s="55">
        <v>3.54</v>
      </c>
      <c r="C106" s="54">
        <v>9.2100000000000009</v>
      </c>
      <c r="D106" s="58">
        <v>5000</v>
      </c>
      <c r="E106">
        <v>0.66</v>
      </c>
      <c r="F106">
        <f t="shared" si="20"/>
        <v>2.6016949152542375</v>
      </c>
      <c r="G106" s="69">
        <v>0.85550000000000004</v>
      </c>
      <c r="H106"/>
    </row>
    <row r="107" spans="2:8" x14ac:dyDescent="0.3">
      <c r="B107" s="56">
        <v>3.65</v>
      </c>
      <c r="C107" s="53">
        <v>8.9</v>
      </c>
      <c r="D107" s="59">
        <v>5000</v>
      </c>
      <c r="E107">
        <v>0.67149999999999999</v>
      </c>
      <c r="F107">
        <f t="shared" si="20"/>
        <v>2.4383561643835616</v>
      </c>
      <c r="G107" s="68">
        <v>0.88500000000000001</v>
      </c>
      <c r="H107"/>
    </row>
    <row r="108" spans="2:8" x14ac:dyDescent="0.3">
      <c r="B108" s="56">
        <v>3.28</v>
      </c>
      <c r="C108" s="53">
        <v>9.43</v>
      </c>
      <c r="D108" s="57">
        <v>6000</v>
      </c>
      <c r="E108">
        <v>0.63300000000000001</v>
      </c>
      <c r="F108">
        <f t="shared" si="20"/>
        <v>2.875</v>
      </c>
      <c r="G108" s="68">
        <v>0.83199999999999996</v>
      </c>
      <c r="H108"/>
    </row>
    <row r="109" spans="2:8" x14ac:dyDescent="0.3">
      <c r="B109" s="55">
        <v>3.34</v>
      </c>
      <c r="C109" s="54">
        <v>9.2100000000000009</v>
      </c>
      <c r="D109" s="58">
        <v>6000</v>
      </c>
      <c r="E109">
        <v>0.64659999999999995</v>
      </c>
      <c r="F109">
        <f t="shared" si="20"/>
        <v>2.7574850299401201</v>
      </c>
      <c r="G109" s="69">
        <v>0.85799999999999998</v>
      </c>
      <c r="H109"/>
    </row>
    <row r="110" spans="2:8" x14ac:dyDescent="0.3">
      <c r="B110" s="56">
        <v>3.42</v>
      </c>
      <c r="C110" s="53">
        <v>9.01</v>
      </c>
      <c r="D110" s="57">
        <v>6000</v>
      </c>
      <c r="E110">
        <v>0.65</v>
      </c>
      <c r="F110">
        <f t="shared" si="20"/>
        <v>2.634502923976608</v>
      </c>
      <c r="G110" s="68">
        <v>0.873</v>
      </c>
      <c r="H110"/>
    </row>
    <row r="111" spans="2:8" x14ac:dyDescent="0.3">
      <c r="B111" s="56">
        <v>3.8</v>
      </c>
      <c r="C111" s="53">
        <v>8.6999999999999993</v>
      </c>
      <c r="D111" s="59">
        <v>5000</v>
      </c>
      <c r="E111">
        <v>0.66500000000000004</v>
      </c>
      <c r="F111">
        <f t="shared" si="20"/>
        <v>2.2894736842105261</v>
      </c>
      <c r="G111" s="68">
        <v>0.89600000000000002</v>
      </c>
      <c r="H111"/>
    </row>
    <row r="112" spans="2:8" x14ac:dyDescent="0.3">
      <c r="B112" s="56">
        <v>3.49</v>
      </c>
      <c r="C112" s="53">
        <v>9.6300000000000008</v>
      </c>
      <c r="D112" s="59">
        <v>5000</v>
      </c>
      <c r="E112">
        <v>0.63100000000000001</v>
      </c>
      <c r="F112">
        <f t="shared" si="20"/>
        <v>2.7593123209169055</v>
      </c>
      <c r="G112" s="68">
        <v>0.81100000000000005</v>
      </c>
      <c r="H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</sheetData>
  <mergeCells count="5">
    <mergeCell ref="A4:A7"/>
    <mergeCell ref="A8:A21"/>
    <mergeCell ref="A22:A29"/>
    <mergeCell ref="A30:A58"/>
    <mergeCell ref="A59:A60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4" x14ac:dyDescent="0.3"/>
  <cols>
    <col min="2" max="2" width="11.08203125" customWidth="1"/>
  </cols>
  <sheetData>
    <row r="1" spans="1:3" x14ac:dyDescent="0.3">
      <c r="B1" t="s">
        <v>68</v>
      </c>
      <c r="C1">
        <f>Sheet2!C35</f>
        <v>68.599999999999994</v>
      </c>
    </row>
    <row r="2" spans="1:3" x14ac:dyDescent="0.3">
      <c r="A2" s="108" t="s">
        <v>69</v>
      </c>
      <c r="B2" t="s">
        <v>70</v>
      </c>
      <c r="C2" t="e">
        <f>Sheet2!C28-Sheet2!#REF!</f>
        <v>#REF!</v>
      </c>
    </row>
    <row r="3" spans="1:3" x14ac:dyDescent="0.3">
      <c r="A3" s="108"/>
      <c r="B3" t="s">
        <v>71</v>
      </c>
      <c r="C3" t="e">
        <f>Sheet2!#REF!-Sheet2!C29</f>
        <v>#REF!</v>
      </c>
    </row>
    <row r="4" spans="1:3" x14ac:dyDescent="0.3">
      <c r="A4" s="108"/>
      <c r="B4" t="s">
        <v>72</v>
      </c>
      <c r="C4">
        <f>Sheet2!C29-Sheet2!C22</f>
        <v>-3.03</v>
      </c>
    </row>
    <row r="5" spans="1:3" x14ac:dyDescent="0.3">
      <c r="A5" s="108"/>
      <c r="B5" t="s">
        <v>91</v>
      </c>
      <c r="C5">
        <f>Sheet2!C23-Sheet2!C24</f>
        <v>-2.3000000000000576E-2</v>
      </c>
    </row>
    <row r="6" spans="1:3" x14ac:dyDescent="0.3">
      <c r="A6" s="108"/>
      <c r="B6" t="s">
        <v>92</v>
      </c>
      <c r="C6">
        <f>Sheet2!C24-Sheet2!C25</f>
        <v>3.3000000000000362E-2</v>
      </c>
    </row>
    <row r="7" spans="1:3" x14ac:dyDescent="0.3">
      <c r="A7" s="13"/>
    </row>
    <row r="28" spans="1:7" x14ac:dyDescent="0.3">
      <c r="A28" s="109" t="s">
        <v>76</v>
      </c>
      <c r="B28" s="109" t="s">
        <v>73</v>
      </c>
      <c r="C28" s="109"/>
      <c r="D28" s="109" t="s">
        <v>74</v>
      </c>
      <c r="E28" s="109"/>
      <c r="F28" s="109" t="s">
        <v>75</v>
      </c>
      <c r="G28" s="109"/>
    </row>
    <row r="29" spans="1:7" x14ac:dyDescent="0.3">
      <c r="A29" s="109"/>
      <c r="B29" s="14" t="s">
        <v>78</v>
      </c>
      <c r="C29" s="14" t="s">
        <v>69</v>
      </c>
      <c r="D29" s="14" t="s">
        <v>77</v>
      </c>
      <c r="E29" s="14" t="s">
        <v>69</v>
      </c>
      <c r="F29" s="14" t="s">
        <v>78</v>
      </c>
      <c r="G29" s="14" t="s">
        <v>69</v>
      </c>
    </row>
    <row r="30" spans="1:7" x14ac:dyDescent="0.3">
      <c r="A30" s="109"/>
      <c r="B30" s="14"/>
      <c r="C30" s="14"/>
      <c r="D30" s="14">
        <v>100.3</v>
      </c>
      <c r="E30" s="14">
        <v>0.29199999999999982</v>
      </c>
      <c r="F30" s="14"/>
      <c r="G30" s="14"/>
    </row>
    <row r="31" spans="1:7" x14ac:dyDescent="0.3">
      <c r="A31" s="109"/>
      <c r="B31" s="14">
        <v>99</v>
      </c>
      <c r="C31" s="14">
        <v>0.53900000000000015</v>
      </c>
      <c r="D31" s="14">
        <v>104.7</v>
      </c>
      <c r="E31" s="14">
        <v>0.32200000000000006</v>
      </c>
      <c r="F31" s="14"/>
      <c r="G31" s="14"/>
    </row>
    <row r="32" spans="1:7" x14ac:dyDescent="0.3">
      <c r="A32" s="109"/>
      <c r="B32" s="14">
        <v>105.2</v>
      </c>
      <c r="C32" s="14">
        <v>0.5950000000000002</v>
      </c>
      <c r="D32" s="14">
        <v>106.3</v>
      </c>
      <c r="E32" s="14">
        <v>0.33599999999999985</v>
      </c>
      <c r="F32" s="14">
        <v>106.19</v>
      </c>
      <c r="G32" s="14">
        <v>0.26400000000000001</v>
      </c>
    </row>
    <row r="33" spans="1:7" x14ac:dyDescent="0.3">
      <c r="A33" s="109"/>
      <c r="B33" s="14">
        <v>128.1</v>
      </c>
      <c r="C33" s="14">
        <v>0.82499999999999973</v>
      </c>
      <c r="D33" s="14">
        <v>131.19999999999999</v>
      </c>
      <c r="E33" s="14">
        <v>0.5089999999999999</v>
      </c>
      <c r="F33" s="14">
        <v>118.92</v>
      </c>
      <c r="G33" s="14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4" x14ac:dyDescent="0.3"/>
  <sheetData>
    <row r="1" spans="2:14" x14ac:dyDescent="0.3">
      <c r="B1" s="111" t="s">
        <v>79</v>
      </c>
      <c r="C1" s="112"/>
      <c r="D1" s="112"/>
      <c r="E1" s="113"/>
      <c r="F1" s="110" t="s">
        <v>83</v>
      </c>
      <c r="G1" s="110"/>
      <c r="H1" s="110"/>
      <c r="I1" s="110"/>
      <c r="J1" s="111" t="s">
        <v>84</v>
      </c>
      <c r="K1" s="112"/>
      <c r="L1" s="113"/>
      <c r="M1" s="15"/>
      <c r="N1" s="11"/>
    </row>
    <row r="2" spans="2:14" x14ac:dyDescent="0.3">
      <c r="B2" s="14" t="s">
        <v>80</v>
      </c>
      <c r="C2" s="14" t="s">
        <v>85</v>
      </c>
      <c r="D2" s="14" t="s">
        <v>81</v>
      </c>
      <c r="E2" s="14" t="s">
        <v>82</v>
      </c>
      <c r="F2" s="8" t="s">
        <v>80</v>
      </c>
      <c r="G2" s="8" t="s">
        <v>86</v>
      </c>
      <c r="H2" s="8" t="s">
        <v>81</v>
      </c>
      <c r="I2" s="8" t="s">
        <v>82</v>
      </c>
      <c r="J2" s="14" t="s">
        <v>80</v>
      </c>
      <c r="K2" s="14" t="s">
        <v>87</v>
      </c>
      <c r="L2" s="14" t="s">
        <v>81</v>
      </c>
      <c r="M2" s="11"/>
    </row>
    <row r="3" spans="2:14" x14ac:dyDescent="0.3">
      <c r="B3" s="14">
        <v>302.07900000000001</v>
      </c>
      <c r="C3" s="14">
        <v>113</v>
      </c>
      <c r="D3" s="14">
        <v>2632.99</v>
      </c>
      <c r="E3" s="14">
        <v>0.61547218326320707</v>
      </c>
      <c r="F3" s="8">
        <v>297.30399999999997</v>
      </c>
      <c r="G3" s="8">
        <v>100.3</v>
      </c>
      <c r="H3" s="8">
        <v>3564.06</v>
      </c>
      <c r="I3" s="8">
        <v>1.2753837895866882</v>
      </c>
      <c r="J3" s="14">
        <v>200</v>
      </c>
      <c r="K3" s="14">
        <v>57.11</v>
      </c>
      <c r="L3" s="14">
        <v>2405</v>
      </c>
      <c r="M3" s="11"/>
    </row>
    <row r="4" spans="2:14" x14ac:dyDescent="0.3">
      <c r="B4" s="14">
        <v>420.173</v>
      </c>
      <c r="C4" s="14">
        <v>129.30000000000001</v>
      </c>
      <c r="D4" s="14">
        <v>4043.3</v>
      </c>
      <c r="E4" s="14">
        <v>1.0752046270442759</v>
      </c>
      <c r="F4" s="8">
        <v>421.09699999999998</v>
      </c>
      <c r="G4" s="8">
        <v>104.7</v>
      </c>
      <c r="H4" s="8">
        <v>4124.63</v>
      </c>
      <c r="I4" s="8">
        <v>1.4065234441602728</v>
      </c>
      <c r="J4" s="14">
        <v>340</v>
      </c>
      <c r="K4" s="14">
        <v>89.37</v>
      </c>
      <c r="L4" s="14">
        <v>3870</v>
      </c>
      <c r="M4" s="11"/>
    </row>
    <row r="5" spans="2:14" x14ac:dyDescent="0.3">
      <c r="B5" s="14">
        <v>420.57100000000003</v>
      </c>
      <c r="C5" s="14">
        <v>113.6</v>
      </c>
      <c r="D5" s="14">
        <v>3815.0230000000001</v>
      </c>
      <c r="E5" s="14">
        <v>1.3009456095481671</v>
      </c>
      <c r="F5" s="8">
        <v>503.90300000000002</v>
      </c>
      <c r="G5" s="8">
        <v>106.3</v>
      </c>
      <c r="H5" s="8">
        <v>4380.3999999999996</v>
      </c>
      <c r="I5" s="8">
        <v>1.4763734411863834</v>
      </c>
      <c r="J5" s="14">
        <v>420</v>
      </c>
      <c r="K5" s="14">
        <v>106.19</v>
      </c>
      <c r="L5" s="14">
        <v>4585</v>
      </c>
      <c r="M5" s="11"/>
    </row>
    <row r="6" spans="2:14" x14ac:dyDescent="0.3">
      <c r="B6" s="14"/>
      <c r="C6" s="14"/>
      <c r="D6" s="14"/>
      <c r="E6" s="14"/>
      <c r="F6" s="8">
        <v>505.52</v>
      </c>
      <c r="G6" s="8">
        <v>131.19999999999999</v>
      </c>
      <c r="H6" s="8">
        <v>5018.8</v>
      </c>
      <c r="I6" s="8">
        <v>1.3105627366496932</v>
      </c>
      <c r="J6" s="14">
        <v>500</v>
      </c>
      <c r="K6" s="14">
        <v>118.92</v>
      </c>
      <c r="L6" s="14">
        <v>5159</v>
      </c>
      <c r="M6" s="11"/>
    </row>
    <row r="7" spans="2:14" x14ac:dyDescent="0.3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3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3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Wang Anci</cp:lastModifiedBy>
  <dcterms:created xsi:type="dcterms:W3CDTF">2019-03-22T02:59:42Z</dcterms:created>
  <dcterms:modified xsi:type="dcterms:W3CDTF">2021-08-22T13:58:03Z</dcterms:modified>
</cp:coreProperties>
</file>