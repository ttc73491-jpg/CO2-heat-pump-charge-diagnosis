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373666be62db9b3f/哈哈的文件/科研相关/项目相关/东风项目/实验相关内容/第二阶段实验20191021/充注量实验/35℃/"/>
    </mc:Choice>
  </mc:AlternateContent>
  <xr:revisionPtr revIDLastSave="885" documentId="114_{AFB7D6A6-0A14-458A-9A53-FFB8C98A6C97}" xr6:coauthVersionLast="47" xr6:coauthVersionMax="47" xr10:uidLastSave="{D66B03DB-A982-45B3-9EB2-5EDF6E760F54}"/>
  <bookViews>
    <workbookView xWindow="1245" yWindow="-15870" windowWidth="25440" windowHeight="15270" xr2:uid="{00000000-000D-0000-FFFF-FFFF00000000}"/>
  </bookViews>
  <sheets>
    <sheet name="Sheet2" sheetId="2" r:id="rId1"/>
    <sheet name="压降分析" sheetId="7" r:id="rId2"/>
    <sheet name="Sheet3" sheetId="8" r:id="rId3"/>
  </sheets>
  <externalReferences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41" i="2" l="1"/>
  <c r="AE43" i="2" s="1"/>
  <c r="AF41" i="2"/>
  <c r="AF43" i="2" s="1"/>
  <c r="AG41" i="2"/>
  <c r="AG43" i="2" s="1"/>
  <c r="AH41" i="2"/>
  <c r="AH43" i="2" s="1"/>
  <c r="AI41" i="2"/>
  <c r="AI43" i="2" s="1"/>
  <c r="AE53" i="2"/>
  <c r="AF53" i="2"/>
  <c r="AG53" i="2"/>
  <c r="AH53" i="2"/>
  <c r="AI53" i="2"/>
  <c r="X41" i="2"/>
  <c r="X43" i="2" s="1"/>
  <c r="Y41" i="2"/>
  <c r="Y43" i="2" s="1"/>
  <c r="Z41" i="2"/>
  <c r="Z43" i="2" s="1"/>
  <c r="AA41" i="2"/>
  <c r="AA43" i="2" s="1"/>
  <c r="AB41" i="2"/>
  <c r="AB43" i="2" s="1"/>
  <c r="AC41" i="2"/>
  <c r="AC43" i="2" s="1"/>
  <c r="AD41" i="2"/>
  <c r="AD43" i="2" s="1"/>
  <c r="X53" i="2"/>
  <c r="Y53" i="2"/>
  <c r="Z53" i="2"/>
  <c r="AA53" i="2"/>
  <c r="AB53" i="2"/>
  <c r="AC53" i="2"/>
  <c r="AD53" i="2"/>
  <c r="U41" i="2"/>
  <c r="U43" i="2" s="1"/>
  <c r="S41" i="2"/>
  <c r="S43" i="2" s="1"/>
  <c r="T41" i="2"/>
  <c r="T43" i="2" s="1"/>
  <c r="V41" i="2"/>
  <c r="V43" i="2" s="1"/>
  <c r="W41" i="2"/>
  <c r="W43" i="2" s="1"/>
  <c r="R41" i="2"/>
  <c r="S53" i="2"/>
  <c r="T53" i="2"/>
  <c r="U53" i="2"/>
  <c r="V53" i="2"/>
  <c r="W53" i="2"/>
  <c r="AC56" i="2"/>
  <c r="V56" i="2"/>
  <c r="AE52" i="2"/>
  <c r="AC52" i="2"/>
  <c r="AF56" i="2"/>
  <c r="W52" i="2"/>
  <c r="AG52" i="2"/>
  <c r="AI56" i="2"/>
  <c r="U56" i="2"/>
  <c r="Z52" i="2"/>
  <c r="AA56" i="2"/>
  <c r="Y52" i="2"/>
  <c r="T56" i="2"/>
  <c r="AD56" i="2"/>
  <c r="Y56" i="2"/>
  <c r="Z56" i="2"/>
  <c r="AF52" i="2"/>
  <c r="AB56" i="2"/>
  <c r="X56" i="2"/>
  <c r="AI52" i="2"/>
  <c r="S56" i="2"/>
  <c r="V52" i="2"/>
  <c r="AA52" i="2"/>
  <c r="T52" i="2"/>
  <c r="AB52" i="2"/>
  <c r="U52" i="2"/>
  <c r="AH56" i="2"/>
  <c r="AE56" i="2"/>
  <c r="W56" i="2"/>
  <c r="AG56" i="2"/>
  <c r="AD52" i="2"/>
  <c r="S52" i="2"/>
  <c r="X52" i="2"/>
  <c r="AH52" i="2"/>
  <c r="G52" i="2" a="1"/>
  <c r="F52" i="2" a="1"/>
  <c r="F51" i="2" a="1"/>
  <c r="U51" i="2" a="1"/>
  <c r="M51" i="2" a="1"/>
  <c r="P51" i="2" a="1"/>
  <c r="W51" i="2" a="1"/>
  <c r="E52" i="2" a="1"/>
  <c r="AD51" i="2" a="1"/>
  <c r="V51" i="2" a="1"/>
  <c r="N51" i="2" a="1"/>
  <c r="Q51" i="2" a="1"/>
  <c r="AC51" i="2" a="1"/>
  <c r="AF51" i="2" a="1"/>
  <c r="D52" i="2" a="1"/>
  <c r="E51" i="2" a="1"/>
  <c r="G51" i="2" a="1"/>
  <c r="Y51" i="2" a="1"/>
  <c r="O51" i="2" a="1"/>
  <c r="C52" i="2" a="1"/>
  <c r="AB51" i="2" a="1"/>
  <c r="T51" i="2" a="1"/>
  <c r="L51" i="2" a="1"/>
  <c r="D51" i="2" a="1"/>
  <c r="S51" i="2" a="1"/>
  <c r="AH51" i="2" a="1"/>
  <c r="R51" i="2" a="1"/>
  <c r="AG51" i="2" a="1"/>
  <c r="X51" i="2" a="1"/>
  <c r="AI51" i="2" a="1"/>
  <c r="AA51" i="2" a="1"/>
  <c r="K51" i="2" a="1"/>
  <c r="C51" i="2" a="1"/>
  <c r="Z51" i="2" a="1"/>
  <c r="J51" i="2" a="1"/>
  <c r="I51" i="2" a="1"/>
  <c r="H51" i="2" a="1"/>
  <c r="AE51" i="2" a="1"/>
  <c r="H39" i="2" a="1"/>
  <c r="U39" i="2" a="1"/>
  <c r="AB39" i="2" a="1"/>
  <c r="AI39" i="2" a="1"/>
  <c r="AA39" i="2" a="1"/>
  <c r="S39" i="2" a="1"/>
  <c r="K39" i="2" a="1"/>
  <c r="C39" i="2" a="1"/>
  <c r="P39" i="2" a="1"/>
  <c r="V39" i="2" a="1"/>
  <c r="AH39" i="2" a="1"/>
  <c r="Z39" i="2" a="1"/>
  <c r="R39" i="2" a="1"/>
  <c r="J39" i="2" a="1"/>
  <c r="D39" i="2" a="1"/>
  <c r="AG39" i="2" a="1"/>
  <c r="Y39" i="2" a="1"/>
  <c r="Q39" i="2" a="1"/>
  <c r="I39" i="2" a="1"/>
  <c r="N39" i="2" a="1"/>
  <c r="T39" i="2" a="1"/>
  <c r="AF39" i="2" a="1"/>
  <c r="X39" i="2" a="1"/>
  <c r="AC39" i="2" a="1"/>
  <c r="AE39" i="2" a="1"/>
  <c r="W39" i="2" a="1"/>
  <c r="O39" i="2" a="1"/>
  <c r="G39" i="2" a="1"/>
  <c r="M39" i="2" a="1"/>
  <c r="F39" i="2" a="1"/>
  <c r="AD39" i="2" a="1"/>
  <c r="E39" i="2" a="1"/>
  <c r="L39" i="2" a="1"/>
  <c r="F52" i="2" l="1"/>
  <c r="G52" i="2"/>
  <c r="AE51" i="2"/>
  <c r="H51" i="2"/>
  <c r="I51" i="2"/>
  <c r="J51" i="2"/>
  <c r="Z51" i="2"/>
  <c r="C51" i="2"/>
  <c r="K51" i="2"/>
  <c r="AA51" i="2"/>
  <c r="AI51" i="2"/>
  <c r="X51" i="2"/>
  <c r="X54" i="2" s="1"/>
  <c r="AG51" i="2"/>
  <c r="AG55" i="2" s="1"/>
  <c r="R51" i="2"/>
  <c r="AH51" i="2"/>
  <c r="AH54" i="2" s="1"/>
  <c r="S51" i="2"/>
  <c r="S55" i="2" s="1"/>
  <c r="D51" i="2"/>
  <c r="L51" i="2"/>
  <c r="T51" i="2"/>
  <c r="AB51" i="2"/>
  <c r="C52" i="2"/>
  <c r="O51" i="2"/>
  <c r="Y51" i="2"/>
  <c r="G51" i="2"/>
  <c r="E51" i="2"/>
  <c r="D52" i="2"/>
  <c r="AF51" i="2"/>
  <c r="AF55" i="2" s="1"/>
  <c r="AC51" i="2"/>
  <c r="AC55" i="2" s="1"/>
  <c r="Q51" i="2"/>
  <c r="N51" i="2"/>
  <c r="V51" i="2"/>
  <c r="V55" i="2" s="1"/>
  <c r="AD51" i="2"/>
  <c r="AD54" i="2" s="1"/>
  <c r="E52" i="2"/>
  <c r="W51" i="2"/>
  <c r="W55" i="2" s="1"/>
  <c r="P51" i="2"/>
  <c r="M51" i="2"/>
  <c r="U51" i="2"/>
  <c r="F51" i="2"/>
  <c r="L39" i="2"/>
  <c r="E39" i="2"/>
  <c r="AD39" i="2"/>
  <c r="F39" i="2"/>
  <c r="M39" i="2"/>
  <c r="G39" i="2"/>
  <c r="O39" i="2"/>
  <c r="W39" i="2"/>
  <c r="W50" i="2" s="1"/>
  <c r="AE39" i="2"/>
  <c r="AE44" i="2" s="1"/>
  <c r="AC39" i="2"/>
  <c r="AC44" i="2" s="1"/>
  <c r="X39" i="2"/>
  <c r="AF39" i="2"/>
  <c r="AF50" i="2" s="1"/>
  <c r="T39" i="2"/>
  <c r="T44" i="2" s="1"/>
  <c r="N39" i="2"/>
  <c r="I39" i="2"/>
  <c r="Q39" i="2"/>
  <c r="Y39" i="2"/>
  <c r="AG39" i="2"/>
  <c r="D39" i="2"/>
  <c r="J39" i="2"/>
  <c r="R39" i="2"/>
  <c r="Z39" i="2"/>
  <c r="Z44" i="2" s="1"/>
  <c r="AH39" i="2"/>
  <c r="V39" i="2"/>
  <c r="P39" i="2"/>
  <c r="C39" i="2"/>
  <c r="K39" i="2"/>
  <c r="S39" i="2"/>
  <c r="AA39" i="2"/>
  <c r="AI39" i="2"/>
  <c r="AI50" i="2" s="1"/>
  <c r="AB39" i="2"/>
  <c r="AB50" i="2" s="1"/>
  <c r="U39" i="2"/>
  <c r="U50" i="2" s="1"/>
  <c r="H39" i="2"/>
  <c r="AE55" i="2"/>
  <c r="AI54" i="2"/>
  <c r="AH50" i="2"/>
  <c r="AH44" i="2"/>
  <c r="AI55" i="2"/>
  <c r="AF54" i="2"/>
  <c r="AG44" i="2"/>
  <c r="AG50" i="2"/>
  <c r="AH55" i="2"/>
  <c r="AE54" i="2"/>
  <c r="X50" i="2"/>
  <c r="X44" i="2"/>
  <c r="AA54" i="2"/>
  <c r="AD50" i="2"/>
  <c r="AD44" i="2"/>
  <c r="AA55" i="2"/>
  <c r="Z54" i="2"/>
  <c r="AC54" i="2"/>
  <c r="AB54" i="2"/>
  <c r="AB55" i="2"/>
  <c r="Z55" i="2"/>
  <c r="Y54" i="2"/>
  <c r="Y55" i="2"/>
  <c r="AA50" i="2"/>
  <c r="AA44" i="2"/>
  <c r="Y50" i="2"/>
  <c r="Y44" i="2"/>
  <c r="U54" i="2"/>
  <c r="U55" i="2"/>
  <c r="V50" i="2"/>
  <c r="V44" i="2"/>
  <c r="T54" i="2"/>
  <c r="T55" i="2"/>
  <c r="S44" i="2"/>
  <c r="S50" i="2"/>
  <c r="L53" i="2"/>
  <c r="M53" i="2"/>
  <c r="N53" i="2"/>
  <c r="O53" i="2"/>
  <c r="P53" i="2"/>
  <c r="Q53" i="2"/>
  <c r="R53" i="2"/>
  <c r="R43" i="2"/>
  <c r="L41" i="2"/>
  <c r="L43" i="2" s="1"/>
  <c r="M41" i="2"/>
  <c r="M43" i="2" s="1"/>
  <c r="N41" i="2"/>
  <c r="N43" i="2" s="1"/>
  <c r="O41" i="2"/>
  <c r="O43" i="2" s="1"/>
  <c r="P41" i="2"/>
  <c r="P43" i="2" s="1"/>
  <c r="Q41" i="2"/>
  <c r="Q43" i="2" s="1"/>
  <c r="D53" i="2"/>
  <c r="E53" i="2"/>
  <c r="F53" i="2"/>
  <c r="G53" i="2"/>
  <c r="H53" i="2"/>
  <c r="I53" i="2"/>
  <c r="J53" i="2"/>
  <c r="K53" i="2"/>
  <c r="J52" i="2"/>
  <c r="G56" i="2"/>
  <c r="I52" i="2"/>
  <c r="L52" i="2"/>
  <c r="L56" i="2"/>
  <c r="Q52" i="2"/>
  <c r="E56" i="2"/>
  <c r="D56" i="2"/>
  <c r="N56" i="2"/>
  <c r="I56" i="2"/>
  <c r="M52" i="2"/>
  <c r="P52" i="2"/>
  <c r="R52" i="2"/>
  <c r="K56" i="2"/>
  <c r="N52" i="2"/>
  <c r="J56" i="2"/>
  <c r="M56" i="2"/>
  <c r="P56" i="2"/>
  <c r="O52" i="2"/>
  <c r="R56" i="2"/>
  <c r="F56" i="2"/>
  <c r="O56" i="2"/>
  <c r="Q56" i="2"/>
  <c r="H52" i="2"/>
  <c r="H56" i="2"/>
  <c r="K52" i="2"/>
  <c r="S54" i="2" l="1"/>
  <c r="V54" i="2"/>
  <c r="AG54" i="2"/>
  <c r="X55" i="2"/>
  <c r="W54" i="2"/>
  <c r="AD55" i="2"/>
  <c r="U44" i="2"/>
  <c r="AB44" i="2"/>
  <c r="AE50" i="2"/>
  <c r="AF44" i="2"/>
  <c r="Z50" i="2"/>
  <c r="AI44" i="2"/>
  <c r="W44" i="2"/>
  <c r="AC50" i="2"/>
  <c r="T50" i="2"/>
  <c r="AG57" i="2"/>
  <c r="AC57" i="2"/>
  <c r="AF57" i="2"/>
  <c r="AE57" i="2"/>
  <c r="AI57" i="2"/>
  <c r="AA57" i="2"/>
  <c r="X57" i="2"/>
  <c r="AH57" i="2"/>
  <c r="Z57" i="2"/>
  <c r="AB57" i="2"/>
  <c r="AD57" i="2"/>
  <c r="Y57" i="2"/>
  <c r="W57" i="2"/>
  <c r="T57" i="2"/>
  <c r="U57" i="2"/>
  <c r="S57" i="2"/>
  <c r="V57" i="2"/>
  <c r="P44" i="2"/>
  <c r="M44" i="2"/>
  <c r="O44" i="2"/>
  <c r="N44" i="2"/>
  <c r="R44" i="2"/>
  <c r="Q44" i="2"/>
  <c r="L44" i="2"/>
  <c r="R50" i="2"/>
  <c r="Q50" i="2"/>
  <c r="M50" i="2"/>
  <c r="L50" i="2"/>
  <c r="P50" i="2"/>
  <c r="O50" i="2"/>
  <c r="N50" i="2"/>
  <c r="M55" i="2"/>
  <c r="L54" i="2"/>
  <c r="R54" i="2"/>
  <c r="R55" i="2"/>
  <c r="Q54" i="2"/>
  <c r="Q55" i="2"/>
  <c r="P54" i="2"/>
  <c r="L55" i="2"/>
  <c r="P55" i="2"/>
  <c r="O54" i="2"/>
  <c r="O55" i="2"/>
  <c r="N54" i="2"/>
  <c r="N55" i="2"/>
  <c r="M54" i="2"/>
  <c r="J55" i="2"/>
  <c r="I55" i="2"/>
  <c r="H55" i="2"/>
  <c r="G55" i="2"/>
  <c r="F55" i="2"/>
  <c r="K55" i="2"/>
  <c r="E55" i="2"/>
  <c r="D55" i="2"/>
  <c r="K41" i="2"/>
  <c r="K43" i="2" s="1"/>
  <c r="J41" i="2"/>
  <c r="J43" i="2" s="1"/>
  <c r="I41" i="2"/>
  <c r="I43" i="2" s="1"/>
  <c r="C56" i="2"/>
  <c r="P57" i="2" l="1"/>
  <c r="M57" i="2"/>
  <c r="Q57" i="2"/>
  <c r="N57" i="2"/>
  <c r="R57" i="2"/>
  <c r="L57" i="2"/>
  <c r="O57" i="2"/>
  <c r="E50" i="2"/>
  <c r="J50" i="2"/>
  <c r="I50" i="2"/>
  <c r="D50" i="2"/>
  <c r="H50" i="2"/>
  <c r="K50" i="2"/>
  <c r="I54" i="2"/>
  <c r="I57" i="2" s="1"/>
  <c r="K54" i="2"/>
  <c r="K57" i="2" s="1"/>
  <c r="J54" i="2"/>
  <c r="J57" i="2" s="1"/>
  <c r="F50" i="2"/>
  <c r="G50" i="2"/>
  <c r="J44" i="2"/>
  <c r="K44" i="2"/>
  <c r="I44" i="2"/>
  <c r="H41" i="2"/>
  <c r="G41" i="2"/>
  <c r="H43" i="2" l="1"/>
  <c r="H54" i="2"/>
  <c r="H57" i="2" s="1"/>
  <c r="G43" i="2"/>
  <c r="G54" i="2"/>
  <c r="G57" i="2" s="1"/>
  <c r="H44" i="2"/>
  <c r="G44" i="2"/>
  <c r="C6" i="7"/>
  <c r="C5" i="7"/>
  <c r="C4" i="7"/>
  <c r="C3" i="7"/>
  <c r="C2" i="7"/>
  <c r="C1" i="7"/>
  <c r="F41" i="2" l="1"/>
  <c r="F54" i="2" s="1"/>
  <c r="F57" i="2" s="1"/>
  <c r="C53" i="2"/>
  <c r="F43" i="2" l="1"/>
  <c r="F44" i="2"/>
  <c r="D41" i="2" l="1"/>
  <c r="D54" i="2" s="1"/>
  <c r="D57" i="2" s="1"/>
  <c r="E41" i="2"/>
  <c r="E54" i="2" s="1"/>
  <c r="E57" i="2" s="1"/>
  <c r="C41" i="2"/>
  <c r="D43" i="2" l="1"/>
  <c r="D44" i="2"/>
  <c r="E43" i="2"/>
  <c r="E44" i="2"/>
  <c r="C43" i="2"/>
  <c r="C44" i="2"/>
  <c r="C55" i="2"/>
  <c r="C54" i="2"/>
  <c r="C57" i="2" l="1"/>
  <c r="C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jmfang</author>
  </authors>
  <commentList>
    <comment ref="M36" authorId="0" shapeId="0" xr:uid="{00000000-0006-0000-0000-000001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增大室内风量试图获得较大制冷量</t>
        </r>
      </text>
    </comment>
    <comment ref="I37" authorId="0" shapeId="0" xr:uid="{00000000-0006-0000-0000-000002000000}">
      <text>
        <r>
          <rPr>
            <b/>
            <sz val="9"/>
            <color indexed="81"/>
            <rFont val="宋体"/>
            <family val="3"/>
            <charset val="134"/>
          </rPr>
          <t>jmfang:</t>
        </r>
        <r>
          <rPr>
            <sz val="9"/>
            <color indexed="81"/>
            <rFont val="宋体"/>
            <family val="3"/>
            <charset val="134"/>
          </rPr>
          <t xml:space="preserve">
增大风量降低气冷出口温度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<sst xmlns="http://schemas.openxmlformats.org/spreadsheetml/2006/main" count="193" uniqueCount="151">
  <si>
    <t>吸气温度</t>
    <phoneticPr fontId="5" type="noConversion"/>
  </si>
  <si>
    <t>排气温度</t>
    <phoneticPr fontId="5" type="noConversion"/>
  </si>
  <si>
    <t>室外换热进口</t>
    <phoneticPr fontId="5" type="noConversion"/>
  </si>
  <si>
    <t>室外换热出口</t>
    <phoneticPr fontId="5" type="noConversion"/>
  </si>
  <si>
    <t>阀前温度</t>
    <phoneticPr fontId="5" type="noConversion"/>
  </si>
  <si>
    <t>阀后温度</t>
    <phoneticPr fontId="5" type="noConversion"/>
  </si>
  <si>
    <t>回热器高压出口</t>
    <phoneticPr fontId="5" type="noConversion"/>
  </si>
  <si>
    <t>回热器高压进口</t>
    <phoneticPr fontId="5" type="noConversion"/>
  </si>
  <si>
    <t>储液器进口</t>
    <phoneticPr fontId="5" type="noConversion"/>
  </si>
  <si>
    <t>储液器出口</t>
    <phoneticPr fontId="5" type="noConversion"/>
  </si>
  <si>
    <t>回热器低压进口</t>
    <phoneticPr fontId="5" type="noConversion"/>
  </si>
  <si>
    <t>回热器低压出口</t>
    <phoneticPr fontId="5" type="noConversion"/>
  </si>
  <si>
    <t>列9</t>
  </si>
  <si>
    <t>吸气压力</t>
    <phoneticPr fontId="5" type="noConversion"/>
  </si>
  <si>
    <t>室内干球</t>
    <phoneticPr fontId="5" type="noConversion"/>
  </si>
  <si>
    <t>室内湿球</t>
    <phoneticPr fontId="5" type="noConversion"/>
  </si>
  <si>
    <t>室外干球</t>
    <phoneticPr fontId="5" type="noConversion"/>
  </si>
  <si>
    <t>室外湿球</t>
    <phoneticPr fontId="5" type="noConversion"/>
  </si>
  <si>
    <t>类别</t>
    <phoneticPr fontId="5" type="noConversion"/>
  </si>
  <si>
    <t>项目</t>
    <phoneticPr fontId="5" type="noConversion"/>
  </si>
  <si>
    <t>环境参数</t>
    <phoneticPr fontId="5" type="noConversion"/>
  </si>
  <si>
    <t>室外侧COP</t>
    <phoneticPr fontId="5" type="noConversion"/>
  </si>
  <si>
    <t>列12</t>
  </si>
  <si>
    <t>列13</t>
  </si>
  <si>
    <t>列14</t>
  </si>
  <si>
    <t>列15</t>
  </si>
  <si>
    <t>日期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</si>
  <si>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出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</si>
  <si>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组1</t>
    <phoneticPr fontId="5" type="noConversion"/>
  </si>
  <si>
    <t>组3</t>
    <phoneticPr fontId="5" type="noConversion"/>
  </si>
  <si>
    <t>组2</t>
    <phoneticPr fontId="5" type="noConversion"/>
  </si>
  <si>
    <t>组4</t>
    <phoneticPr fontId="5" type="noConversion"/>
  </si>
  <si>
    <t>组6</t>
  </si>
  <si>
    <t>组7</t>
  </si>
  <si>
    <t>组8</t>
  </si>
  <si>
    <t>组9</t>
  </si>
  <si>
    <t>列10</t>
  </si>
  <si>
    <t>组10</t>
  </si>
  <si>
    <t>列0</t>
    <phoneticPr fontId="5" type="noConversion"/>
  </si>
  <si>
    <t>列1</t>
    <phoneticPr fontId="5" type="noConversion"/>
  </si>
  <si>
    <t>列2</t>
  </si>
  <si>
    <t>列3</t>
  </si>
  <si>
    <t>列4</t>
  </si>
  <si>
    <t>列5</t>
  </si>
  <si>
    <t>列6</t>
  </si>
  <si>
    <t>列7</t>
  </si>
  <si>
    <t>列8</t>
  </si>
  <si>
    <t>组14</t>
  </si>
  <si>
    <t>组15</t>
  </si>
  <si>
    <t>温度/℃</t>
    <phoneticPr fontId="5" type="noConversion"/>
  </si>
  <si>
    <t>压力/Mpa</t>
    <phoneticPr fontId="5" type="noConversion"/>
  </si>
  <si>
    <t>充注量/g</t>
    <phoneticPr fontId="5" type="noConversion"/>
  </si>
  <si>
    <t>室内侧换热量/制冷剂/W</t>
    <phoneticPr fontId="5" type="noConversion"/>
  </si>
  <si>
    <t>室外侧换热量//冷凝器/W</t>
    <phoneticPr fontId="5" type="noConversion"/>
  </si>
  <si>
    <t>室内出风干球/℃</t>
    <phoneticPr fontId="5" type="noConversion"/>
  </si>
  <si>
    <t>压比</t>
    <phoneticPr fontId="5" type="noConversion"/>
  </si>
  <si>
    <r>
      <t>主换热器</t>
    </r>
    <r>
      <rPr>
        <sz val="11"/>
        <color rgb="FFFF0000"/>
        <rFont val="等线"/>
        <family val="3"/>
        <charset val="134"/>
        <scheme val="minor"/>
      </rPr>
      <t>进</t>
    </r>
    <r>
      <rPr>
        <sz val="11"/>
        <color rgb="FF9C6500"/>
        <rFont val="等线"/>
        <family val="2"/>
        <charset val="134"/>
        <scheme val="minor"/>
      </rPr>
      <t>口</t>
    </r>
    <phoneticPr fontId="5" type="noConversion"/>
  </si>
  <si>
    <t>组5</t>
  </si>
  <si>
    <t>性能</t>
    <phoneticPr fontId="5" type="noConversion"/>
  </si>
  <si>
    <t>列16</t>
  </si>
  <si>
    <t>组16</t>
  </si>
  <si>
    <t>排气压力</t>
    <phoneticPr fontId="5" type="noConversion"/>
  </si>
  <si>
    <t>阀前压力</t>
    <phoneticPr fontId="5" type="noConversion"/>
  </si>
  <si>
    <t>主换热器进口</t>
    <phoneticPr fontId="5" type="noConversion"/>
  </si>
  <si>
    <t>电压/V</t>
    <phoneticPr fontId="5" type="noConversion"/>
  </si>
  <si>
    <t>电流/A</t>
    <phoneticPr fontId="5" type="noConversion"/>
  </si>
  <si>
    <t>压缩机转速/rpm</t>
    <phoneticPr fontId="5" type="noConversion"/>
  </si>
  <si>
    <t>膨胀阀开度</t>
    <phoneticPr fontId="5" type="noConversion"/>
  </si>
  <si>
    <r>
      <t>制冷剂流量/kg·h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</si>
  <si>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r>
      <t>室内侧风量/m</t>
    </r>
    <r>
      <rPr>
        <vertAlign val="superscript"/>
        <sz val="11"/>
        <color rgb="FF3F3F76"/>
        <rFont val="等线"/>
        <family val="3"/>
        <charset val="134"/>
        <scheme val="minor"/>
      </rPr>
      <t>3</t>
    </r>
    <r>
      <rPr>
        <sz val="11"/>
        <color rgb="FF3F3F76"/>
        <rFont val="等线"/>
        <family val="2"/>
        <charset val="134"/>
        <scheme val="minor"/>
      </rPr>
      <t>·h</t>
    </r>
    <r>
      <rPr>
        <vertAlign val="superscript"/>
        <sz val="11"/>
        <color rgb="FF3F3F76"/>
        <rFont val="等线"/>
        <family val="3"/>
        <charset val="134"/>
        <scheme val="minor"/>
      </rPr>
      <t>-1</t>
    </r>
    <phoneticPr fontId="5" type="noConversion"/>
  </si>
  <si>
    <t>室外侧风量/m3·h-1</t>
    <phoneticPr fontId="5" type="noConversion"/>
  </si>
  <si>
    <t>室内侧换热量//蒸发器/W</t>
    <phoneticPr fontId="5" type="noConversion"/>
  </si>
  <si>
    <t>压缩机功率/W</t>
    <phoneticPr fontId="5" type="noConversion"/>
  </si>
  <si>
    <t>压缩机功率WT500</t>
    <phoneticPr fontId="5" type="noConversion"/>
  </si>
  <si>
    <t>室内侧COP</t>
    <phoneticPr fontId="5" type="noConversion"/>
  </si>
  <si>
    <t>室内侧COP/制冷剂</t>
    <phoneticPr fontId="5" type="noConversion"/>
  </si>
  <si>
    <t>室内出风湿球/℃</t>
    <phoneticPr fontId="5" type="noConversion"/>
  </si>
  <si>
    <t>室外出风干球/℃</t>
    <phoneticPr fontId="5" type="noConversion"/>
  </si>
  <si>
    <t>室外出风湿球/℃</t>
    <phoneticPr fontId="5" type="noConversion"/>
  </si>
  <si>
    <t>a/r</t>
    <phoneticPr fontId="5" type="noConversion"/>
  </si>
  <si>
    <t>压缩功/W</t>
    <phoneticPr fontId="5" type="noConversion"/>
  </si>
  <si>
    <t>等熵压缩功/W</t>
    <phoneticPr fontId="5" type="noConversion"/>
  </si>
  <si>
    <t>机械效率</t>
    <phoneticPr fontId="5" type="noConversion"/>
  </si>
  <si>
    <t>等熵效率</t>
    <phoneticPr fontId="5" type="noConversion"/>
  </si>
  <si>
    <t>容积效率</t>
    <phoneticPr fontId="5" type="noConversion"/>
  </si>
  <si>
    <t>冷凝器换热</t>
    <phoneticPr fontId="5" type="noConversion"/>
  </si>
  <si>
    <t>总效率</t>
    <phoneticPr fontId="5" type="noConversion"/>
  </si>
  <si>
    <t>流量</t>
    <phoneticPr fontId="5" type="noConversion"/>
  </si>
  <si>
    <t>压降</t>
    <phoneticPr fontId="5" type="noConversion"/>
  </si>
  <si>
    <t>蒸发器</t>
    <phoneticPr fontId="5" type="noConversion"/>
  </si>
  <si>
    <t>蒸发器至储液器</t>
    <phoneticPr fontId="5" type="noConversion"/>
  </si>
  <si>
    <t>储液器至吸气</t>
    <phoneticPr fontId="5" type="noConversion"/>
  </si>
  <si>
    <t>原系统</t>
    <phoneticPr fontId="5" type="noConversion"/>
  </si>
  <si>
    <t>新系统</t>
    <phoneticPr fontId="5" type="noConversion"/>
  </si>
  <si>
    <t>三花</t>
    <phoneticPr fontId="5" type="noConversion"/>
  </si>
  <si>
    <t>蒸发器压降</t>
    <phoneticPr fontId="5" type="noConversion"/>
  </si>
  <si>
    <t>流量</t>
    <phoneticPr fontId="5" type="noConversion"/>
  </si>
  <si>
    <t>流量</t>
    <phoneticPr fontId="5" type="noConversion"/>
  </si>
  <si>
    <t>原系统</t>
    <phoneticPr fontId="5" type="noConversion"/>
  </si>
  <si>
    <t>风量</t>
    <phoneticPr fontId="5" type="noConversion"/>
  </si>
  <si>
    <t>制冷量</t>
    <phoneticPr fontId="5" type="noConversion"/>
  </si>
  <si>
    <t>COP</t>
    <phoneticPr fontId="5" type="noConversion"/>
  </si>
  <si>
    <t>新系统</t>
    <phoneticPr fontId="5" type="noConversion"/>
  </si>
  <si>
    <t>三花</t>
    <phoneticPr fontId="5" type="noConversion"/>
  </si>
  <si>
    <t>流量</t>
    <phoneticPr fontId="5" type="noConversion"/>
  </si>
  <si>
    <t>流量</t>
    <phoneticPr fontId="5" type="noConversion"/>
  </si>
  <si>
    <t>流量</t>
    <phoneticPr fontId="5" type="noConversion"/>
  </si>
  <si>
    <t>气冷进口</t>
    <phoneticPr fontId="5" type="noConversion"/>
  </si>
  <si>
    <t>气冷出口</t>
    <phoneticPr fontId="5" type="noConversion"/>
  </si>
  <si>
    <t>主换热器出口</t>
    <phoneticPr fontId="5" type="noConversion"/>
  </si>
  <si>
    <t>排气至气冷</t>
    <phoneticPr fontId="5" type="noConversion"/>
  </si>
  <si>
    <t>气冷</t>
    <phoneticPr fontId="5" type="noConversion"/>
  </si>
  <si>
    <t>无回热</t>
    <phoneticPr fontId="5" type="noConversion"/>
  </si>
  <si>
    <t>全回热</t>
    <phoneticPr fontId="5" type="noConversion"/>
  </si>
  <si>
    <t>不回热</t>
    <phoneticPr fontId="5" type="noConversion"/>
  </si>
  <si>
    <t>列17</t>
  </si>
  <si>
    <t>列18</t>
  </si>
  <si>
    <t>列19</t>
  </si>
  <si>
    <t>列20</t>
  </si>
  <si>
    <t>列21</t>
  </si>
  <si>
    <t>组17</t>
  </si>
  <si>
    <t>组18</t>
  </si>
  <si>
    <t>组19</t>
  </si>
  <si>
    <t>组20</t>
  </si>
  <si>
    <t>组21</t>
  </si>
  <si>
    <t>列11</t>
    <phoneticPr fontId="5" type="noConversion"/>
  </si>
  <si>
    <t>11月6日组1</t>
    <phoneticPr fontId="5" type="noConversion"/>
  </si>
  <si>
    <t>组22</t>
  </si>
  <si>
    <t>组23</t>
  </si>
  <si>
    <t>组24</t>
  </si>
  <si>
    <t>组25</t>
  </si>
  <si>
    <t>组26</t>
  </si>
  <si>
    <t>组27</t>
  </si>
  <si>
    <t>组28</t>
  </si>
  <si>
    <t>列22</t>
  </si>
  <si>
    <t>列23</t>
  </si>
  <si>
    <t>列24</t>
  </si>
  <si>
    <t>列25</t>
  </si>
  <si>
    <t>列26</t>
  </si>
  <si>
    <t>列27</t>
  </si>
  <si>
    <t>列28</t>
  </si>
  <si>
    <t>组29</t>
  </si>
  <si>
    <t>组30</t>
  </si>
  <si>
    <t>组31</t>
  </si>
  <si>
    <t>组32</t>
  </si>
  <si>
    <t>组33</t>
  </si>
  <si>
    <t>列29</t>
  </si>
  <si>
    <t>列30</t>
  </si>
  <si>
    <t>列31</t>
  </si>
  <si>
    <t>列32</t>
  </si>
  <si>
    <t>列33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</si>
</sst>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vertAlign val="superscript"/>
      <sz val="11"/>
      <color rgb="FF3F3F76"/>
      <name val="等线"/>
      <family val="3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sz val="11"/>
      <name val="等线"/>
      <family val="2"/>
      <charset val="13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3F3F3F"/>
      </left>
      <right style="thin">
        <color rgb="FF3F3F3F"/>
      </right>
      <top/>
      <bottom/>
      <diagonal/>
    </border>
    <border>
      <left style="thin">
        <color rgb="FF3F3F3F"/>
      </left>
      <right style="thin">
        <color rgb="FF3F3F3F"/>
      </right>
      <top/>
      <bottom style="thin">
        <color rgb="FF3F3F3F"/>
      </bottom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/>
      <diagonal/>
    </border>
    <border>
      <left/>
      <right/>
      <top style="thin">
        <color rgb="FF3F3F3F"/>
      </top>
      <bottom/>
      <diagonal/>
    </border>
    <border>
      <left/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3F3F3F"/>
      </bottom>
      <diagonal/>
    </border>
    <border>
      <left style="thin">
        <color rgb="FF3F3F3F"/>
      </left>
      <right/>
      <top style="thin">
        <color rgb="FF3F3F3F"/>
      </top>
      <bottom style="thin">
        <color rgb="FF3F3F3F"/>
      </bottom>
      <diagonal/>
    </border>
    <border>
      <left/>
      <right/>
      <top style="thin">
        <color rgb="FF3F3F3F"/>
      </top>
      <bottom style="thin">
        <color rgb="FF3F3F3F"/>
      </bottom>
      <diagonal/>
    </border>
    <border>
      <left/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4" fillId="4" borderId="1" applyNumberFormat="0" applyAlignment="0" applyProtection="0">
      <alignment vertical="center"/>
    </xf>
    <xf numFmtId="0" fontId="1" fillId="5" borderId="3" applyNumberFormat="0" applyFont="0" applyAlignment="0" applyProtection="0">
      <alignment vertical="center"/>
    </xf>
    <xf numFmtId="0" fontId="11" fillId="4" borderId="2" applyNumberFormat="0" applyAlignment="0" applyProtection="0">
      <alignment vertical="center"/>
    </xf>
  </cellStyleXfs>
  <cellXfs count="7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9" fontId="0" fillId="5" borderId="3" xfId="4" applyNumberFormat="1" applyFont="1" applyAlignment="1">
      <alignment horizontal="center" vertical="center"/>
    </xf>
    <xf numFmtId="0" fontId="2" fillId="2" borderId="0" xfId="1" applyAlignment="1">
      <alignment horizontal="center" vertical="center"/>
    </xf>
    <xf numFmtId="0" fontId="2" fillId="2" borderId="4" xfId="1" applyBorder="1" applyAlignment="1">
      <alignment horizontal="center" vertical="center"/>
    </xf>
    <xf numFmtId="0" fontId="6" fillId="0" borderId="0" xfId="0" applyFont="1">
      <alignment vertical="center"/>
    </xf>
    <xf numFmtId="0" fontId="0" fillId="6" borderId="0" xfId="0" applyFill="1">
      <alignment vertical="center"/>
    </xf>
    <xf numFmtId="0" fontId="4" fillId="4" borderId="1" xfId="3" applyAlignment="1">
      <alignment horizontal="center" vertical="center"/>
    </xf>
    <xf numFmtId="0" fontId="0" fillId="5" borderId="3" xfId="4" applyNumberFormat="1" applyFont="1" applyAlignment="1">
      <alignment horizontal="center" vertical="center"/>
    </xf>
    <xf numFmtId="0" fontId="4" fillId="4" borderId="1" xfId="3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2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6" borderId="1" xfId="2" applyFill="1" applyAlignment="1">
      <alignment horizontal="center" vertical="center"/>
    </xf>
    <xf numFmtId="0" fontId="0" fillId="0" borderId="0" xfId="0" applyAlignment="1">
      <alignment vertical="center"/>
    </xf>
    <xf numFmtId="0" fontId="11" fillId="4" borderId="2" xfId="5" applyAlignment="1">
      <alignment horizontal="center" vertical="center"/>
    </xf>
    <xf numFmtId="0" fontId="11" fillId="4" borderId="2" xfId="5" applyAlignment="1">
      <alignment vertical="center"/>
    </xf>
    <xf numFmtId="0" fontId="3" fillId="7" borderId="1" xfId="2" applyFill="1" applyAlignment="1">
      <alignment horizontal="center" vertical="center"/>
    </xf>
    <xf numFmtId="0" fontId="4" fillId="7" borderId="1" xfId="3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6" fillId="2" borderId="0" xfId="1" applyFont="1" applyAlignment="1">
      <alignment horizontal="center" vertical="center"/>
    </xf>
    <xf numFmtId="0" fontId="0" fillId="8" borderId="0" xfId="0" applyFill="1">
      <alignment vertical="center"/>
    </xf>
    <xf numFmtId="0" fontId="3" fillId="8" borderId="1" xfId="2" applyFill="1" applyAlignment="1">
      <alignment horizontal="center" vertical="center"/>
    </xf>
    <xf numFmtId="0" fontId="3" fillId="9" borderId="1" xfId="2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4" fillId="9" borderId="1" xfId="3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4" fillId="10" borderId="1" xfId="3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4" borderId="1" xfId="3" applyAlignment="1">
      <alignment horizontal="center" vertical="center"/>
    </xf>
    <xf numFmtId="0" fontId="3" fillId="11" borderId="1" xfId="2" applyFill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4" fillId="11" borderId="1" xfId="3" applyFill="1" applyAlignment="1">
      <alignment horizontal="center" vertical="center"/>
    </xf>
    <xf numFmtId="0" fontId="2" fillId="11" borderId="0" xfId="1" applyFill="1" applyAlignment="1">
      <alignment horizontal="center" vertical="center"/>
    </xf>
    <xf numFmtId="0" fontId="0" fillId="11" borderId="3" xfId="4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4" fillId="13" borderId="1" xfId="3" applyFill="1" applyAlignment="1">
      <alignment horizontal="center" vertical="center"/>
    </xf>
    <xf numFmtId="0" fontId="2" fillId="13" borderId="0" xfId="1" applyFill="1" applyAlignment="1">
      <alignment horizontal="center" vertical="center"/>
    </xf>
    <xf numFmtId="0" fontId="0" fillId="13" borderId="3" xfId="4" applyNumberFormat="1" applyFont="1" applyFill="1" applyAlignment="1">
      <alignment horizontal="center" vertical="center"/>
    </xf>
    <xf numFmtId="0" fontId="3" fillId="13" borderId="1" xfId="2" applyFill="1" applyAlignment="1">
      <alignment horizontal="center" vertical="center"/>
    </xf>
    <xf numFmtId="0" fontId="0" fillId="14" borderId="0" xfId="0" applyFill="1">
      <alignment vertical="center"/>
    </xf>
    <xf numFmtId="0" fontId="3" fillId="14" borderId="1" xfId="2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4" fillId="14" borderId="1" xfId="3" applyFill="1" applyAlignment="1">
      <alignment horizontal="center" vertical="center"/>
    </xf>
    <xf numFmtId="0" fontId="2" fillId="14" borderId="0" xfId="1" applyFill="1" applyAlignment="1">
      <alignment horizontal="center" vertical="center"/>
    </xf>
    <xf numFmtId="0" fontId="0" fillId="14" borderId="3" xfId="4" applyNumberFormat="1" applyFont="1" applyFill="1" applyAlignment="1">
      <alignment horizontal="center" vertical="center"/>
    </xf>
    <xf numFmtId="0" fontId="2" fillId="15" borderId="4" xfId="1" applyFill="1" applyBorder="1" applyAlignment="1">
      <alignment horizontal="center" vertical="center"/>
    </xf>
    <xf numFmtId="0" fontId="2" fillId="15" borderId="0" xfId="1" applyFill="1" applyAlignment="1">
      <alignment horizontal="center" vertical="center"/>
    </xf>
    <xf numFmtId="0" fontId="0" fillId="15" borderId="0" xfId="0" applyFill="1">
      <alignment vertical="center"/>
    </xf>
    <xf numFmtId="0" fontId="0" fillId="16" borderId="0" xfId="0" applyFill="1">
      <alignment vertical="center"/>
    </xf>
    <xf numFmtId="0" fontId="0" fillId="16" borderId="0" xfId="0" applyFill="1" applyAlignment="1">
      <alignment horizontal="center" vertical="center"/>
    </xf>
    <xf numFmtId="0" fontId="4" fillId="16" borderId="1" xfId="3" applyFill="1" applyAlignment="1">
      <alignment horizontal="center" vertical="center"/>
    </xf>
    <xf numFmtId="0" fontId="2" fillId="16" borderId="0" xfId="1" applyFill="1" applyAlignment="1">
      <alignment horizontal="center" vertical="center"/>
    </xf>
    <xf numFmtId="0" fontId="0" fillId="16" borderId="3" xfId="4" applyNumberFormat="1" applyFont="1" applyFill="1" applyAlignment="1">
      <alignment horizontal="center" vertical="center"/>
    </xf>
    <xf numFmtId="0" fontId="3" fillId="16" borderId="1" xfId="2" applyFill="1" applyAlignment="1">
      <alignment horizontal="center" vertical="center"/>
    </xf>
    <xf numFmtId="0" fontId="0" fillId="9" borderId="0" xfId="0" applyFill="1">
      <alignment vertical="center"/>
    </xf>
    <xf numFmtId="0" fontId="2" fillId="9" borderId="0" xfId="1" applyFill="1" applyAlignment="1">
      <alignment horizontal="center" vertical="center"/>
    </xf>
    <xf numFmtId="0" fontId="0" fillId="9" borderId="3" xfId="4" applyNumberFormat="1" applyFont="1" applyFill="1" applyAlignment="1">
      <alignment horizontal="center" vertical="center"/>
    </xf>
    <xf numFmtId="0" fontId="4" fillId="4" borderId="5" xfId="3" applyBorder="1" applyAlignment="1">
      <alignment horizontal="center" vertical="center"/>
    </xf>
    <xf numFmtId="0" fontId="4" fillId="4" borderId="8" xfId="3" applyBorder="1" applyAlignment="1">
      <alignment horizontal="center" vertical="center"/>
    </xf>
    <xf numFmtId="0" fontId="4" fillId="4" borderId="12" xfId="3" applyBorder="1" applyAlignment="1">
      <alignment horizontal="center" vertical="center"/>
    </xf>
    <xf numFmtId="0" fontId="2" fillId="2" borderId="9" xfId="1" applyBorder="1" applyAlignment="1">
      <alignment horizontal="center" vertical="center"/>
    </xf>
    <xf numFmtId="0" fontId="2" fillId="2" borderId="6" xfId="1" applyBorder="1" applyAlignment="1">
      <alignment horizontal="center" vertical="center"/>
    </xf>
    <xf numFmtId="0" fontId="2" fillId="2" borderId="7" xfId="1" applyBorder="1" applyAlignment="1">
      <alignment horizontal="center" vertical="center"/>
    </xf>
    <xf numFmtId="0" fontId="0" fillId="5" borderId="10" xfId="4" applyFont="1" applyBorder="1" applyAlignment="1">
      <alignment horizontal="center" vertical="center"/>
    </xf>
    <xf numFmtId="0" fontId="0" fillId="5" borderId="0" xfId="4" applyFont="1" applyBorder="1" applyAlignment="1">
      <alignment horizontal="center" vertical="center"/>
    </xf>
    <xf numFmtId="0" fontId="3" fillId="3" borderId="11" xfId="2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4" borderId="2" xfId="5" applyAlignment="1">
      <alignment horizontal="center" vertical="center"/>
    </xf>
    <xf numFmtId="0" fontId="4" fillId="4" borderId="1" xfId="3" applyAlignment="1">
      <alignment horizontal="center" vertical="center"/>
    </xf>
    <xf numFmtId="0" fontId="11" fillId="4" borderId="13" xfId="5" applyBorder="1" applyAlignment="1">
      <alignment horizontal="center" vertical="center"/>
    </xf>
    <xf numFmtId="0" fontId="11" fillId="4" borderId="14" xfId="5" applyBorder="1" applyAlignment="1">
      <alignment horizontal="center" vertical="center"/>
    </xf>
    <xf numFmtId="0" fontId="11" fillId="4" borderId="15" xfId="5" applyBorder="1" applyAlignment="1">
      <alignment horizontal="center" vertical="center"/>
    </xf>
  </cellXfs>
  <cellStyles count="6">
    <cellStyle name="常规" xfId="0" builtinId="0"/>
    <cellStyle name="计算" xfId="3" builtinId="22"/>
    <cellStyle name="适中" xfId="1" builtinId="28"/>
    <cellStyle name="输出" xfId="5" builtinId="21"/>
    <cellStyle name="输入" xfId="2" builtinId="20"/>
    <cellStyle name="注释" xfId="4" builtinId="10"/>
  </cellStyles>
  <dxfs count="69"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7999816888943144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6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F3F76"/>
        <name val="等线"/>
        <scheme val="minor"/>
      </font>
      <fill>
        <patternFill patternType="solid">
          <fgColor indexed="64"/>
          <bgColor rgb="FFFFCC9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7F7F7F"/>
        </left>
        <right style="thin">
          <color rgb="FF7F7F7F"/>
        </right>
        <top style="thin">
          <color rgb="FF7F7F7F"/>
        </top>
        <bottom/>
      </border>
    </dxf>
    <dxf>
      <fill>
        <patternFill patternType="solid">
          <fgColor indexed="64"/>
          <bgColor theme="5" tint="0.59999389629810485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>
          <fgColor indexed="64"/>
          <bgColor rgb="FFFFFF00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  <a:cs typeface="+mn-cs"/>
              </a:defRPr>
            </a:pPr>
            <a:r>
              <a:rPr lang="zh-CN" altLang="en-US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系统各部件压降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3168285214348208"/>
          <c:y val="0.18039370078740158"/>
          <c:w val="0.78845603674540676"/>
          <c:h val="0.6167745698454359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压降分析!$B$2</c:f>
              <c:strCache>
                <c:ptCount val="1"/>
                <c:pt idx="0">
                  <c:v>蒸发器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压降分析!$C$2:$F$2</c:f>
              <c:numCache>
                <c:formatCode>General</c:formatCode>
                <c:ptCount val="4"/>
                <c:pt idx="0">
                  <c:v>0.42100000000000026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1B-4727-BC19-4C8542DBF3EA}"/>
            </c:ext>
          </c:extLst>
        </c:ser>
        <c:ser>
          <c:idx val="1"/>
          <c:order val="1"/>
          <c:tx>
            <c:strRef>
              <c:f>压降分析!$B$3</c:f>
              <c:strCache>
                <c:ptCount val="1"/>
                <c:pt idx="0">
                  <c:v>蒸发器至储液器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压降分析!$C$3:$F$3</c:f>
              <c:numCache>
                <c:formatCode>General</c:formatCode>
                <c:ptCount val="4"/>
                <c:pt idx="0">
                  <c:v>3.1709999999999998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1B-4727-BC19-4C8542DBF3EA}"/>
            </c:ext>
          </c:extLst>
        </c:ser>
        <c:ser>
          <c:idx val="2"/>
          <c:order val="2"/>
          <c:tx>
            <c:strRef>
              <c:f>压降分析!#REF!</c:f>
              <c:strCache>
                <c:ptCount val="1"/>
                <c:pt idx="0">
                  <c:v>#REF!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压降分析!$C$4:$F$4</c:f>
              <c:numCache>
                <c:formatCode>General</c:formatCode>
                <c:ptCount val="4"/>
                <c:pt idx="0">
                  <c:v>-2.86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11B-4727-BC19-4C8542DBF3EA}"/>
            </c:ext>
          </c:extLst>
        </c:ser>
        <c:ser>
          <c:idx val="3"/>
          <c:order val="3"/>
          <c:tx>
            <c:strRef>
              <c:f>压降分析!$B$4</c:f>
              <c:strCache>
                <c:ptCount val="1"/>
                <c:pt idx="0">
                  <c:v>储液器至吸气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压降分析!$C$5:$F$5</c:f>
              <c:numCache>
                <c:formatCode>General</c:formatCode>
                <c:ptCount val="4"/>
                <c:pt idx="0">
                  <c:v>-2.5000000000000355E-2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11B-4727-BC19-4C8542DBF3EA}"/>
            </c:ext>
          </c:extLst>
        </c:ser>
        <c:ser>
          <c:idx val="4"/>
          <c:order val="4"/>
          <c:tx>
            <c:strRef>
              <c:f>压降分析!$B$5</c:f>
              <c:strCache>
                <c:ptCount val="1"/>
                <c:pt idx="0">
                  <c:v>排气至气冷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压降分析!$C$1:$F$1</c:f>
              <c:numCache>
                <c:formatCode>General</c:formatCode>
                <c:ptCount val="4"/>
                <c:pt idx="0">
                  <c:v>88.2</c:v>
                </c:pt>
              </c:numCache>
            </c:numRef>
          </c:xVal>
          <c:yVal>
            <c:numRef>
              <c:f>压降分析!$C$6:$F$6</c:f>
              <c:numCache>
                <c:formatCode>General</c:formatCode>
                <c:ptCount val="4"/>
                <c:pt idx="0">
                  <c:v>9.7000000000000419E-2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111B-4727-BC19-4C8542DBF3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395967"/>
        <c:axId val="1064379327"/>
      </c:scatterChart>
      <c:valAx>
        <c:axId val="1064395967"/>
        <c:scaling>
          <c:orientation val="minMax"/>
          <c:min val="9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流量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/kg·h</a:t>
                </a:r>
                <a:r>
                  <a:rPr lang="en-US" altLang="zh-CN" baseline="3000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-1</a:t>
                </a:r>
                <a:endParaRPr lang="zh-CN" altLang="en-US" baseline="3000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79327"/>
        <c:crosses val="autoZero"/>
        <c:crossBetween val="midCat"/>
      </c:valAx>
      <c:valAx>
        <c:axId val="10643793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2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宋体" panose="02010600030101010101" pitchFamily="2" charset="-122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宋体" panose="02010600030101010101" pitchFamily="2" charset="-122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0643959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555555555555556"/>
          <c:y val="0.13330890930300379"/>
          <c:w val="0.25833333333333336"/>
          <c:h val="0.279516622922134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A4D-4FFA-ADF3-E780067F8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A4D-4FFA-ADF3-E780067F85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A4D-4FFA-ADF3-E780067F85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A4D-4FFA-ADF3-E780067F8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压降分析!$C$2:$C$5</c:f>
              <c:numCache>
                <c:formatCode>General</c:formatCode>
                <c:ptCount val="4"/>
                <c:pt idx="0">
                  <c:v>0.42100000000000026</c:v>
                </c:pt>
                <c:pt idx="1">
                  <c:v>3.1709999999999998</c:v>
                </c:pt>
                <c:pt idx="2">
                  <c:v>-2.86</c:v>
                </c:pt>
                <c:pt idx="3">
                  <c:v>-2.5000000000000355E-2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1D-47A0-B815-F2CA982A8CA7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106.3kg·h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F20-43F2-A6C7-71657F8DCD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F20-43F2-A6C7-71657F8DCD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F20-43F2-A6C7-71657F8DCD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F20-43F2-A6C7-71657F8DCD4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压降分析!$E$2:$E$5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DF20-43F2-A6C7-71657F8DCD4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104.7kg·h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88C-4CB3-85EA-DCDAEF889D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88C-4CB3-85EA-DCDAEF889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88C-4CB3-85EA-DCDAEF889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88C-4CB3-85EA-DCDAEF889D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压降分析!$D$2:$D$5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388C-4CB3-85EA-DCDAEF889D2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131.2kg·h</a:t>
            </a:r>
            <a:r>
              <a:rPr lang="en-US" altLang="zh-CN" baseline="30000"/>
              <a:t>-1</a:t>
            </a:r>
            <a:endParaRPr lang="zh-CN" altLang="en-US" baseline="30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F4-4EA7-B0F4-0325B766FB6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F4-4EA7-B0F4-0325B766FB6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F4-4EA7-B0F4-0325B766FB6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F4-4EA7-B0F4-0325B766FB6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压降分析!$B$2:$B$4</c:f>
              <c:strCache>
                <c:ptCount val="3"/>
                <c:pt idx="0">
                  <c:v>蒸发器</c:v>
                </c:pt>
                <c:pt idx="1">
                  <c:v>蒸发器至储液器</c:v>
                </c:pt>
                <c:pt idx="2">
                  <c:v>储液器至吸气</c:v>
                </c:pt>
              </c:strCache>
            </c:strRef>
          </c:cat>
          <c:val>
            <c:numRef>
              <c:f>压降分析!$F$2:$F$5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08-7EF4-4EA7-B0F4-0325B766FB6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(压降分析!$C$32,压降分析!$E$32,压降分析!$G$32)</c:f>
              <c:numCache>
                <c:formatCode>General</c:formatCode>
                <c:ptCount val="3"/>
                <c:pt idx="0">
                  <c:v>0.5950000000000002</c:v>
                </c:pt>
                <c:pt idx="1">
                  <c:v>0.33599999999999985</c:v>
                </c:pt>
                <c:pt idx="2">
                  <c:v>0.26400000000000001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6-4D5E-B831-A86E15C2A19D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(压降分析!$B$28,压降分析!$D$28,压降分析!$F$28)</c:f>
              <c:strCache>
                <c:ptCount val="3"/>
                <c:pt idx="0">
                  <c:v>原系统</c:v>
                </c:pt>
                <c:pt idx="1">
                  <c:v>新系统</c:v>
                </c:pt>
                <c:pt idx="2">
                  <c:v>三花</c:v>
                </c:pt>
              </c:strCache>
            </c:strRef>
          </c:cat>
          <c:val>
            <c:numRef>
              <c:f>(压降分析!$C$33,压降分析!$E$33,压降分析!$G$33)</c:f>
              <c:numCache>
                <c:formatCode>General</c:formatCode>
                <c:ptCount val="3"/>
                <c:pt idx="0">
                  <c:v>0.82499999999999973</c:v>
                </c:pt>
                <c:pt idx="1">
                  <c:v>0.5089999999999999</c:v>
                </c:pt>
                <c:pt idx="2">
                  <c:v>0.32400000000000001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6-4D5E-B831-A86E15C2A1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291821103"/>
        <c:axId val="1291838575"/>
        <c:axId val="0"/>
      </c:bar3DChart>
      <c:catAx>
        <c:axId val="129182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ea"/>
                <a:ea typeface="+mn-ea"/>
                <a:cs typeface="+mn-cs"/>
              </a:defRPr>
            </a:pPr>
            <a:endParaRPr lang="zh-CN"/>
          </a:p>
        </c:txPr>
        <c:crossAx val="1291838575"/>
        <c:crosses val="autoZero"/>
        <c:auto val="1"/>
        <c:lblAlgn val="ctr"/>
        <c:lblOffset val="100"/>
        <c:noMultiLvlLbl val="0"/>
      </c:catAx>
      <c:valAx>
        <c:axId val="1291838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zh-CN" altLang="en-US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压降</a:t>
                </a:r>
                <a:r>
                  <a:rPr lang="en-US" altLang="zh-CN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rPr>
                  <a:t>/MPa</a:t>
                </a:r>
                <a:endParaRPr lang="zh-CN" altLang="en-US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zh-CN"/>
          </a:p>
        </c:txPr>
        <c:crossAx val="1291821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314325</xdr:colOff>
      <xdr:row>6</xdr:row>
      <xdr:rowOff>171450</xdr:rowOff>
    </xdr:from>
    <xdr:to>
      <xdr:col>15</xdr:col>
      <xdr:colOff>85725</xdr:colOff>
      <xdr:row>22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0</xdr:colOff>
      <xdr:row>3</xdr:row>
      <xdr:rowOff>28575</xdr:rowOff>
    </xdr:from>
    <xdr:to>
      <xdr:col>21</xdr:col>
      <xdr:colOff>414337</xdr:colOff>
      <xdr:row>18</xdr:row>
      <xdr:rowOff>57150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495300</xdr:colOff>
      <xdr:row>4</xdr:row>
      <xdr:rowOff>133350</xdr:rowOff>
    </xdr:from>
    <xdr:to>
      <xdr:col>20</xdr:col>
      <xdr:colOff>223837</xdr:colOff>
      <xdr:row>19</xdr:row>
      <xdr:rowOff>161925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161925</xdr:colOff>
      <xdr:row>10</xdr:row>
      <xdr:rowOff>85725</xdr:rowOff>
    </xdr:from>
    <xdr:to>
      <xdr:col>20</xdr:col>
      <xdr:colOff>576262</xdr:colOff>
      <xdr:row>25</xdr:row>
      <xdr:rowOff>114300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561975</xdr:colOff>
      <xdr:row>13</xdr:row>
      <xdr:rowOff>66675</xdr:rowOff>
    </xdr:from>
    <xdr:to>
      <xdr:col>21</xdr:col>
      <xdr:colOff>290512</xdr:colOff>
      <xdr:row>28</xdr:row>
      <xdr:rowOff>95250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433387</xdr:colOff>
      <xdr:row>18</xdr:row>
      <xdr:rowOff>0</xdr:rowOff>
    </xdr:from>
    <xdr:to>
      <xdr:col>14</xdr:col>
      <xdr:colOff>204787</xdr:colOff>
      <xdr:row>33</xdr:row>
      <xdr:rowOff>28575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qhr\AppData\Roaming\Microsoft\AddIns\REFPROP.xla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%20(x86)\REFPROP\REFPROP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UserInformation"/>
      <sheetName val="Examples"/>
      <sheetName val="Mixture Examples"/>
      <sheetName val="CheckSum"/>
      <sheetName val="Sheet1"/>
      <sheetName val="REFPROP"/>
    </sheetNames>
    <definedNames>
      <definedName name="Density"/>
      <definedName name="Enthalpy"/>
      <definedName name="Entrop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definedNames>
      <definedName name="Enthalpy"/>
    </definedNames>
    <sheetDataSet>
      <sheetData sheetId="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表3" displayName="表3" ref="B1:AI58" totalsRowShown="0" dataDxfId="68">
  <autoFilter ref="B1:AI58" xr:uid="{00000000-0009-0000-0100-000003000000}"/>
  <tableColumns count="34">
    <tableColumn id="9" xr3:uid="{00000000-0010-0000-0000-000009000000}" name="列0" dataDxfId="67" totalsRowDxfId="66"/>
    <tableColumn id="4" xr3:uid="{00000000-0010-0000-0000-000004000000}" name="列1" dataDxfId="65" totalsRowDxfId="64"/>
    <tableColumn id="16" xr3:uid="{00000000-0010-0000-0000-000010000000}" name="列2" dataDxfId="63" totalsRowDxfId="62" dataCellStyle="输入"/>
    <tableColumn id="18" xr3:uid="{00000000-0010-0000-0000-000012000000}" name="列3" dataDxfId="61" totalsRowDxfId="60"/>
    <tableColumn id="1" xr3:uid="{00000000-0010-0000-0000-000001000000}" name="列4" dataDxfId="59" totalsRowDxfId="58"/>
    <tableColumn id="17" xr3:uid="{00000000-0010-0000-0000-000011000000}" name="列5" dataDxfId="57" totalsRowDxfId="56"/>
    <tableColumn id="21" xr3:uid="{00000000-0010-0000-0000-000015000000}" name="列6" dataDxfId="55" totalsRowDxfId="54"/>
    <tableColumn id="20" xr3:uid="{00000000-0010-0000-0000-000014000000}" name="列7" dataDxfId="53" totalsRowDxfId="52"/>
    <tableColumn id="19" xr3:uid="{00000000-0010-0000-0000-000013000000}" name="列8" dataDxfId="51" totalsRowDxfId="50"/>
    <tableColumn id="11" xr3:uid="{00000000-0010-0000-0000-00000B000000}" name="列9" dataDxfId="49" totalsRowDxfId="48"/>
    <tableColumn id="24" xr3:uid="{00000000-0010-0000-0000-000018000000}" name="列10" dataDxfId="47" totalsRowDxfId="46"/>
    <tableColumn id="23" xr3:uid="{00000000-0010-0000-0000-000017000000}" name="列11" dataDxfId="45" totalsRowDxfId="44"/>
    <tableColumn id="22" xr3:uid="{00000000-0010-0000-0000-000016000000}" name="列12" dataDxfId="43" totalsRowDxfId="42"/>
    <tableColumn id="12" xr3:uid="{00000000-0010-0000-0000-00000C000000}" name="列13" dataDxfId="41" totalsRowDxfId="40"/>
    <tableColumn id="13" xr3:uid="{00000000-0010-0000-0000-00000D000000}" name="列14" dataDxfId="39" totalsRowDxfId="38"/>
    <tableColumn id="14" xr3:uid="{00000000-0010-0000-0000-00000E000000}" name="列15" dataDxfId="37" totalsRowDxfId="36"/>
    <tableColumn id="15" xr3:uid="{00000000-0010-0000-0000-00000F000000}" name="列16" dataDxfId="35" totalsRowDxfId="34"/>
    <tableColumn id="2" xr3:uid="{0F95C51C-B079-45CB-9A85-FA4F282056DD}" name="列17" dataDxfId="33" totalsRowDxfId="32"/>
    <tableColumn id="3" xr3:uid="{385E8310-AD78-41C2-B15B-568AFD5C87EF}" name="列18" dataDxfId="31" totalsRowDxfId="30"/>
    <tableColumn id="5" xr3:uid="{09F56284-445E-4F20-8FB9-1A3E51844225}" name="列19" dataDxfId="29" totalsRowDxfId="28"/>
    <tableColumn id="6" xr3:uid="{9370711D-FB84-4783-AC92-25A2D87AC583}" name="列20" dataDxfId="27" totalsRowDxfId="26"/>
    <tableColumn id="7" xr3:uid="{0E19F0DE-0516-4430-8071-6A5B6450B891}" name="列21" dataDxfId="25" totalsRowDxfId="24"/>
    <tableColumn id="8" xr3:uid="{F16A3F8E-AF7E-4BF2-B2B2-E5AFEF913B6B}" name="列22" dataDxfId="23" totalsRowDxfId="22"/>
    <tableColumn id="10" xr3:uid="{00DBAE33-34A3-4BDB-8714-3A24E5725CF7}" name="列23" dataDxfId="21" totalsRowDxfId="20"/>
    <tableColumn id="25" xr3:uid="{371E873D-7B20-4240-AABD-BEE16412D35A}" name="列24" dataDxfId="19" totalsRowDxfId="18"/>
    <tableColumn id="26" xr3:uid="{7A0E7E20-7CCA-45D6-B3C6-9989228F0D01}" name="列25" dataDxfId="17" totalsRowDxfId="16"/>
    <tableColumn id="27" xr3:uid="{63A58DBB-3213-4326-BA97-F41167796D3C}" name="列26" dataDxfId="15" totalsRowDxfId="14"/>
    <tableColumn id="28" xr3:uid="{7C69C32E-931F-46A1-9C89-169BDCD6B896}" name="列27" dataDxfId="13" totalsRowDxfId="12"/>
    <tableColumn id="29" xr3:uid="{6E1ADA32-F986-492E-A214-5877B63DF9CB}" name="列28" dataDxfId="11" totalsRowDxfId="10"/>
    <tableColumn id="30" xr3:uid="{C6C4EC2A-6495-435E-A3A0-BCD11D807F19}" name="列29" dataDxfId="9" totalsRowDxfId="8"/>
    <tableColumn id="31" xr3:uid="{664B9297-A24B-4DBA-8E17-09F7A80A2DA7}" name="列30" dataDxfId="7" totalsRowDxfId="6"/>
    <tableColumn id="32" xr3:uid="{225828D6-FEED-428A-A3D9-C9EC3C3B7ACD}" name="列31" dataDxfId="5" totalsRowDxfId="4"/>
    <tableColumn id="33" xr3:uid="{E1208EF8-582C-4326-B4A7-1A9DA1D065A2}" name="列32" dataDxfId="3" totalsRowDxfId="2"/>
    <tableColumn id="34" xr3:uid="{C650F960-A423-4A44-8BB2-321F5D708C19}" name="列33" dataDxfId="1" totalsRow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I178"/>
  <sheetViews>
    <sheetView tabSelected="1" topLeftCell="C1" zoomScale="115" zoomScaleNormal="115" workbookViewId="0">
      <selection activeCell="I1" sqref="I1:AD58"/>
    </sheetView>
  </sheetViews>
  <sheetFormatPr defaultRowHeight="14" x14ac:dyDescent="0.3"/>
  <cols>
    <col min="2" max="2" width="29.25" customWidth="1"/>
    <col min="3" max="3" width="20.6640625" style="6" customWidth="1"/>
    <col min="4" max="4" width="11.25" style="21" hidden="1" customWidth="1"/>
    <col min="5" max="5" width="11.08203125" style="21" hidden="1" customWidth="1"/>
    <col min="6" max="6" width="15.75" style="41" hidden="1" customWidth="1"/>
    <col min="7" max="7" width="11.25" customWidth="1"/>
    <col min="8" max="8" width="12.08203125" customWidth="1"/>
    <col min="9" max="9" width="13.08203125" style="56" customWidth="1"/>
    <col min="10" max="11" width="9.08203125" style="56"/>
    <col min="12" max="12" width="9.08203125" style="56" customWidth="1"/>
    <col min="13" max="14" width="9.08203125" hidden="1" customWidth="1"/>
    <col min="15" max="16" width="0" hidden="1" customWidth="1"/>
    <col min="17" max="17" width="0" style="41" hidden="1" customWidth="1"/>
    <col min="18" max="18" width="0" hidden="1" customWidth="1"/>
    <col min="19" max="19" width="0" style="41" hidden="1" customWidth="1"/>
    <col min="20" max="20" width="0" hidden="1" customWidth="1"/>
    <col min="23" max="23" width="9.08203125" customWidth="1"/>
    <col min="34" max="34" width="9.08203125" style="50"/>
  </cols>
  <sheetData>
    <row r="1" spans="1:35" x14ac:dyDescent="0.3">
      <c r="B1" s="6" t="s">
        <v>38</v>
      </c>
      <c r="C1" s="6" t="s">
        <v>39</v>
      </c>
      <c r="D1" s="21" t="s">
        <v>40</v>
      </c>
      <c r="E1" s="21" t="s">
        <v>41</v>
      </c>
      <c r="F1" s="41" t="s">
        <v>42</v>
      </c>
      <c r="G1" s="6" t="s">
        <v>43</v>
      </c>
      <c r="H1" s="6" t="s">
        <v>44</v>
      </c>
      <c r="I1" s="56" t="s">
        <v>45</v>
      </c>
      <c r="J1" s="56" t="s">
        <v>46</v>
      </c>
      <c r="K1" s="56" t="s">
        <v>12</v>
      </c>
      <c r="L1" s="56" t="s">
        <v>36</v>
      </c>
      <c r="M1" s="6" t="s">
        <v>125</v>
      </c>
      <c r="N1" s="6" t="s">
        <v>22</v>
      </c>
      <c r="O1" s="6" t="s">
        <v>23</v>
      </c>
      <c r="P1" s="6" t="s">
        <v>24</v>
      </c>
      <c r="Q1" s="41" t="s">
        <v>25</v>
      </c>
      <c r="R1" s="6" t="s">
        <v>59</v>
      </c>
      <c r="S1" s="41" t="s">
        <v>115</v>
      </c>
      <c r="T1" s="6" t="s">
        <v>116</v>
      </c>
      <c r="U1" s="6" t="s">
        <v>117</v>
      </c>
      <c r="V1" s="6" t="s">
        <v>118</v>
      </c>
      <c r="W1" s="6" t="s">
        <v>119</v>
      </c>
      <c r="X1" t="s">
        <v>134</v>
      </c>
      <c r="Y1" t="s">
        <v>135</v>
      </c>
      <c r="Z1" t="s">
        <v>136</v>
      </c>
      <c r="AA1" t="s">
        <v>137</v>
      </c>
      <c r="AB1" t="s">
        <v>138</v>
      </c>
      <c r="AC1" t="s">
        <v>139</v>
      </c>
      <c r="AD1" t="s">
        <v>140</v>
      </c>
      <c r="AE1" t="s">
        <v>146</v>
      </c>
      <c r="AF1" t="s">
        <v>147</v>
      </c>
      <c r="AG1" t="s">
        <v>148</v>
      </c>
      <c r="AH1" s="50" t="s">
        <v>149</v>
      </c>
      <c r="AI1" t="s">
        <v>150</v>
      </c>
    </row>
    <row r="2" spans="1:35" x14ac:dyDescent="0.3">
      <c r="B2" s="1" t="s">
        <v>26</v>
      </c>
      <c r="C2" s="1" t="s">
        <v>113</v>
      </c>
      <c r="D2" s="22" t="s">
        <v>112</v>
      </c>
      <c r="E2" s="22" t="s">
        <v>112</v>
      </c>
      <c r="F2" s="42" t="s">
        <v>112</v>
      </c>
      <c r="G2" s="30" t="s">
        <v>113</v>
      </c>
      <c r="H2" s="17" t="s">
        <v>113</v>
      </c>
      <c r="I2" s="23" t="s">
        <v>113</v>
      </c>
      <c r="J2" s="23" t="s">
        <v>113</v>
      </c>
      <c r="K2" s="23" t="s">
        <v>113</v>
      </c>
      <c r="L2" s="23" t="s">
        <v>113</v>
      </c>
      <c r="M2" s="1" t="s">
        <v>114</v>
      </c>
      <c r="N2" s="28" t="s">
        <v>114</v>
      </c>
      <c r="O2" s="28" t="s">
        <v>114</v>
      </c>
      <c r="P2" s="28" t="s">
        <v>114</v>
      </c>
      <c r="Q2" s="43" t="s">
        <v>114</v>
      </c>
      <c r="R2" s="28" t="s">
        <v>114</v>
      </c>
      <c r="S2" s="43" t="s">
        <v>114</v>
      </c>
      <c r="T2" s="28" t="s">
        <v>114</v>
      </c>
      <c r="U2" s="28" t="s">
        <v>113</v>
      </c>
      <c r="V2" s="31" t="s">
        <v>113</v>
      </c>
      <c r="W2" s="28" t="s">
        <v>113</v>
      </c>
      <c r="X2" s="28" t="s">
        <v>113</v>
      </c>
      <c r="Y2" s="31" t="s">
        <v>113</v>
      </c>
      <c r="Z2" s="28" t="s">
        <v>113</v>
      </c>
      <c r="AA2" s="28" t="s">
        <v>113</v>
      </c>
      <c r="AB2" s="31" t="s">
        <v>113</v>
      </c>
      <c r="AC2" s="28" t="s">
        <v>113</v>
      </c>
      <c r="AD2" s="28" t="s">
        <v>113</v>
      </c>
      <c r="AE2" s="28" t="s">
        <v>113</v>
      </c>
      <c r="AF2" s="36" t="s">
        <v>113</v>
      </c>
      <c r="AG2" s="28" t="s">
        <v>113</v>
      </c>
      <c r="AH2" s="51" t="s">
        <v>113</v>
      </c>
      <c r="AI2" s="28" t="s">
        <v>113</v>
      </c>
    </row>
    <row r="3" spans="1:35" x14ac:dyDescent="0.3">
      <c r="A3" t="s">
        <v>18</v>
      </c>
      <c r="B3" s="1" t="s">
        <v>19</v>
      </c>
      <c r="C3" s="26" t="s">
        <v>28</v>
      </c>
      <c r="D3" s="23" t="s">
        <v>30</v>
      </c>
      <c r="E3" s="24" t="s">
        <v>29</v>
      </c>
      <c r="F3" s="43" t="s">
        <v>31</v>
      </c>
      <c r="G3" s="31" t="s">
        <v>57</v>
      </c>
      <c r="H3" s="19" t="s">
        <v>32</v>
      </c>
      <c r="I3" s="24" t="s">
        <v>33</v>
      </c>
      <c r="J3" s="24" t="s">
        <v>34</v>
      </c>
      <c r="K3" s="24" t="s">
        <v>35</v>
      </c>
      <c r="L3" s="24" t="s">
        <v>37</v>
      </c>
      <c r="M3" s="35" t="s">
        <v>126</v>
      </c>
      <c r="N3" s="10" t="s">
        <v>30</v>
      </c>
      <c r="O3" s="10" t="s">
        <v>29</v>
      </c>
      <c r="P3" s="10" t="s">
        <v>47</v>
      </c>
      <c r="Q3" s="43" t="s">
        <v>48</v>
      </c>
      <c r="R3" s="10" t="s">
        <v>60</v>
      </c>
      <c r="S3" s="43" t="s">
        <v>120</v>
      </c>
      <c r="T3" s="28" t="s">
        <v>121</v>
      </c>
      <c r="U3" s="28" t="s">
        <v>122</v>
      </c>
      <c r="V3" s="31" t="s">
        <v>123</v>
      </c>
      <c r="W3" s="28" t="s">
        <v>124</v>
      </c>
      <c r="X3" s="28" t="s">
        <v>127</v>
      </c>
      <c r="Y3" s="31" t="s">
        <v>128</v>
      </c>
      <c r="Z3" s="28" t="s">
        <v>129</v>
      </c>
      <c r="AA3" s="28" t="s">
        <v>130</v>
      </c>
      <c r="AB3" s="31" t="s">
        <v>131</v>
      </c>
      <c r="AC3" s="28" t="s">
        <v>132</v>
      </c>
      <c r="AD3" s="28" t="s">
        <v>133</v>
      </c>
      <c r="AE3" s="28" t="s">
        <v>141</v>
      </c>
      <c r="AF3" s="36" t="s">
        <v>142</v>
      </c>
      <c r="AG3" s="28" t="s">
        <v>143</v>
      </c>
      <c r="AH3" s="51" t="s">
        <v>144</v>
      </c>
      <c r="AI3" s="28" t="s">
        <v>145</v>
      </c>
    </row>
    <row r="4" spans="1:35" ht="13.5" customHeight="1" x14ac:dyDescent="0.3">
      <c r="A4" s="59" t="s">
        <v>20</v>
      </c>
      <c r="B4" s="7" t="s">
        <v>14</v>
      </c>
      <c r="C4" s="27">
        <v>27.2</v>
      </c>
      <c r="D4" s="25">
        <v>27</v>
      </c>
      <c r="E4" s="25">
        <v>27</v>
      </c>
      <c r="F4" s="44">
        <v>27</v>
      </c>
      <c r="G4" s="32">
        <v>27</v>
      </c>
      <c r="H4" s="18">
        <v>27</v>
      </c>
      <c r="I4" s="25">
        <v>27</v>
      </c>
      <c r="J4" s="25">
        <v>27</v>
      </c>
      <c r="K4" s="25">
        <v>27</v>
      </c>
      <c r="L4" s="25">
        <v>27</v>
      </c>
      <c r="M4" s="7">
        <v>27</v>
      </c>
      <c r="N4" s="29">
        <v>27</v>
      </c>
      <c r="O4" s="29">
        <v>27</v>
      </c>
      <c r="P4" s="29">
        <v>27</v>
      </c>
      <c r="Q4" s="44">
        <v>27</v>
      </c>
      <c r="R4" s="29">
        <v>26.9</v>
      </c>
      <c r="S4" s="44">
        <v>27</v>
      </c>
      <c r="T4" s="29">
        <v>27</v>
      </c>
      <c r="U4" s="29">
        <v>27</v>
      </c>
      <c r="V4" s="32">
        <v>27</v>
      </c>
      <c r="W4" s="29">
        <v>27</v>
      </c>
      <c r="X4" s="29">
        <v>27</v>
      </c>
      <c r="Y4" s="32">
        <v>27</v>
      </c>
      <c r="Z4" s="29">
        <v>27</v>
      </c>
      <c r="AA4" s="29">
        <v>27</v>
      </c>
      <c r="AB4" s="32">
        <v>27</v>
      </c>
      <c r="AC4" s="29">
        <v>27</v>
      </c>
      <c r="AD4" s="29">
        <v>27</v>
      </c>
      <c r="AE4" s="29">
        <v>27</v>
      </c>
      <c r="AF4" s="37">
        <v>27</v>
      </c>
      <c r="AG4" s="29">
        <v>27</v>
      </c>
      <c r="AH4" s="52">
        <v>27</v>
      </c>
      <c r="AI4" s="29">
        <v>27</v>
      </c>
    </row>
    <row r="5" spans="1:35" ht="13.5" customHeight="1" x14ac:dyDescent="0.3">
      <c r="A5" s="60"/>
      <c r="B5" s="7" t="s">
        <v>15</v>
      </c>
      <c r="C5" s="27">
        <v>19.7</v>
      </c>
      <c r="D5" s="25">
        <v>19.5</v>
      </c>
      <c r="E5" s="25">
        <v>19.600000000000001</v>
      </c>
      <c r="F5" s="44">
        <v>19.5</v>
      </c>
      <c r="G5" s="32">
        <v>19.5</v>
      </c>
      <c r="H5" s="18">
        <v>19.5</v>
      </c>
      <c r="I5" s="25">
        <v>19.600000000000001</v>
      </c>
      <c r="J5" s="25">
        <v>19.5</v>
      </c>
      <c r="K5" s="25">
        <v>19.5</v>
      </c>
      <c r="L5" s="25">
        <v>19.5</v>
      </c>
      <c r="M5" s="7">
        <v>19.5</v>
      </c>
      <c r="N5" s="29">
        <v>19.5</v>
      </c>
      <c r="O5" s="29">
        <v>19.5</v>
      </c>
      <c r="P5" s="29">
        <v>19.5</v>
      </c>
      <c r="Q5" s="44">
        <v>19.5</v>
      </c>
      <c r="R5" s="29">
        <v>19.5</v>
      </c>
      <c r="S5" s="44">
        <v>19.5</v>
      </c>
      <c r="T5" s="29">
        <v>19.5</v>
      </c>
      <c r="U5" s="29">
        <v>19.5</v>
      </c>
      <c r="V5" s="32">
        <v>19.5</v>
      </c>
      <c r="W5" s="29">
        <v>19.5</v>
      </c>
      <c r="X5" s="29">
        <v>19.5</v>
      </c>
      <c r="Y5" s="32">
        <v>19.5</v>
      </c>
      <c r="Z5" s="29">
        <v>19.5</v>
      </c>
      <c r="AA5" s="29">
        <v>19.5</v>
      </c>
      <c r="AB5" s="32">
        <v>19.5</v>
      </c>
      <c r="AC5" s="29">
        <v>19.5</v>
      </c>
      <c r="AD5" s="29">
        <v>19.5</v>
      </c>
      <c r="AE5" s="29">
        <v>19.5</v>
      </c>
      <c r="AF5" s="37">
        <v>19.5</v>
      </c>
      <c r="AG5" s="29">
        <v>19.5</v>
      </c>
      <c r="AH5" s="52">
        <v>19.5</v>
      </c>
      <c r="AI5" s="29">
        <v>19.5</v>
      </c>
    </row>
    <row r="6" spans="1:35" ht="13.5" customHeight="1" x14ac:dyDescent="0.3">
      <c r="A6" s="60"/>
      <c r="B6" s="7" t="s">
        <v>16</v>
      </c>
      <c r="C6" s="27">
        <v>35.299999999999997</v>
      </c>
      <c r="D6" s="25">
        <v>35</v>
      </c>
      <c r="E6" s="25">
        <v>35</v>
      </c>
      <c r="F6" s="44">
        <v>34.799999999999997</v>
      </c>
      <c r="G6" s="32">
        <v>35</v>
      </c>
      <c r="H6" s="18">
        <v>35</v>
      </c>
      <c r="I6" s="25">
        <v>34.9</v>
      </c>
      <c r="J6" s="25">
        <v>35</v>
      </c>
      <c r="K6" s="25">
        <v>35</v>
      </c>
      <c r="L6" s="25">
        <v>35</v>
      </c>
      <c r="M6" s="7">
        <v>35</v>
      </c>
      <c r="N6" s="29">
        <v>35</v>
      </c>
      <c r="O6" s="29">
        <v>35</v>
      </c>
      <c r="P6" s="29">
        <v>35</v>
      </c>
      <c r="Q6" s="44">
        <v>35</v>
      </c>
      <c r="R6" s="29">
        <v>35</v>
      </c>
      <c r="S6" s="44">
        <v>35</v>
      </c>
      <c r="T6" s="29">
        <v>35</v>
      </c>
      <c r="U6" s="29">
        <v>35</v>
      </c>
      <c r="V6" s="32">
        <v>35</v>
      </c>
      <c r="W6" s="29">
        <v>35</v>
      </c>
      <c r="X6" s="29">
        <v>35</v>
      </c>
      <c r="Y6" s="32">
        <v>35</v>
      </c>
      <c r="Z6" s="29">
        <v>35</v>
      </c>
      <c r="AA6" s="29">
        <v>35</v>
      </c>
      <c r="AB6" s="32">
        <v>35</v>
      </c>
      <c r="AC6" s="29">
        <v>35</v>
      </c>
      <c r="AD6" s="29">
        <v>35</v>
      </c>
      <c r="AE6" s="29">
        <v>35</v>
      </c>
      <c r="AF6" s="37">
        <v>35</v>
      </c>
      <c r="AG6" s="29">
        <v>35</v>
      </c>
      <c r="AH6" s="52">
        <v>35</v>
      </c>
      <c r="AI6" s="29">
        <v>35</v>
      </c>
    </row>
    <row r="7" spans="1:35" ht="13.5" customHeight="1" x14ac:dyDescent="0.3">
      <c r="A7" s="61"/>
      <c r="B7" s="7" t="s">
        <v>17</v>
      </c>
      <c r="C7" s="27">
        <v>26.1</v>
      </c>
      <c r="D7" s="25">
        <v>26.1</v>
      </c>
      <c r="E7" s="25">
        <v>26.1</v>
      </c>
      <c r="F7" s="44">
        <v>27.8</v>
      </c>
      <c r="G7" s="32">
        <v>27.3</v>
      </c>
      <c r="H7" s="18">
        <v>27</v>
      </c>
      <c r="I7" s="25">
        <v>27</v>
      </c>
      <c r="J7" s="25">
        <v>27.2</v>
      </c>
      <c r="K7" s="25">
        <v>27.2</v>
      </c>
      <c r="L7" s="25">
        <v>27.4</v>
      </c>
      <c r="M7" s="7">
        <v>27</v>
      </c>
      <c r="N7" s="29">
        <v>27</v>
      </c>
      <c r="O7" s="29">
        <v>27</v>
      </c>
      <c r="P7" s="29">
        <v>27</v>
      </c>
      <c r="Q7" s="44">
        <v>27</v>
      </c>
      <c r="R7" s="29">
        <v>27</v>
      </c>
      <c r="S7" s="44">
        <v>26.8</v>
      </c>
      <c r="T7" s="29">
        <v>26.9</v>
      </c>
      <c r="U7" s="29">
        <v>26.5</v>
      </c>
      <c r="V7" s="32">
        <v>26</v>
      </c>
      <c r="W7" s="29">
        <v>26.1</v>
      </c>
      <c r="X7" s="29">
        <v>26.1</v>
      </c>
      <c r="Y7" s="32">
        <v>26.1</v>
      </c>
      <c r="Z7" s="29">
        <v>26.5</v>
      </c>
      <c r="AA7" s="29">
        <v>26.5</v>
      </c>
      <c r="AB7" s="32">
        <v>26.1</v>
      </c>
      <c r="AC7" s="29">
        <v>26.1</v>
      </c>
      <c r="AD7" s="29">
        <v>26.1</v>
      </c>
      <c r="AE7" s="29">
        <v>26.1</v>
      </c>
      <c r="AF7" s="37">
        <v>26.1</v>
      </c>
      <c r="AG7" s="29">
        <v>26.1</v>
      </c>
      <c r="AH7" s="52">
        <v>26.1</v>
      </c>
      <c r="AI7" s="29">
        <v>26.1</v>
      </c>
    </row>
    <row r="8" spans="1:35" x14ac:dyDescent="0.3">
      <c r="A8" s="62" t="s">
        <v>49</v>
      </c>
      <c r="B8" s="3" t="s">
        <v>0</v>
      </c>
      <c r="C8" s="3">
        <v>35.159999999999997</v>
      </c>
      <c r="D8" s="3">
        <v>19.43</v>
      </c>
      <c r="E8" s="3">
        <v>16.010000000000002</v>
      </c>
      <c r="F8" s="45">
        <v>17.8</v>
      </c>
      <c r="G8" s="33">
        <v>35.729999999999997</v>
      </c>
      <c r="H8" s="3">
        <v>34.64</v>
      </c>
      <c r="I8" s="57">
        <v>31.58</v>
      </c>
      <c r="J8" s="57">
        <v>32.049999999999997</v>
      </c>
      <c r="K8" s="57">
        <v>31.92</v>
      </c>
      <c r="L8" s="57">
        <v>31.79</v>
      </c>
      <c r="M8" s="3">
        <v>1.55</v>
      </c>
      <c r="N8" s="3">
        <v>2.2999999999999998</v>
      </c>
      <c r="O8" s="3">
        <v>3.41</v>
      </c>
      <c r="P8" s="3">
        <v>4.4349999999999996</v>
      </c>
      <c r="Q8" s="45">
        <v>2.85</v>
      </c>
      <c r="R8" s="3">
        <v>-1.04</v>
      </c>
      <c r="S8" s="45">
        <v>-1.06</v>
      </c>
      <c r="T8" s="3">
        <v>-0.93</v>
      </c>
      <c r="U8" s="3">
        <v>31.73</v>
      </c>
      <c r="V8" s="33">
        <v>31.22</v>
      </c>
      <c r="W8" s="3">
        <v>30.72</v>
      </c>
      <c r="X8" s="3">
        <v>31.02</v>
      </c>
      <c r="Y8" s="33">
        <v>31.01</v>
      </c>
      <c r="Z8" s="3">
        <v>30.67</v>
      </c>
      <c r="AA8" s="3">
        <v>31.32</v>
      </c>
      <c r="AB8" s="33">
        <v>31.15</v>
      </c>
      <c r="AC8" s="3">
        <v>30.59</v>
      </c>
      <c r="AD8" s="3">
        <v>31.39</v>
      </c>
      <c r="AE8" s="3">
        <v>25.72</v>
      </c>
      <c r="AF8" s="38">
        <v>26.86</v>
      </c>
      <c r="AG8" s="3">
        <v>27.5</v>
      </c>
      <c r="AH8" s="53">
        <v>6.14</v>
      </c>
      <c r="AI8" s="3">
        <v>3.27</v>
      </c>
    </row>
    <row r="9" spans="1:35" x14ac:dyDescent="0.3">
      <c r="A9" s="63"/>
      <c r="B9" s="3" t="s">
        <v>1</v>
      </c>
      <c r="C9" s="3">
        <v>135.24</v>
      </c>
      <c r="D9" s="3">
        <v>135.71</v>
      </c>
      <c r="E9" s="3">
        <v>122.2</v>
      </c>
      <c r="F9" s="45">
        <v>135.44999999999999</v>
      </c>
      <c r="G9" s="33">
        <v>135.72</v>
      </c>
      <c r="H9" s="3">
        <v>125.26</v>
      </c>
      <c r="I9" s="57">
        <v>117.48</v>
      </c>
      <c r="J9" s="57">
        <v>125.58</v>
      </c>
      <c r="K9" s="57">
        <v>129.52000000000001</v>
      </c>
      <c r="L9" s="57">
        <v>133.12</v>
      </c>
      <c r="M9" s="3">
        <v>100.31</v>
      </c>
      <c r="N9" s="3">
        <v>104.62</v>
      </c>
      <c r="O9" s="3">
        <v>109.81</v>
      </c>
      <c r="P9" s="3">
        <v>114.64400000000001</v>
      </c>
      <c r="Q9" s="45">
        <v>107.69</v>
      </c>
      <c r="R9" s="3">
        <v>97.91</v>
      </c>
      <c r="S9" s="45">
        <v>94.86</v>
      </c>
      <c r="T9" s="3">
        <v>91.71</v>
      </c>
      <c r="U9" s="3">
        <v>124.19</v>
      </c>
      <c r="V9" s="33">
        <v>129.86000000000001</v>
      </c>
      <c r="W9" s="3">
        <v>132.44999999999999</v>
      </c>
      <c r="X9" s="3">
        <v>131.26</v>
      </c>
      <c r="Y9" s="33">
        <v>130.85</v>
      </c>
      <c r="Z9" s="3">
        <v>133.11000000000001</v>
      </c>
      <c r="AA9" s="3">
        <v>129.29</v>
      </c>
      <c r="AB9" s="33">
        <v>128.78</v>
      </c>
      <c r="AC9" s="3">
        <v>130.47</v>
      </c>
      <c r="AD9" s="3">
        <v>127.58</v>
      </c>
      <c r="AE9" s="3">
        <v>116.19</v>
      </c>
      <c r="AF9" s="38">
        <v>121.21</v>
      </c>
      <c r="AG9" s="3">
        <v>125.09</v>
      </c>
      <c r="AH9" s="53">
        <v>93.48</v>
      </c>
      <c r="AI9" s="3">
        <v>79.08</v>
      </c>
    </row>
    <row r="10" spans="1:35" x14ac:dyDescent="0.3">
      <c r="A10" s="63"/>
      <c r="B10" s="3" t="s">
        <v>2</v>
      </c>
      <c r="C10" s="3">
        <v>129.27000000000001</v>
      </c>
      <c r="D10" s="3">
        <v>129.66</v>
      </c>
      <c r="E10" s="3">
        <v>117.83</v>
      </c>
      <c r="F10" s="45">
        <v>129.83000000000001</v>
      </c>
      <c r="G10" s="33">
        <v>130.24</v>
      </c>
      <c r="H10" s="3">
        <v>120.61</v>
      </c>
      <c r="I10" s="57">
        <v>114.07</v>
      </c>
      <c r="J10" s="57">
        <v>121</v>
      </c>
      <c r="K10" s="57">
        <v>124.75</v>
      </c>
      <c r="L10" s="57">
        <v>128.22</v>
      </c>
      <c r="M10" s="3">
        <v>97.36</v>
      </c>
      <c r="N10" s="3">
        <v>101.43</v>
      </c>
      <c r="O10" s="3">
        <v>106.27</v>
      </c>
      <c r="P10" s="3">
        <v>110.83</v>
      </c>
      <c r="Q10" s="45">
        <v>104.21</v>
      </c>
      <c r="R10" s="3">
        <v>95.08</v>
      </c>
      <c r="S10" s="45">
        <v>92.16</v>
      </c>
      <c r="T10" s="3">
        <v>89.14</v>
      </c>
      <c r="U10" s="3">
        <v>119.63</v>
      </c>
      <c r="V10" s="33">
        <v>124.98</v>
      </c>
      <c r="W10" s="3">
        <v>127.35</v>
      </c>
      <c r="X10" s="3">
        <v>126.21</v>
      </c>
      <c r="Y10" s="33">
        <v>125.83</v>
      </c>
      <c r="Z10" s="3">
        <v>127.97</v>
      </c>
      <c r="AA10" s="3">
        <v>124.28</v>
      </c>
      <c r="AB10" s="33">
        <v>123.8</v>
      </c>
      <c r="AC10" s="3">
        <v>125.43</v>
      </c>
      <c r="AD10" s="3">
        <v>122.68</v>
      </c>
      <c r="AE10" s="3">
        <v>112.05</v>
      </c>
      <c r="AF10" s="38">
        <v>116.83</v>
      </c>
      <c r="AG10" s="3">
        <v>120.45</v>
      </c>
      <c r="AH10" s="53">
        <v>91.14</v>
      </c>
      <c r="AI10" s="3">
        <v>77.239999999999995</v>
      </c>
    </row>
    <row r="11" spans="1:35" x14ac:dyDescent="0.3">
      <c r="A11" s="63"/>
      <c r="B11" s="3" t="s">
        <v>3</v>
      </c>
      <c r="C11" s="20">
        <v>36.9</v>
      </c>
      <c r="D11" s="3">
        <v>36.97</v>
      </c>
      <c r="E11" s="3">
        <v>38.700000000000003</v>
      </c>
      <c r="F11" s="45">
        <v>37.76</v>
      </c>
      <c r="G11" s="33">
        <v>37.93</v>
      </c>
      <c r="H11" s="3">
        <v>37.619999999999997</v>
      </c>
      <c r="I11" s="57">
        <v>38.159999999999997</v>
      </c>
      <c r="J11" s="57">
        <v>38.630000000000003</v>
      </c>
      <c r="K11" s="57">
        <v>38.6</v>
      </c>
      <c r="L11" s="57">
        <v>38.58</v>
      </c>
      <c r="M11" s="3">
        <v>38.76</v>
      </c>
      <c r="N11" s="3">
        <v>38.39</v>
      </c>
      <c r="O11" s="3">
        <v>38.03</v>
      </c>
      <c r="P11" s="3">
        <v>37.72</v>
      </c>
      <c r="Q11" s="45">
        <v>38.21</v>
      </c>
      <c r="R11" s="3">
        <v>338.02</v>
      </c>
      <c r="S11" s="45">
        <v>38.380000000000003</v>
      </c>
      <c r="T11" s="3">
        <v>38.75</v>
      </c>
      <c r="U11" s="3">
        <v>38.57</v>
      </c>
      <c r="V11" s="33">
        <v>38.61</v>
      </c>
      <c r="W11" s="3">
        <v>38.479999999999997</v>
      </c>
      <c r="X11" s="3">
        <v>38.590000000000003</v>
      </c>
      <c r="Y11" s="33">
        <v>38.5</v>
      </c>
      <c r="Z11" s="3">
        <v>38.36</v>
      </c>
      <c r="AA11" s="3">
        <v>38.549999999999997</v>
      </c>
      <c r="AB11" s="33">
        <v>38.51</v>
      </c>
      <c r="AC11" s="3">
        <v>38.44</v>
      </c>
      <c r="AD11" s="3">
        <v>38.49</v>
      </c>
      <c r="AE11" s="3">
        <v>38.54</v>
      </c>
      <c r="AF11" s="38">
        <v>38.5</v>
      </c>
      <c r="AG11" s="3">
        <v>38.56</v>
      </c>
      <c r="AH11" s="53">
        <v>39.19</v>
      </c>
      <c r="AI11" s="3">
        <v>39.26</v>
      </c>
    </row>
    <row r="12" spans="1:35" x14ac:dyDescent="0.3">
      <c r="A12" s="63"/>
      <c r="B12" s="3" t="s">
        <v>7</v>
      </c>
      <c r="C12" s="3">
        <v>36.69</v>
      </c>
      <c r="D12" s="3">
        <v>36.89</v>
      </c>
      <c r="E12" s="3">
        <v>38.65</v>
      </c>
      <c r="F12" s="45">
        <v>37.71</v>
      </c>
      <c r="G12" s="33">
        <v>37.81</v>
      </c>
      <c r="H12" s="3">
        <v>37.46</v>
      </c>
      <c r="I12" s="57">
        <v>37.94</v>
      </c>
      <c r="J12" s="57">
        <v>38.51</v>
      </c>
      <c r="K12" s="57">
        <v>38.479999999999997</v>
      </c>
      <c r="L12" s="57">
        <v>38.46</v>
      </c>
      <c r="M12" s="3">
        <v>38.65</v>
      </c>
      <c r="N12" s="3">
        <v>38.35</v>
      </c>
      <c r="O12" s="3">
        <v>38</v>
      </c>
      <c r="P12" s="3">
        <v>37.68</v>
      </c>
      <c r="Q12" s="45">
        <v>38.159999999999997</v>
      </c>
      <c r="R12" s="3">
        <v>37.979999999999997</v>
      </c>
      <c r="S12" s="45">
        <v>38.32</v>
      </c>
      <c r="T12" s="3">
        <v>38.659999999999997</v>
      </c>
      <c r="U12" s="3">
        <v>38.4</v>
      </c>
      <c r="V12" s="33">
        <v>38.479999999999997</v>
      </c>
      <c r="W12" s="3">
        <v>38.369999999999997</v>
      </c>
      <c r="X12" s="3">
        <v>38.49</v>
      </c>
      <c r="Y12" s="33">
        <v>38.369999999999997</v>
      </c>
      <c r="Z12" s="3">
        <v>38.270000000000003</v>
      </c>
      <c r="AA12" s="3">
        <v>38.43</v>
      </c>
      <c r="AB12" s="33">
        <v>38.380000000000003</v>
      </c>
      <c r="AC12" s="3">
        <v>38.340000000000003</v>
      </c>
      <c r="AD12" s="3">
        <v>38.369999999999997</v>
      </c>
      <c r="AE12" s="3">
        <v>38.369999999999997</v>
      </c>
      <c r="AF12" s="38">
        <v>38.36</v>
      </c>
      <c r="AG12" s="3">
        <v>38.450000000000003</v>
      </c>
      <c r="AH12" s="53">
        <v>39.01</v>
      </c>
      <c r="AI12" s="3">
        <v>38.94</v>
      </c>
    </row>
    <row r="13" spans="1:35" x14ac:dyDescent="0.3">
      <c r="A13" s="63"/>
      <c r="B13" s="3" t="s">
        <v>6</v>
      </c>
      <c r="C13" s="3">
        <v>33.81</v>
      </c>
      <c r="D13" s="3">
        <v>36.32</v>
      </c>
      <c r="E13" s="3">
        <v>38.26</v>
      </c>
      <c r="F13" s="45">
        <v>37.46</v>
      </c>
      <c r="G13" s="33">
        <v>35.64</v>
      </c>
      <c r="H13" s="3">
        <v>35.32</v>
      </c>
      <c r="I13" s="57">
        <v>33.200000000000003</v>
      </c>
      <c r="J13" s="57">
        <v>31.09</v>
      </c>
      <c r="K13" s="57">
        <v>29.93</v>
      </c>
      <c r="L13" s="57">
        <v>28.78</v>
      </c>
      <c r="M13" s="3">
        <v>38.25</v>
      </c>
      <c r="N13" s="3">
        <v>38</v>
      </c>
      <c r="O13" s="3">
        <v>37.68</v>
      </c>
      <c r="P13" s="3">
        <v>37.44</v>
      </c>
      <c r="Q13" s="45">
        <v>37.86</v>
      </c>
      <c r="R13" s="3">
        <v>37.659999999999997</v>
      </c>
      <c r="S13" s="45">
        <v>37.97</v>
      </c>
      <c r="T13" s="3">
        <v>38.270000000000003</v>
      </c>
      <c r="U13" s="3">
        <v>30.65</v>
      </c>
      <c r="V13" s="33">
        <v>27.83</v>
      </c>
      <c r="W13" s="3">
        <v>26.52</v>
      </c>
      <c r="X13" s="3">
        <v>27.19</v>
      </c>
      <c r="Y13" s="33">
        <v>26.82</v>
      </c>
      <c r="Z13" s="3">
        <v>25.81</v>
      </c>
      <c r="AA13" s="3">
        <v>27.81</v>
      </c>
      <c r="AB13" s="33">
        <v>27.51</v>
      </c>
      <c r="AC13" s="3">
        <v>26.13</v>
      </c>
      <c r="AD13" s="3">
        <v>28.41</v>
      </c>
      <c r="AE13" s="3">
        <v>25.33</v>
      </c>
      <c r="AF13" s="38">
        <v>24.31</v>
      </c>
      <c r="AG13" s="3">
        <v>23.55</v>
      </c>
      <c r="AH13" s="53">
        <v>18.53</v>
      </c>
      <c r="AI13" s="3">
        <v>21.86</v>
      </c>
    </row>
    <row r="14" spans="1:35" s="49" customFormat="1" x14ac:dyDescent="0.3">
      <c r="A14" s="63"/>
      <c r="B14" s="47" t="s">
        <v>4</v>
      </c>
      <c r="C14" s="48">
        <v>33.33</v>
      </c>
      <c r="D14" s="48">
        <v>35.74</v>
      </c>
      <c r="E14" s="48">
        <v>37.75</v>
      </c>
      <c r="F14" s="48">
        <v>36.76</v>
      </c>
      <c r="G14" s="48">
        <v>35.409999999999997</v>
      </c>
      <c r="H14" s="48">
        <v>34.96</v>
      </c>
      <c r="I14" s="57">
        <v>32.94</v>
      </c>
      <c r="J14" s="57">
        <v>30.77</v>
      </c>
      <c r="K14" s="57">
        <v>29.6</v>
      </c>
      <c r="L14" s="57">
        <v>28.37</v>
      </c>
      <c r="M14" s="48">
        <v>37.69</v>
      </c>
      <c r="N14" s="48">
        <v>37.36</v>
      </c>
      <c r="O14" s="48">
        <v>36.99</v>
      </c>
      <c r="P14" s="48">
        <v>36.72</v>
      </c>
      <c r="Q14" s="48">
        <v>37.159999999999997</v>
      </c>
      <c r="R14" s="48">
        <v>37.07</v>
      </c>
      <c r="S14" s="48">
        <v>37.369999999999997</v>
      </c>
      <c r="T14" s="48">
        <v>37.71</v>
      </c>
      <c r="U14" s="48">
        <v>30.33</v>
      </c>
      <c r="V14" s="48">
        <v>27.5</v>
      </c>
      <c r="W14" s="48">
        <v>26.21</v>
      </c>
      <c r="X14" s="48">
        <v>26.88</v>
      </c>
      <c r="Y14" s="48">
        <v>26.61</v>
      </c>
      <c r="Z14" s="48">
        <v>25.62</v>
      </c>
      <c r="AA14" s="48">
        <v>27.73</v>
      </c>
      <c r="AB14" s="48">
        <v>27.48</v>
      </c>
      <c r="AC14" s="48">
        <v>25.99</v>
      </c>
      <c r="AD14" s="48">
        <v>28.31</v>
      </c>
      <c r="AE14" s="48">
        <v>25.46</v>
      </c>
      <c r="AF14" s="48">
        <v>24.37</v>
      </c>
      <c r="AG14" s="48">
        <v>23.54</v>
      </c>
      <c r="AH14" s="53">
        <v>18.54</v>
      </c>
      <c r="AI14" s="48">
        <v>21.87</v>
      </c>
    </row>
    <row r="15" spans="1:35" x14ac:dyDescent="0.3">
      <c r="A15" s="63"/>
      <c r="B15" s="4" t="s">
        <v>5</v>
      </c>
      <c r="C15" s="3">
        <v>2.0499999999999998</v>
      </c>
      <c r="D15" s="3">
        <v>-1.53</v>
      </c>
      <c r="E15" s="3">
        <v>4.49</v>
      </c>
      <c r="F15" s="45">
        <v>1.49</v>
      </c>
      <c r="G15" s="33">
        <v>4.8</v>
      </c>
      <c r="H15" s="3">
        <v>7.07</v>
      </c>
      <c r="I15" s="57">
        <v>7.67</v>
      </c>
      <c r="J15" s="57">
        <v>6.08</v>
      </c>
      <c r="K15" s="57">
        <v>5.32</v>
      </c>
      <c r="L15" s="57">
        <v>4.71</v>
      </c>
      <c r="M15" s="3">
        <v>7.04</v>
      </c>
      <c r="N15" s="3">
        <v>6.56</v>
      </c>
      <c r="O15" s="3">
        <v>6.04</v>
      </c>
      <c r="P15" s="3">
        <v>5.6</v>
      </c>
      <c r="Q15" s="45">
        <v>6.02</v>
      </c>
      <c r="R15" s="3">
        <v>6.75</v>
      </c>
      <c r="S15" s="45">
        <v>7.07</v>
      </c>
      <c r="T15" s="3">
        <v>7.49</v>
      </c>
      <c r="U15" s="3">
        <v>6.14</v>
      </c>
      <c r="V15" s="33">
        <v>4.8899999999999997</v>
      </c>
      <c r="W15" s="3">
        <v>4.54</v>
      </c>
      <c r="X15" s="3">
        <v>4.76</v>
      </c>
      <c r="Y15" s="33">
        <v>4.6399999999999997</v>
      </c>
      <c r="Z15" s="3">
        <v>4.29</v>
      </c>
      <c r="AA15" s="3">
        <v>4.96</v>
      </c>
      <c r="AB15" s="33">
        <v>5.04</v>
      </c>
      <c r="AC15" s="3">
        <v>4.57</v>
      </c>
      <c r="AD15" s="3">
        <v>5.24</v>
      </c>
      <c r="AE15" s="3">
        <v>6.12</v>
      </c>
      <c r="AF15" s="38">
        <v>5.31</v>
      </c>
      <c r="AG15" s="3">
        <v>4.6900000000000004</v>
      </c>
      <c r="AH15" s="53">
        <v>6.57</v>
      </c>
      <c r="AI15" s="3">
        <v>8.92</v>
      </c>
    </row>
    <row r="16" spans="1:35" x14ac:dyDescent="0.3">
      <c r="A16" s="63"/>
      <c r="B16" s="4" t="s">
        <v>56</v>
      </c>
      <c r="C16" s="3">
        <v>1.66</v>
      </c>
      <c r="D16" s="3">
        <v>-1.73</v>
      </c>
      <c r="E16" s="3">
        <v>4.26</v>
      </c>
      <c r="F16" s="45">
        <v>1.44</v>
      </c>
      <c r="G16" s="33">
        <v>4.76</v>
      </c>
      <c r="H16" s="3">
        <v>6.92</v>
      </c>
      <c r="I16" s="57">
        <v>7.56</v>
      </c>
      <c r="J16" s="57">
        <v>6.04</v>
      </c>
      <c r="K16" s="57">
        <v>5.31</v>
      </c>
      <c r="L16" s="57">
        <v>4.72</v>
      </c>
      <c r="M16" s="3">
        <v>6.74</v>
      </c>
      <c r="N16" s="3">
        <v>6.31</v>
      </c>
      <c r="O16" s="3">
        <v>5.84</v>
      </c>
      <c r="P16" s="3">
        <v>5.4740000000000002</v>
      </c>
      <c r="Q16" s="45">
        <v>6.0030000000000001</v>
      </c>
      <c r="R16" s="3">
        <v>6.57</v>
      </c>
      <c r="S16" s="45">
        <v>6.79</v>
      </c>
      <c r="T16" s="3">
        <v>7.18</v>
      </c>
      <c r="U16" s="3">
        <v>6.12</v>
      </c>
      <c r="V16" s="33">
        <v>4.91</v>
      </c>
      <c r="W16" s="3">
        <v>4.58</v>
      </c>
      <c r="X16" s="3">
        <v>4.79</v>
      </c>
      <c r="Y16" s="33">
        <v>4.6900000000000004</v>
      </c>
      <c r="Z16" s="3">
        <v>4.33</v>
      </c>
      <c r="AA16" s="3">
        <v>4.95</v>
      </c>
      <c r="AB16" s="33">
        <v>5.01</v>
      </c>
      <c r="AC16" s="3">
        <v>4.57</v>
      </c>
      <c r="AD16" s="3">
        <v>5.22</v>
      </c>
      <c r="AE16" s="3">
        <v>6.07</v>
      </c>
      <c r="AF16" s="38">
        <v>5.28</v>
      </c>
      <c r="AG16" s="3">
        <v>4.7300000000000004</v>
      </c>
      <c r="AH16" s="53">
        <v>6.52</v>
      </c>
      <c r="AI16" s="3">
        <v>8.81</v>
      </c>
    </row>
    <row r="17" spans="1:35" x14ac:dyDescent="0.3">
      <c r="A17" s="63"/>
      <c r="B17" s="4" t="s">
        <v>27</v>
      </c>
      <c r="C17" s="3">
        <v>20.21</v>
      </c>
      <c r="D17" s="3">
        <v>19.57</v>
      </c>
      <c r="E17" s="3">
        <v>17.47</v>
      </c>
      <c r="F17" s="45">
        <v>18.489999999999998</v>
      </c>
      <c r="G17" s="33">
        <v>16.78</v>
      </c>
      <c r="H17" s="3">
        <v>14.62</v>
      </c>
      <c r="I17" s="57">
        <v>4.6399999999999997</v>
      </c>
      <c r="J17" s="57">
        <v>3.38</v>
      </c>
      <c r="K17" s="57">
        <v>2.67</v>
      </c>
      <c r="L17" s="57">
        <v>2.15</v>
      </c>
      <c r="M17" s="3">
        <v>4.22</v>
      </c>
      <c r="N17" s="3">
        <v>4.7699999999999996</v>
      </c>
      <c r="O17" s="3">
        <v>5.47</v>
      </c>
      <c r="P17" s="3">
        <v>6.23</v>
      </c>
      <c r="Q17" s="45">
        <v>5.1509999999999998</v>
      </c>
      <c r="R17" s="3">
        <v>2.59</v>
      </c>
      <c r="S17" s="45">
        <v>2.66</v>
      </c>
      <c r="T17" s="3">
        <v>2.92</v>
      </c>
      <c r="U17" s="3">
        <v>3.57</v>
      </c>
      <c r="V17" s="33">
        <v>2.5299999999999998</v>
      </c>
      <c r="W17" s="3">
        <v>2.25</v>
      </c>
      <c r="X17" s="3">
        <v>2.4500000000000002</v>
      </c>
      <c r="Y17" s="33">
        <v>2.5</v>
      </c>
      <c r="Z17" s="3">
        <v>2.21</v>
      </c>
      <c r="AA17" s="3">
        <v>2.69</v>
      </c>
      <c r="AB17" s="33">
        <v>2.86</v>
      </c>
      <c r="AC17" s="3">
        <v>2.5</v>
      </c>
      <c r="AD17" s="3">
        <v>2.98</v>
      </c>
      <c r="AE17" s="3">
        <v>4.03</v>
      </c>
      <c r="AF17" s="38">
        <v>3.31</v>
      </c>
      <c r="AG17" s="3">
        <v>2.8</v>
      </c>
      <c r="AH17" s="53">
        <v>4.59</v>
      </c>
      <c r="AI17" s="3">
        <v>6.4</v>
      </c>
    </row>
    <row r="18" spans="1:35" x14ac:dyDescent="0.3">
      <c r="A18" s="63"/>
      <c r="B18" s="3" t="s">
        <v>8</v>
      </c>
      <c r="C18" s="3">
        <v>19.350000000000001</v>
      </c>
      <c r="D18" s="3">
        <v>18.75</v>
      </c>
      <c r="E18" s="3">
        <v>16.420000000000002</v>
      </c>
      <c r="F18" s="45">
        <v>17.420000000000002</v>
      </c>
      <c r="G18" s="33">
        <v>15.74</v>
      </c>
      <c r="H18" s="3">
        <v>13.57</v>
      </c>
      <c r="I18" s="57">
        <v>3.89</v>
      </c>
      <c r="J18" s="57">
        <v>2.59</v>
      </c>
      <c r="K18" s="57">
        <v>1.87</v>
      </c>
      <c r="L18" s="57">
        <v>1.41</v>
      </c>
      <c r="M18" s="3">
        <v>3.09</v>
      </c>
      <c r="N18" s="3">
        <v>3.65</v>
      </c>
      <c r="O18" s="3">
        <v>4.4000000000000004</v>
      </c>
      <c r="P18" s="3">
        <v>5.12</v>
      </c>
      <c r="Q18" s="45">
        <v>3.98</v>
      </c>
      <c r="R18" s="3">
        <v>1.5</v>
      </c>
      <c r="S18" s="45">
        <v>1.57</v>
      </c>
      <c r="T18" s="3">
        <v>1.77</v>
      </c>
      <c r="U18" s="3">
        <v>2.83</v>
      </c>
      <c r="V18" s="33">
        <v>1.85</v>
      </c>
      <c r="W18" s="3">
        <v>1.59</v>
      </c>
      <c r="X18" s="3">
        <v>1.76</v>
      </c>
      <c r="Y18" s="33">
        <v>1.9</v>
      </c>
      <c r="Z18" s="3">
        <v>1.61</v>
      </c>
      <c r="AA18" s="3">
        <v>2.06</v>
      </c>
      <c r="AB18" s="33">
        <v>2.25</v>
      </c>
      <c r="AC18" s="3">
        <v>1.9</v>
      </c>
      <c r="AD18" s="3">
        <v>2.38</v>
      </c>
      <c r="AE18" s="3">
        <v>3.39</v>
      </c>
      <c r="AF18" s="38">
        <v>2.72</v>
      </c>
      <c r="AG18" s="3">
        <v>2.15</v>
      </c>
      <c r="AH18" s="53">
        <v>3.86</v>
      </c>
      <c r="AI18" s="3">
        <v>5.51</v>
      </c>
    </row>
    <row r="19" spans="1:35" x14ac:dyDescent="0.3">
      <c r="A19" s="63"/>
      <c r="B19" s="3" t="s">
        <v>9</v>
      </c>
      <c r="C19" s="3">
        <v>20.04</v>
      </c>
      <c r="D19" s="3">
        <v>19.39</v>
      </c>
      <c r="E19" s="3">
        <v>16.86</v>
      </c>
      <c r="F19" s="45">
        <v>18.16</v>
      </c>
      <c r="G19" s="33">
        <v>16.37</v>
      </c>
      <c r="H19" s="3">
        <v>14.07</v>
      </c>
      <c r="I19" s="57">
        <v>3.47</v>
      </c>
      <c r="J19" s="57">
        <v>2.27</v>
      </c>
      <c r="K19" s="57">
        <v>1.57</v>
      </c>
      <c r="L19" s="57">
        <v>1.53</v>
      </c>
      <c r="M19" s="3">
        <v>3.2</v>
      </c>
      <c r="N19" s="3">
        <v>3.83</v>
      </c>
      <c r="O19" s="3">
        <v>4.6900000000000004</v>
      </c>
      <c r="P19" s="3">
        <v>5.57</v>
      </c>
      <c r="Q19" s="45">
        <v>4.2</v>
      </c>
      <c r="R19" s="3">
        <v>1.02</v>
      </c>
      <c r="S19" s="45">
        <v>1.1100000000000001</v>
      </c>
      <c r="T19" s="3">
        <v>1.29</v>
      </c>
      <c r="U19" s="3">
        <v>2.4900000000000002</v>
      </c>
      <c r="V19" s="33">
        <v>1.5</v>
      </c>
      <c r="W19" s="3">
        <v>1.27</v>
      </c>
      <c r="X19" s="3">
        <v>1.42</v>
      </c>
      <c r="Y19" s="33">
        <v>1.5</v>
      </c>
      <c r="Z19" s="3">
        <v>1.3</v>
      </c>
      <c r="AA19" s="3">
        <v>1.71</v>
      </c>
      <c r="AB19" s="33">
        <v>1.95</v>
      </c>
      <c r="AC19" s="3">
        <v>1.56</v>
      </c>
      <c r="AD19" s="3">
        <v>2.08</v>
      </c>
      <c r="AE19" s="3">
        <v>3.07</v>
      </c>
      <c r="AF19" s="38">
        <v>2.39</v>
      </c>
      <c r="AG19" s="3">
        <v>1.86</v>
      </c>
      <c r="AH19" s="53">
        <v>3.54</v>
      </c>
      <c r="AI19" s="3">
        <v>5.24</v>
      </c>
    </row>
    <row r="20" spans="1:35" x14ac:dyDescent="0.3">
      <c r="A20" s="63"/>
      <c r="B20" s="3" t="s">
        <v>10</v>
      </c>
      <c r="C20" s="3">
        <v>19.12</v>
      </c>
      <c r="D20" s="3">
        <v>35.17</v>
      </c>
      <c r="E20" s="3">
        <v>37.22</v>
      </c>
      <c r="F20" s="45">
        <v>36.75</v>
      </c>
      <c r="G20" s="33">
        <v>15.43</v>
      </c>
      <c r="H20" s="3">
        <v>12.93</v>
      </c>
      <c r="I20" s="57">
        <v>1.66</v>
      </c>
      <c r="J20" s="57">
        <v>0.68</v>
      </c>
      <c r="K20" s="57">
        <v>0.2</v>
      </c>
      <c r="L20" s="57">
        <v>0.55000000000000004</v>
      </c>
      <c r="M20" s="3">
        <v>32.659999999999997</v>
      </c>
      <c r="N20" s="3">
        <v>35.03</v>
      </c>
      <c r="O20" s="3">
        <v>35.82</v>
      </c>
      <c r="P20" s="3">
        <v>36.18</v>
      </c>
      <c r="Q20" s="45">
        <v>36.64</v>
      </c>
      <c r="R20" s="3">
        <v>36.64</v>
      </c>
      <c r="S20" s="45">
        <v>36.89</v>
      </c>
      <c r="T20" s="3">
        <v>37.020000000000003</v>
      </c>
      <c r="U20" s="3">
        <v>0.87</v>
      </c>
      <c r="V20" s="33">
        <v>-0.08</v>
      </c>
      <c r="W20" s="3">
        <v>-0.28000000000000003</v>
      </c>
      <c r="X20" s="3">
        <v>-0.13</v>
      </c>
      <c r="Y20" s="33">
        <v>0.02</v>
      </c>
      <c r="Z20" s="3">
        <v>-0.27</v>
      </c>
      <c r="AA20" s="3">
        <v>0.19</v>
      </c>
      <c r="AB20" s="33">
        <v>0.37</v>
      </c>
      <c r="AC20" s="3">
        <v>0.09</v>
      </c>
      <c r="AD20" s="3">
        <v>0.51</v>
      </c>
      <c r="AE20" s="3">
        <v>1.37</v>
      </c>
      <c r="AF20" s="38">
        <v>0.77</v>
      </c>
      <c r="AG20" s="3">
        <v>0.23</v>
      </c>
      <c r="AH20" s="53">
        <v>1.67</v>
      </c>
      <c r="AI20" s="3">
        <v>3.1</v>
      </c>
    </row>
    <row r="21" spans="1:35" x14ac:dyDescent="0.3">
      <c r="A21" s="64"/>
      <c r="B21" s="3" t="s">
        <v>11</v>
      </c>
      <c r="C21" s="3">
        <v>35.409999999999997</v>
      </c>
      <c r="D21" s="3">
        <v>35.54</v>
      </c>
      <c r="E21" s="3">
        <v>36.1</v>
      </c>
      <c r="F21" s="45">
        <v>36.76</v>
      </c>
      <c r="G21" s="33">
        <v>35.53</v>
      </c>
      <c r="H21" s="3">
        <v>34.869999999999997</v>
      </c>
      <c r="I21" s="57">
        <v>32.82</v>
      </c>
      <c r="J21" s="57">
        <v>33.08</v>
      </c>
      <c r="K21" s="57">
        <v>32.97</v>
      </c>
      <c r="L21" s="57">
        <v>32.909999999999997</v>
      </c>
      <c r="M21" s="3">
        <v>35.31</v>
      </c>
      <c r="N21" s="3">
        <v>35.06</v>
      </c>
      <c r="O21" s="3">
        <v>34.92</v>
      </c>
      <c r="P21" s="3">
        <v>34.82</v>
      </c>
      <c r="Q21" s="45">
        <v>34.96</v>
      </c>
      <c r="R21" s="3">
        <v>34.53</v>
      </c>
      <c r="S21" s="45">
        <v>34.68</v>
      </c>
      <c r="T21" s="3">
        <v>34.880000000000003</v>
      </c>
      <c r="U21" s="3">
        <v>32.82</v>
      </c>
      <c r="V21" s="33">
        <v>32.26</v>
      </c>
      <c r="W21" s="3">
        <v>32.04</v>
      </c>
      <c r="X21" s="3">
        <v>32.21</v>
      </c>
      <c r="Y21" s="33">
        <v>32.17</v>
      </c>
      <c r="Z21" s="3">
        <v>31.98</v>
      </c>
      <c r="AA21" s="3">
        <v>32.43</v>
      </c>
      <c r="AB21" s="33">
        <v>32.29</v>
      </c>
      <c r="AC21" s="3">
        <v>31.89</v>
      </c>
      <c r="AD21" s="3">
        <v>32.47</v>
      </c>
      <c r="AE21" s="3">
        <v>28.16</v>
      </c>
      <c r="AF21" s="38">
        <v>29.01</v>
      </c>
      <c r="AG21" s="3">
        <v>29.51</v>
      </c>
      <c r="AH21" s="53">
        <v>15.17</v>
      </c>
      <c r="AI21" s="3">
        <v>21.87</v>
      </c>
    </row>
    <row r="22" spans="1:35" x14ac:dyDescent="0.3">
      <c r="A22" s="65" t="s">
        <v>50</v>
      </c>
      <c r="B22" s="2" t="s">
        <v>13</v>
      </c>
      <c r="C22" s="8">
        <v>2.86</v>
      </c>
      <c r="D22" s="8">
        <v>2.5499999999999998</v>
      </c>
      <c r="E22" s="8">
        <v>3.05</v>
      </c>
      <c r="F22" s="46">
        <v>2.84</v>
      </c>
      <c r="G22" s="34">
        <v>3.21</v>
      </c>
      <c r="H22" s="8">
        <v>3.4</v>
      </c>
      <c r="I22" s="58">
        <v>3.55</v>
      </c>
      <c r="J22" s="58">
        <v>3.45</v>
      </c>
      <c r="K22" s="58">
        <v>3.39</v>
      </c>
      <c r="L22" s="58">
        <v>3.34</v>
      </c>
      <c r="M22" s="8">
        <v>3.3</v>
      </c>
      <c r="N22" s="8">
        <v>3.28</v>
      </c>
      <c r="O22" s="8">
        <v>3.27</v>
      </c>
      <c r="P22" s="8">
        <v>3.25</v>
      </c>
      <c r="Q22" s="46">
        <v>3.27</v>
      </c>
      <c r="R22" s="8">
        <v>3.34</v>
      </c>
      <c r="S22" s="46">
        <v>3.34</v>
      </c>
      <c r="T22" s="8">
        <v>3.36</v>
      </c>
      <c r="U22" s="8">
        <v>3.48</v>
      </c>
      <c r="V22" s="34">
        <v>3.4</v>
      </c>
      <c r="W22" s="8">
        <v>3.37</v>
      </c>
      <c r="X22" s="8">
        <v>3.39</v>
      </c>
      <c r="Y22" s="34">
        <v>3.41</v>
      </c>
      <c r="Z22" s="8">
        <v>3.38</v>
      </c>
      <c r="AA22" s="8">
        <v>3.42</v>
      </c>
      <c r="AB22" s="34">
        <v>3.44</v>
      </c>
      <c r="AC22" s="8">
        <v>3.41</v>
      </c>
      <c r="AD22" s="8">
        <v>3.4540000000000002</v>
      </c>
      <c r="AE22" s="8">
        <v>3.55</v>
      </c>
      <c r="AF22" s="39">
        <v>3.49</v>
      </c>
      <c r="AG22" s="8">
        <v>3.44</v>
      </c>
      <c r="AH22" s="54">
        <v>3.57</v>
      </c>
      <c r="AI22" s="8">
        <v>3.7</v>
      </c>
    </row>
    <row r="23" spans="1:35" x14ac:dyDescent="0.3">
      <c r="A23" s="66"/>
      <c r="B23" s="2" t="s">
        <v>61</v>
      </c>
      <c r="C23" s="8">
        <v>7.84</v>
      </c>
      <c r="D23" s="8">
        <v>8.17</v>
      </c>
      <c r="E23" s="8">
        <v>9.11</v>
      </c>
      <c r="F23" s="46">
        <v>9.2200000000000006</v>
      </c>
      <c r="G23" s="34">
        <v>8.7200000000000006</v>
      </c>
      <c r="H23" s="8">
        <v>8.5500000000000007</v>
      </c>
      <c r="I23" s="58">
        <v>8.74</v>
      </c>
      <c r="J23" s="58">
        <v>9.0399999999999991</v>
      </c>
      <c r="K23" s="58">
        <v>9.2100000000000009</v>
      </c>
      <c r="L23" s="58">
        <v>9.3800000000000008</v>
      </c>
      <c r="M23" s="8">
        <v>10.07</v>
      </c>
      <c r="N23" s="8">
        <v>10.220000000000001</v>
      </c>
      <c r="O23" s="8">
        <v>10.38</v>
      </c>
      <c r="P23" s="8">
        <v>10.54</v>
      </c>
      <c r="Q23" s="46">
        <v>10.3</v>
      </c>
      <c r="R23" s="8">
        <v>10.54</v>
      </c>
      <c r="S23" s="46">
        <v>10.32</v>
      </c>
      <c r="T23" s="8">
        <v>10.11</v>
      </c>
      <c r="U23" s="8">
        <v>9</v>
      </c>
      <c r="V23" s="34">
        <v>9.25</v>
      </c>
      <c r="W23" s="8">
        <v>9.41</v>
      </c>
      <c r="X23" s="8">
        <v>9.34</v>
      </c>
      <c r="Y23" s="34">
        <v>9.26</v>
      </c>
      <c r="Z23" s="8">
        <v>9.3800000000000008</v>
      </c>
      <c r="AA23" s="8">
        <v>9.16</v>
      </c>
      <c r="AB23" s="34">
        <v>9.15</v>
      </c>
      <c r="AC23" s="8">
        <v>9.26</v>
      </c>
      <c r="AD23" s="8">
        <v>9.08</v>
      </c>
      <c r="AE23" s="8">
        <v>9.01</v>
      </c>
      <c r="AF23" s="39">
        <v>9.1300000000000008</v>
      </c>
      <c r="AG23" s="8">
        <v>9.25</v>
      </c>
      <c r="AH23" s="54">
        <v>9.42</v>
      </c>
      <c r="AI23" s="8">
        <v>9.23</v>
      </c>
    </row>
    <row r="24" spans="1:35" x14ac:dyDescent="0.3">
      <c r="A24" s="66"/>
      <c r="B24" s="2" t="s">
        <v>107</v>
      </c>
      <c r="C24" s="8">
        <v>7.8650000000000002</v>
      </c>
      <c r="D24" s="8">
        <v>8.1020000000000003</v>
      </c>
      <c r="E24" s="8">
        <v>9.1140000000000008</v>
      </c>
      <c r="F24" s="46">
        <v>9.2219999999999995</v>
      </c>
      <c r="G24" s="34">
        <v>8.7110000000000003</v>
      </c>
      <c r="H24" s="8">
        <v>8.5229999999999997</v>
      </c>
      <c r="I24" s="58">
        <v>8.7270000000000003</v>
      </c>
      <c r="J24" s="58">
        <v>9.02</v>
      </c>
      <c r="K24" s="58">
        <v>9.1809999999999992</v>
      </c>
      <c r="L24" s="58">
        <v>9.3800000000000008</v>
      </c>
      <c r="M24" s="8">
        <v>10.087</v>
      </c>
      <c r="N24" s="8">
        <v>10.211</v>
      </c>
      <c r="O24" s="8">
        <v>10.316000000000001</v>
      </c>
      <c r="P24" s="8">
        <v>10.523</v>
      </c>
      <c r="Q24" s="46">
        <v>10.67</v>
      </c>
      <c r="R24" s="8">
        <v>10.478999999999999</v>
      </c>
      <c r="S24" s="46">
        <v>10.253</v>
      </c>
      <c r="T24" s="8">
        <v>10.101000000000001</v>
      </c>
      <c r="U24" s="8">
        <v>8.9930000000000003</v>
      </c>
      <c r="V24" s="34">
        <v>9.2469999999999999</v>
      </c>
      <c r="W24" s="8">
        <v>9.41</v>
      </c>
      <c r="X24" s="8">
        <v>9.3580000000000005</v>
      </c>
      <c r="Y24" s="34">
        <v>9.266</v>
      </c>
      <c r="Z24" s="8">
        <v>9.3710000000000004</v>
      </c>
      <c r="AA24" s="8">
        <v>9.1560000000000006</v>
      </c>
      <c r="AB24" s="34">
        <v>9.1609999999999996</v>
      </c>
      <c r="AC24" s="8">
        <v>9.25</v>
      </c>
      <c r="AD24" s="8">
        <v>9.0730000000000004</v>
      </c>
      <c r="AE24" s="8">
        <v>8.9819999999999993</v>
      </c>
      <c r="AF24" s="39">
        <v>9.1029999999999998</v>
      </c>
      <c r="AG24" s="8">
        <v>9.2360000000000007</v>
      </c>
      <c r="AH24" s="54">
        <v>9.3849999999999998</v>
      </c>
      <c r="AI24" s="8">
        <v>9.1809999999999992</v>
      </c>
    </row>
    <row r="25" spans="1:35" x14ac:dyDescent="0.3">
      <c r="A25" s="66"/>
      <c r="B25" s="2" t="s">
        <v>108</v>
      </c>
      <c r="C25" s="8">
        <v>7.7679999999999998</v>
      </c>
      <c r="D25" s="8">
        <v>8.1110000000000007</v>
      </c>
      <c r="E25" s="8">
        <v>9.0150000000000006</v>
      </c>
      <c r="F25" s="46">
        <v>9.1609999999999996</v>
      </c>
      <c r="G25" s="34">
        <v>8.6310000000000002</v>
      </c>
      <c r="H25" s="8">
        <v>8.4260000000000002</v>
      </c>
      <c r="I25" s="58">
        <v>8.5589999999999993</v>
      </c>
      <c r="J25" s="58">
        <v>8.89</v>
      </c>
      <c r="K25" s="58">
        <v>9.0839999999999996</v>
      </c>
      <c r="L25" s="58">
        <v>9.2520000000000007</v>
      </c>
      <c r="M25" s="8">
        <v>9.9209999999999994</v>
      </c>
      <c r="N25" s="8">
        <v>10.058999999999999</v>
      </c>
      <c r="O25" s="8">
        <v>10.257999999999999</v>
      </c>
      <c r="P25" s="8">
        <v>10.41</v>
      </c>
      <c r="Q25" s="46">
        <v>10.17</v>
      </c>
      <c r="R25" s="8">
        <v>10.407</v>
      </c>
      <c r="S25" s="46">
        <v>10.173</v>
      </c>
      <c r="T25" s="8">
        <v>9.952</v>
      </c>
      <c r="U25" s="8">
        <v>8.8680000000000003</v>
      </c>
      <c r="V25" s="34">
        <v>9.1389999999999993</v>
      </c>
      <c r="W25" s="8">
        <v>9.2989999999999995</v>
      </c>
      <c r="X25" s="8">
        <v>9.2140000000000004</v>
      </c>
      <c r="Y25" s="34">
        <v>9.1590000000000007</v>
      </c>
      <c r="Z25" s="8">
        <v>9.2859999999999996</v>
      </c>
      <c r="AA25" s="8">
        <v>9.0619999999999994</v>
      </c>
      <c r="AB25" s="34">
        <v>9.0419999999999998</v>
      </c>
      <c r="AC25" s="8">
        <v>9.1590000000000007</v>
      </c>
      <c r="AD25" s="8">
        <v>8.9730000000000008</v>
      </c>
      <c r="AE25" s="8">
        <v>8.8629999999999995</v>
      </c>
      <c r="AF25" s="39">
        <v>9.0060000000000002</v>
      </c>
      <c r="AG25" s="8">
        <v>9.1319999999999997</v>
      </c>
      <c r="AH25" s="54">
        <v>9.2439999999999998</v>
      </c>
      <c r="AI25" s="8">
        <v>8.9730000000000008</v>
      </c>
    </row>
    <row r="26" spans="1:35" x14ac:dyDescent="0.3">
      <c r="A26" s="66"/>
      <c r="B26" s="2" t="s">
        <v>62</v>
      </c>
      <c r="C26" s="8">
        <v>7.6189999999999998</v>
      </c>
      <c r="D26" s="8">
        <v>8.01</v>
      </c>
      <c r="E26" s="8">
        <v>8.8989999999999991</v>
      </c>
      <c r="F26" s="46">
        <v>9.0660000000000007</v>
      </c>
      <c r="G26" s="34">
        <v>8.4960000000000004</v>
      </c>
      <c r="H26" s="8">
        <v>8.2560000000000002</v>
      </c>
      <c r="I26" s="58">
        <v>8.391</v>
      </c>
      <c r="J26" s="58">
        <v>8.7609999999999992</v>
      </c>
      <c r="K26" s="58">
        <v>8.9659999999999993</v>
      </c>
      <c r="L26" s="58">
        <v>9.1549999999999994</v>
      </c>
      <c r="M26" s="8">
        <v>9.7629999999999999</v>
      </c>
      <c r="N26" s="8">
        <v>9.9429999999999996</v>
      </c>
      <c r="O26" s="8">
        <v>10.135</v>
      </c>
      <c r="P26" s="8">
        <v>10.321</v>
      </c>
      <c r="Q26" s="46">
        <v>10.051</v>
      </c>
      <c r="R26" s="8">
        <v>10.246</v>
      </c>
      <c r="S26" s="46">
        <v>10.007999999999999</v>
      </c>
      <c r="T26" s="8">
        <v>9.7729999999999997</v>
      </c>
      <c r="U26" s="8">
        <v>8.7309999999999999</v>
      </c>
      <c r="V26" s="34">
        <v>9.0150000000000006</v>
      </c>
      <c r="W26" s="8">
        <v>9.2040000000000006</v>
      </c>
      <c r="X26" s="8">
        <v>9.1120000000000001</v>
      </c>
      <c r="Y26" s="34">
        <v>9.0549999999999997</v>
      </c>
      <c r="Z26" s="8">
        <v>9.1690000000000005</v>
      </c>
      <c r="AA26" s="8">
        <v>8.9280000000000008</v>
      </c>
      <c r="AB26" s="34">
        <v>8.9280000000000008</v>
      </c>
      <c r="AC26" s="8">
        <v>9.0609999999999999</v>
      </c>
      <c r="AD26" s="8">
        <v>8.8450000000000006</v>
      </c>
      <c r="AE26" s="8">
        <v>8.718</v>
      </c>
      <c r="AF26" s="39">
        <v>8.8469999999999995</v>
      </c>
      <c r="AG26" s="8">
        <v>9.0090000000000003</v>
      </c>
      <c r="AH26" s="54">
        <v>9.0630000000000006</v>
      </c>
      <c r="AI26" s="8">
        <v>8.7289999999999992</v>
      </c>
    </row>
    <row r="27" spans="1:35" x14ac:dyDescent="0.3">
      <c r="A27" s="66"/>
      <c r="B27" s="2" t="s">
        <v>63</v>
      </c>
      <c r="C27" s="8">
        <v>3.5920000000000001</v>
      </c>
      <c r="D27" s="8">
        <v>3.1720000000000002</v>
      </c>
      <c r="E27" s="8">
        <v>3.85</v>
      </c>
      <c r="F27" s="46">
        <v>3.581</v>
      </c>
      <c r="G27" s="34">
        <v>3.9009999999999998</v>
      </c>
      <c r="H27" s="8">
        <v>4.1429999999999998</v>
      </c>
      <c r="I27" s="58">
        <v>4.2160000000000002</v>
      </c>
      <c r="J27" s="58">
        <v>4.0590000000000002</v>
      </c>
      <c r="K27" s="58">
        <v>3.9740000000000002</v>
      </c>
      <c r="L27" s="58">
        <v>3.92</v>
      </c>
      <c r="M27" s="8">
        <v>4.1239999999999997</v>
      </c>
      <c r="N27" s="8">
        <v>4.077</v>
      </c>
      <c r="O27" s="8">
        <v>4.0309999999999997</v>
      </c>
      <c r="P27" s="8">
        <v>3.996</v>
      </c>
      <c r="Q27" s="46">
        <v>4.048</v>
      </c>
      <c r="R27" s="8">
        <v>4.1070000000000002</v>
      </c>
      <c r="S27" s="46">
        <v>4.1429999999999998</v>
      </c>
      <c r="T27" s="8">
        <v>4.1719999999999997</v>
      </c>
      <c r="U27" s="8">
        <v>4.0940000000000003</v>
      </c>
      <c r="V27" s="34">
        <v>3.9550000000000001</v>
      </c>
      <c r="W27" s="8">
        <v>3.915</v>
      </c>
      <c r="X27" s="8">
        <v>3.9390000000000001</v>
      </c>
      <c r="Y27" s="34">
        <v>3.9359999999999999</v>
      </c>
      <c r="Z27" s="8">
        <v>3.8980000000000001</v>
      </c>
      <c r="AA27" s="8">
        <v>3.9609999999999999</v>
      </c>
      <c r="AB27" s="34">
        <v>3.972</v>
      </c>
      <c r="AC27" s="8">
        <v>3.9279999999999999</v>
      </c>
      <c r="AD27" s="8">
        <v>3.9910000000000001</v>
      </c>
      <c r="AE27" s="8">
        <v>4.0880000000000001</v>
      </c>
      <c r="AF27" s="39">
        <v>4.0119999999999996</v>
      </c>
      <c r="AG27" s="8">
        <v>3.9529999999999998</v>
      </c>
      <c r="AH27" s="54">
        <v>4.1589999999999998</v>
      </c>
      <c r="AI27" s="8">
        <v>4.3949999999999996</v>
      </c>
    </row>
    <row r="28" spans="1:35" x14ac:dyDescent="0.3">
      <c r="A28" s="66"/>
      <c r="B28" s="2" t="s">
        <v>109</v>
      </c>
      <c r="C28" s="8">
        <v>3.1709999999999998</v>
      </c>
      <c r="D28" s="8">
        <v>2.8149999999999999</v>
      </c>
      <c r="E28" s="8">
        <v>3.3719999999999999</v>
      </c>
      <c r="F28" s="46">
        <v>3.1280000000000001</v>
      </c>
      <c r="G28" s="34">
        <v>3.532</v>
      </c>
      <c r="H28" s="8">
        <v>3.7519999999999998</v>
      </c>
      <c r="I28" s="58">
        <v>3.89</v>
      </c>
      <c r="J28" s="58">
        <v>3.7759999999999998</v>
      </c>
      <c r="K28" s="58">
        <v>3.7</v>
      </c>
      <c r="L28" s="58">
        <v>3.6349999999999998</v>
      </c>
      <c r="M28" s="8">
        <v>3.665</v>
      </c>
      <c r="N28" s="8">
        <v>3.6379999999999999</v>
      </c>
      <c r="O28" s="8">
        <v>3.6080000000000001</v>
      </c>
      <c r="P28" s="8">
        <v>3.5840000000000001</v>
      </c>
      <c r="Q28" s="46">
        <v>3.613</v>
      </c>
      <c r="R28" s="8">
        <v>3.7</v>
      </c>
      <c r="S28" s="46">
        <v>3.6949999999999998</v>
      </c>
      <c r="T28" s="8">
        <v>3.722</v>
      </c>
      <c r="U28" s="8">
        <v>3.7930000000000001</v>
      </c>
      <c r="V28" s="34">
        <v>3.6869999999999998</v>
      </c>
      <c r="W28" s="8">
        <v>3.66</v>
      </c>
      <c r="X28" s="8">
        <v>3.681</v>
      </c>
      <c r="Y28" s="34">
        <v>3.6949999999999998</v>
      </c>
      <c r="Z28" s="8">
        <v>3.6539999999999999</v>
      </c>
      <c r="AA28" s="8">
        <v>3.706</v>
      </c>
      <c r="AB28" s="34">
        <v>3.7170000000000001</v>
      </c>
      <c r="AC28" s="8">
        <v>3.6890000000000001</v>
      </c>
      <c r="AD28" s="8">
        <v>3.738</v>
      </c>
      <c r="AE28" s="8">
        <v>3.8519999999999999</v>
      </c>
      <c r="AF28" s="39">
        <v>3.7789999999999999</v>
      </c>
      <c r="AG28" s="8">
        <v>3.7269999999999999</v>
      </c>
      <c r="AH28" s="54">
        <v>3.9009999999999998</v>
      </c>
      <c r="AI28" s="8">
        <v>4.1050000000000004</v>
      </c>
    </row>
    <row r="29" spans="1:35" x14ac:dyDescent="0.3">
      <c r="A29" s="66"/>
      <c r="B29" s="8" t="s">
        <v>8</v>
      </c>
      <c r="C29" s="8"/>
      <c r="D29" s="8"/>
      <c r="E29" s="8"/>
      <c r="F29" s="46"/>
      <c r="G29" s="34"/>
      <c r="H29" s="8"/>
      <c r="I29" s="58"/>
      <c r="J29" s="58"/>
      <c r="K29" s="58"/>
      <c r="L29" s="58"/>
      <c r="M29" s="8"/>
      <c r="N29" s="8"/>
      <c r="O29" s="8"/>
      <c r="P29" s="8"/>
      <c r="Q29" s="46"/>
      <c r="R29" s="8"/>
      <c r="S29" s="46"/>
      <c r="T29" s="8"/>
      <c r="U29" s="8"/>
      <c r="V29" s="34"/>
      <c r="W29" s="8"/>
      <c r="X29" s="8"/>
      <c r="Y29" s="34"/>
      <c r="Z29" s="8"/>
      <c r="AA29" s="8"/>
      <c r="AB29" s="34"/>
      <c r="AC29" s="8"/>
      <c r="AD29" s="8"/>
      <c r="AE29" s="8"/>
      <c r="AF29" s="39"/>
      <c r="AG29" s="8"/>
      <c r="AH29" s="54"/>
      <c r="AI29" s="8"/>
    </row>
    <row r="30" spans="1:35" s="8" customFormat="1" x14ac:dyDescent="0.3">
      <c r="A30" s="67" t="s">
        <v>58</v>
      </c>
      <c r="B30" s="11" t="s">
        <v>64</v>
      </c>
      <c r="C30" s="11">
        <v>345</v>
      </c>
      <c r="D30" s="11">
        <v>345</v>
      </c>
      <c r="E30" s="11">
        <v>345</v>
      </c>
      <c r="F30" s="42">
        <v>345</v>
      </c>
      <c r="G30" s="30">
        <v>345</v>
      </c>
      <c r="H30" s="11">
        <v>345</v>
      </c>
      <c r="I30" s="23">
        <v>345</v>
      </c>
      <c r="J30" s="23">
        <v>345</v>
      </c>
      <c r="K30" s="23">
        <v>345</v>
      </c>
      <c r="L30" s="23">
        <v>345</v>
      </c>
      <c r="M30" s="11">
        <v>345</v>
      </c>
      <c r="N30" s="11">
        <v>345</v>
      </c>
      <c r="O30" s="11">
        <v>345</v>
      </c>
      <c r="P30" s="11">
        <v>345</v>
      </c>
      <c r="Q30" s="42">
        <v>345</v>
      </c>
      <c r="R30" s="11">
        <v>345</v>
      </c>
      <c r="S30" s="42">
        <v>345</v>
      </c>
      <c r="T30" s="11">
        <v>345</v>
      </c>
      <c r="U30" s="11">
        <v>345</v>
      </c>
      <c r="V30" s="30">
        <v>345</v>
      </c>
      <c r="W30" s="11">
        <v>345</v>
      </c>
      <c r="X30" s="11">
        <v>345</v>
      </c>
      <c r="Y30" s="30">
        <v>345</v>
      </c>
      <c r="Z30" s="11">
        <v>345</v>
      </c>
      <c r="AA30" s="11">
        <v>345</v>
      </c>
      <c r="AB30" s="30">
        <v>345</v>
      </c>
      <c r="AC30" s="11">
        <v>345</v>
      </c>
      <c r="AD30" s="11">
        <v>345</v>
      </c>
      <c r="AE30" s="11">
        <v>345</v>
      </c>
      <c r="AF30" s="40">
        <v>345</v>
      </c>
      <c r="AG30" s="11">
        <v>345</v>
      </c>
      <c r="AH30" s="55">
        <v>345</v>
      </c>
      <c r="AI30" s="11">
        <v>345</v>
      </c>
    </row>
    <row r="31" spans="1:35" x14ac:dyDescent="0.3">
      <c r="A31" s="67"/>
      <c r="B31" s="11" t="s">
        <v>65</v>
      </c>
      <c r="C31" s="11">
        <v>6.4</v>
      </c>
      <c r="D31" s="11">
        <v>6.7</v>
      </c>
      <c r="E31" s="11">
        <v>7.5</v>
      </c>
      <c r="F31" s="42">
        <v>7.6</v>
      </c>
      <c r="G31" s="30">
        <v>7.15</v>
      </c>
      <c r="H31" s="11">
        <v>7</v>
      </c>
      <c r="I31" s="23">
        <v>7.1</v>
      </c>
      <c r="J31" s="23">
        <v>7.4</v>
      </c>
      <c r="K31" s="23">
        <v>7.6</v>
      </c>
      <c r="L31" s="23">
        <v>7.7</v>
      </c>
      <c r="M31" s="11">
        <v>8.4</v>
      </c>
      <c r="N31" s="11">
        <v>8.5</v>
      </c>
      <c r="O31" s="11">
        <v>8.6</v>
      </c>
      <c r="P31" s="11">
        <v>8.8000000000000007</v>
      </c>
      <c r="Q31" s="42">
        <v>8.6</v>
      </c>
      <c r="R31" s="11">
        <v>8.8000000000000007</v>
      </c>
      <c r="S31" s="42">
        <v>8.6</v>
      </c>
      <c r="T31" s="11">
        <v>8.4499999999999993</v>
      </c>
      <c r="U31" s="11">
        <v>7.4</v>
      </c>
      <c r="V31" s="30">
        <v>7.6</v>
      </c>
      <c r="W31" s="11">
        <v>7.8</v>
      </c>
      <c r="X31" s="11">
        <v>7.7</v>
      </c>
      <c r="Y31" s="30">
        <v>7.6</v>
      </c>
      <c r="Z31" s="11">
        <v>7.75</v>
      </c>
      <c r="AA31" s="11">
        <v>7.5</v>
      </c>
      <c r="AB31" s="30">
        <v>7.5</v>
      </c>
      <c r="AC31" s="11">
        <v>7.6</v>
      </c>
      <c r="AD31" s="11">
        <v>7.4</v>
      </c>
      <c r="AE31" s="11">
        <v>7.4</v>
      </c>
      <c r="AF31" s="40">
        <v>7.5</v>
      </c>
      <c r="AG31" s="11">
        <v>7.7</v>
      </c>
      <c r="AH31" s="55">
        <v>7.8</v>
      </c>
      <c r="AI31" s="11">
        <v>7.7</v>
      </c>
    </row>
    <row r="32" spans="1:35" s="6" customFormat="1" x14ac:dyDescent="0.3">
      <c r="A32" s="67"/>
      <c r="B32" s="13" t="s">
        <v>51</v>
      </c>
      <c r="C32" s="13">
        <v>300</v>
      </c>
      <c r="D32" s="13">
        <v>300</v>
      </c>
      <c r="E32" s="13">
        <v>400</v>
      </c>
      <c r="F32" s="13">
        <v>400</v>
      </c>
      <c r="G32" s="13">
        <v>400</v>
      </c>
      <c r="H32" s="13">
        <v>400</v>
      </c>
      <c r="I32" s="23">
        <v>500</v>
      </c>
      <c r="J32" s="23">
        <v>500</v>
      </c>
      <c r="K32" s="23">
        <v>500</v>
      </c>
      <c r="L32" s="23">
        <v>500</v>
      </c>
      <c r="M32" s="13">
        <v>500</v>
      </c>
      <c r="N32" s="13">
        <v>500</v>
      </c>
      <c r="O32" s="13">
        <v>500</v>
      </c>
      <c r="P32" s="13">
        <v>500</v>
      </c>
      <c r="Q32" s="13">
        <v>500</v>
      </c>
      <c r="R32" s="13">
        <v>600</v>
      </c>
      <c r="S32" s="13">
        <v>600</v>
      </c>
      <c r="T32" s="13">
        <v>600</v>
      </c>
      <c r="U32" s="13">
        <v>600</v>
      </c>
      <c r="V32" s="13">
        <v>600</v>
      </c>
      <c r="W32" s="13">
        <v>600</v>
      </c>
      <c r="X32" s="13">
        <v>600</v>
      </c>
      <c r="Y32" s="13">
        <v>700</v>
      </c>
      <c r="Z32" s="13">
        <v>700</v>
      </c>
      <c r="AA32" s="13">
        <v>700</v>
      </c>
      <c r="AB32" s="13">
        <v>800</v>
      </c>
      <c r="AC32" s="13">
        <v>800</v>
      </c>
      <c r="AD32" s="13">
        <v>800</v>
      </c>
      <c r="AE32" s="13">
        <v>900</v>
      </c>
      <c r="AF32" s="13">
        <v>900</v>
      </c>
      <c r="AG32" s="13">
        <v>900</v>
      </c>
      <c r="AH32" s="55">
        <v>1000</v>
      </c>
      <c r="AI32" s="13">
        <v>1000</v>
      </c>
    </row>
    <row r="33" spans="1:35" s="5" customFormat="1" x14ac:dyDescent="0.3">
      <c r="A33" s="67"/>
      <c r="B33" s="11" t="s">
        <v>66</v>
      </c>
      <c r="C33" s="11">
        <v>5000</v>
      </c>
      <c r="D33" s="11">
        <v>5000</v>
      </c>
      <c r="E33" s="11">
        <v>5000</v>
      </c>
      <c r="F33" s="42">
        <v>5000</v>
      </c>
      <c r="G33" s="30">
        <v>5000</v>
      </c>
      <c r="H33" s="11">
        <v>5000</v>
      </c>
      <c r="I33" s="23">
        <v>5000</v>
      </c>
      <c r="J33" s="23">
        <v>5000</v>
      </c>
      <c r="K33" s="23">
        <v>5000</v>
      </c>
      <c r="L33" s="23">
        <v>5000</v>
      </c>
      <c r="M33" s="11">
        <v>5000</v>
      </c>
      <c r="N33" s="11">
        <v>5000</v>
      </c>
      <c r="O33" s="11">
        <v>5000</v>
      </c>
      <c r="P33" s="11">
        <v>5000</v>
      </c>
      <c r="Q33" s="42">
        <v>5000</v>
      </c>
      <c r="R33" s="11">
        <v>5000</v>
      </c>
      <c r="S33" s="42">
        <v>5000</v>
      </c>
      <c r="T33" s="11">
        <v>5000</v>
      </c>
      <c r="U33" s="11">
        <v>5000</v>
      </c>
      <c r="V33" s="30">
        <v>5000</v>
      </c>
      <c r="W33" s="11">
        <v>5000</v>
      </c>
      <c r="X33" s="11">
        <v>5000</v>
      </c>
      <c r="Y33" s="30">
        <v>5000</v>
      </c>
      <c r="Z33" s="11">
        <v>5000</v>
      </c>
      <c r="AA33" s="11">
        <v>5000</v>
      </c>
      <c r="AB33" s="30">
        <v>5000</v>
      </c>
      <c r="AC33" s="11">
        <v>5000</v>
      </c>
      <c r="AD33" s="11">
        <v>5000</v>
      </c>
      <c r="AE33" s="11">
        <v>5000</v>
      </c>
      <c r="AF33" s="40">
        <v>5000</v>
      </c>
      <c r="AG33" s="11">
        <v>5000</v>
      </c>
      <c r="AH33" s="55">
        <v>5000</v>
      </c>
      <c r="AI33" s="11">
        <v>5000</v>
      </c>
    </row>
    <row r="34" spans="1:35" x14ac:dyDescent="0.3">
      <c r="A34" s="67"/>
      <c r="B34" s="11" t="s">
        <v>67</v>
      </c>
      <c r="C34" s="11">
        <v>555</v>
      </c>
      <c r="D34" s="11">
        <v>435</v>
      </c>
      <c r="E34" s="11">
        <v>410</v>
      </c>
      <c r="F34" s="42">
        <v>291</v>
      </c>
      <c r="G34" s="30">
        <v>400</v>
      </c>
      <c r="H34" s="11">
        <v>530</v>
      </c>
      <c r="I34" s="23">
        <v>500</v>
      </c>
      <c r="J34" s="23">
        <v>310</v>
      </c>
      <c r="K34" s="23">
        <v>280</v>
      </c>
      <c r="L34" s="23">
        <v>274</v>
      </c>
      <c r="M34" s="11">
        <v>400</v>
      </c>
      <c r="N34" s="11">
        <v>350</v>
      </c>
      <c r="O34" s="11">
        <v>300</v>
      </c>
      <c r="P34" s="11">
        <v>283</v>
      </c>
      <c r="Q34" s="42">
        <v>320</v>
      </c>
      <c r="R34" s="11">
        <v>340</v>
      </c>
      <c r="S34" s="42">
        <v>385</v>
      </c>
      <c r="T34" s="11">
        <v>440</v>
      </c>
      <c r="U34" s="11">
        <v>310</v>
      </c>
      <c r="V34" s="30">
        <v>275</v>
      </c>
      <c r="W34" s="11">
        <v>271</v>
      </c>
      <c r="X34" s="11">
        <v>273</v>
      </c>
      <c r="Y34" s="30">
        <v>271</v>
      </c>
      <c r="Z34" s="11">
        <v>270</v>
      </c>
      <c r="AA34" s="11">
        <v>276</v>
      </c>
      <c r="AB34" s="30">
        <v>276</v>
      </c>
      <c r="AC34" s="11">
        <v>272</v>
      </c>
      <c r="AD34" s="11">
        <v>279</v>
      </c>
      <c r="AE34" s="11">
        <v>279</v>
      </c>
      <c r="AF34" s="40">
        <v>274</v>
      </c>
      <c r="AG34" s="11">
        <v>271</v>
      </c>
      <c r="AH34" s="55">
        <v>278</v>
      </c>
      <c r="AI34" s="11">
        <v>350</v>
      </c>
    </row>
    <row r="35" spans="1:35" ht="16.5" x14ac:dyDescent="0.3">
      <c r="A35" s="67"/>
      <c r="B35" s="11" t="s">
        <v>68</v>
      </c>
      <c r="C35" s="11">
        <v>88.2</v>
      </c>
      <c r="D35" s="11">
        <v>78.900000000000006</v>
      </c>
      <c r="E35" s="11">
        <v>105.7</v>
      </c>
      <c r="F35" s="42">
        <v>92.6</v>
      </c>
      <c r="G35" s="30">
        <v>102.4</v>
      </c>
      <c r="H35" s="11">
        <v>112.2</v>
      </c>
      <c r="I35" s="23">
        <v>124.7</v>
      </c>
      <c r="J35" s="23">
        <v>117.4</v>
      </c>
      <c r="K35" s="23">
        <v>114.2</v>
      </c>
      <c r="L35" s="23">
        <v>110.6</v>
      </c>
      <c r="M35" s="11">
        <v>130.1</v>
      </c>
      <c r="N35" s="11">
        <v>130</v>
      </c>
      <c r="O35" s="11">
        <v>125.8</v>
      </c>
      <c r="P35" s="11">
        <v>124</v>
      </c>
      <c r="Q35" s="42">
        <v>127.2</v>
      </c>
      <c r="R35" s="11">
        <v>138.69999999999999</v>
      </c>
      <c r="S35" s="42">
        <v>140.4</v>
      </c>
      <c r="T35" s="11">
        <v>143.80000000000001</v>
      </c>
      <c r="U35" s="11">
        <v>118.7</v>
      </c>
      <c r="V35" s="30">
        <v>113.6</v>
      </c>
      <c r="W35" s="11">
        <v>111.8</v>
      </c>
      <c r="X35" s="11">
        <v>113.1</v>
      </c>
      <c r="Y35" s="30">
        <v>112.1</v>
      </c>
      <c r="Z35" s="11">
        <v>111.3</v>
      </c>
      <c r="AA35" s="11">
        <v>113.5</v>
      </c>
      <c r="AB35" s="30">
        <v>114.3</v>
      </c>
      <c r="AC35" s="11">
        <v>112.5</v>
      </c>
      <c r="AD35" s="11">
        <v>115</v>
      </c>
      <c r="AE35" s="11">
        <v>124.6</v>
      </c>
      <c r="AF35" s="40">
        <v>120.1</v>
      </c>
      <c r="AG35" s="11">
        <v>116.3</v>
      </c>
      <c r="AH35" s="55">
        <v>146.5</v>
      </c>
      <c r="AI35" s="11">
        <v>170.3</v>
      </c>
    </row>
    <row r="36" spans="1:35" ht="16.5" x14ac:dyDescent="0.3">
      <c r="A36" s="67"/>
      <c r="B36" s="11" t="s">
        <v>69</v>
      </c>
      <c r="C36" s="11">
        <v>485.65</v>
      </c>
      <c r="D36" s="11">
        <v>483.67099999999999</v>
      </c>
      <c r="E36" s="11">
        <v>481.92899999999997</v>
      </c>
      <c r="F36" s="42">
        <v>482.21499999999997</v>
      </c>
      <c r="G36" s="30">
        <v>483.60399999999998</v>
      </c>
      <c r="H36" s="11">
        <v>482.35199999999998</v>
      </c>
      <c r="I36" s="23">
        <v>481.92099999999999</v>
      </c>
      <c r="J36" s="23">
        <v>481.291</v>
      </c>
      <c r="K36" s="23">
        <v>481.10899999999998</v>
      </c>
      <c r="L36" s="23">
        <v>479.56299999999999</v>
      </c>
      <c r="M36" s="11">
        <v>482.51499999999999</v>
      </c>
      <c r="N36" s="11">
        <v>482.48099999999999</v>
      </c>
      <c r="O36" s="11">
        <v>480.92099999999999</v>
      </c>
      <c r="P36" s="11">
        <v>482.21100000000001</v>
      </c>
      <c r="Q36" s="42">
        <v>482.20400000000001</v>
      </c>
      <c r="R36" s="11">
        <v>482.39</v>
      </c>
      <c r="S36" s="42">
        <v>483.82499999999999</v>
      </c>
      <c r="T36" s="11">
        <v>481.26299999999998</v>
      </c>
      <c r="U36" s="11">
        <v>480.89499999999998</v>
      </c>
      <c r="V36" s="30">
        <v>479.03800000000001</v>
      </c>
      <c r="W36" s="11">
        <v>480.32400000000001</v>
      </c>
      <c r="X36" s="11">
        <v>478.80099999999999</v>
      </c>
      <c r="Y36" s="30">
        <v>481.85399999999998</v>
      </c>
      <c r="Z36" s="11">
        <v>481.577</v>
      </c>
      <c r="AA36" s="11">
        <v>480.51299999999998</v>
      </c>
      <c r="AB36" s="30">
        <v>481.75799999999998</v>
      </c>
      <c r="AC36" s="11">
        <v>481.63200000000001</v>
      </c>
      <c r="AD36" s="11">
        <v>480.49299999999999</v>
      </c>
      <c r="AE36" s="11">
        <v>481.88</v>
      </c>
      <c r="AF36" s="40">
        <v>480.46100000000001</v>
      </c>
      <c r="AG36" s="11">
        <v>478.75200000000001</v>
      </c>
      <c r="AH36" s="55">
        <v>483.35399999999998</v>
      </c>
      <c r="AI36" s="11">
        <v>481.35199999999998</v>
      </c>
    </row>
    <row r="37" spans="1:35" x14ac:dyDescent="0.3">
      <c r="A37" s="67"/>
      <c r="B37" s="11" t="s">
        <v>70</v>
      </c>
      <c r="C37" s="11">
        <v>4514.22</v>
      </c>
      <c r="D37" s="11">
        <v>4527.32</v>
      </c>
      <c r="E37" s="11">
        <v>4542.96</v>
      </c>
      <c r="F37" s="42">
        <v>4532.43</v>
      </c>
      <c r="G37" s="30">
        <v>4538.83</v>
      </c>
      <c r="H37" s="11">
        <v>4542.9399999999996</v>
      </c>
      <c r="I37" s="23">
        <v>4532.26</v>
      </c>
      <c r="J37" s="23">
        <v>4547.7700000000004</v>
      </c>
      <c r="K37" s="23">
        <v>4542.46</v>
      </c>
      <c r="L37" s="23">
        <v>4584.7299999999996</v>
      </c>
      <c r="M37" s="11">
        <v>4534.51</v>
      </c>
      <c r="N37" s="11">
        <v>4545.9399999999996</v>
      </c>
      <c r="O37" s="11">
        <v>4539.5600000000004</v>
      </c>
      <c r="P37" s="11">
        <v>4534.2</v>
      </c>
      <c r="Q37" s="42">
        <v>4544.91</v>
      </c>
      <c r="R37" s="11">
        <v>4539.84</v>
      </c>
      <c r="S37" s="42">
        <v>442.74</v>
      </c>
      <c r="T37" s="11">
        <v>4544.42</v>
      </c>
      <c r="U37" s="11">
        <v>4528.6499999999996</v>
      </c>
      <c r="V37" s="30">
        <v>4534.0600000000004</v>
      </c>
      <c r="W37" s="11">
        <v>4522.92</v>
      </c>
      <c r="X37" s="11">
        <v>4532.9399999999996</v>
      </c>
      <c r="Y37" s="30">
        <v>4528.3599999999997</v>
      </c>
      <c r="Z37" s="11">
        <v>4538.5</v>
      </c>
      <c r="AA37" s="11">
        <v>4527.09</v>
      </c>
      <c r="AB37" s="30">
        <v>4525.2299999999996</v>
      </c>
      <c r="AC37" s="11">
        <v>4531.37</v>
      </c>
      <c r="AD37" s="11">
        <v>4322.07</v>
      </c>
      <c r="AE37" s="11">
        <v>4526.62</v>
      </c>
      <c r="AF37" s="40">
        <v>4530.2299999999996</v>
      </c>
      <c r="AG37" s="11">
        <v>4534.8999999999996</v>
      </c>
      <c r="AH37" s="55">
        <v>4528.34</v>
      </c>
      <c r="AI37" s="11">
        <v>4525.92</v>
      </c>
    </row>
    <row r="38" spans="1:35" x14ac:dyDescent="0.3">
      <c r="A38" s="67"/>
      <c r="B38" s="11" t="s">
        <v>71</v>
      </c>
      <c r="C38" s="11">
        <v>1352.36</v>
      </c>
      <c r="D38" s="11">
        <v>1688.82</v>
      </c>
      <c r="E38" s="11">
        <v>3472.5</v>
      </c>
      <c r="F38" s="42">
        <v>3703.5</v>
      </c>
      <c r="G38" s="30">
        <v>3861.15</v>
      </c>
      <c r="H38" s="11">
        <v>3715.92</v>
      </c>
      <c r="I38" s="23">
        <v>4035.04</v>
      </c>
      <c r="J38" s="23">
        <v>4302.91</v>
      </c>
      <c r="K38" s="23">
        <v>4441</v>
      </c>
      <c r="L38" s="23">
        <v>4579.6099999999997</v>
      </c>
      <c r="M38" s="11">
        <v>4226</v>
      </c>
      <c r="N38" s="11">
        <v>4337.12</v>
      </c>
      <c r="O38" s="11">
        <v>4388.12</v>
      </c>
      <c r="P38" s="11">
        <v>4452.01</v>
      </c>
      <c r="Q38" s="42">
        <v>4410.21</v>
      </c>
      <c r="R38" s="11">
        <v>4384.5600000000004</v>
      </c>
      <c r="S38" s="42">
        <v>4355.3900000000003</v>
      </c>
      <c r="T38" s="11">
        <v>4203.93</v>
      </c>
      <c r="U38" s="11">
        <v>4275.5200000000004</v>
      </c>
      <c r="V38" s="30">
        <v>4471.08</v>
      </c>
      <c r="W38" s="11">
        <v>4528</v>
      </c>
      <c r="X38" s="11">
        <v>4513.34</v>
      </c>
      <c r="Y38" s="30">
        <v>4503.47</v>
      </c>
      <c r="Z38" s="11">
        <v>4517.6499999999996</v>
      </c>
      <c r="AA38" s="11">
        <v>4398.91</v>
      </c>
      <c r="AB38" s="30">
        <v>4402.34</v>
      </c>
      <c r="AC38" s="11">
        <v>4451.8599999999997</v>
      </c>
      <c r="AD38" s="11">
        <v>4322.07</v>
      </c>
      <c r="AE38" s="11">
        <v>4227.2700000000004</v>
      </c>
      <c r="AF38" s="40">
        <v>4307</v>
      </c>
      <c r="AG38" s="11">
        <v>4375.99</v>
      </c>
      <c r="AH38" s="55">
        <v>4138.6099999999997</v>
      </c>
      <c r="AI38" s="11">
        <v>3702.82</v>
      </c>
    </row>
    <row r="39" spans="1:35" x14ac:dyDescent="0.3">
      <c r="A39" s="67"/>
      <c r="B39" s="11" t="s">
        <v>52</v>
      </c>
      <c r="C39" s="11" cm="1">
        <f t="array" ref="C39">C35/3600*([2]!Enthalpy("carbon dioxide","TP","SI",C17+273.15,C28)-[2]!Enthalpy("carbon dioxide","TP","SI",C14+273.15,C26))*1000</f>
        <v>2278.7532887136404</v>
      </c>
      <c r="D39" s="11" cm="1">
        <f t="array" ref="D39">D35/3600*([2]!Enthalpy("carbon dioxide","TP","SI",D17+273.15,D28)-[2]!Enthalpy("carbon dioxide","TP","SI",D14+273.15,D26))*1000</f>
        <v>2263.0296893371592</v>
      </c>
      <c r="E39" s="11" cm="1">
        <f t="array" ref="E39">E35/3600*([2]!Enthalpy("carbon dioxide","TP","SI",E17+273.15,E28)-[2]!Enthalpy("carbon dioxide","TP","SI",E14+273.15,E26))*1000</f>
        <v>4046.3020047544856</v>
      </c>
      <c r="F39" s="11" cm="1">
        <f t="array" ref="F39">F35/3600*([2]!Enthalpy("carbon dioxide","TP","SI",F17+273.15,F28)-[2]!Enthalpy("carbon dioxide","TP","SI",F14+273.15,F26))*1000</f>
        <v>4006.6895537068231</v>
      </c>
      <c r="G39" s="11" cm="1">
        <f t="array" ref="G39">G35/3600*([2]!Enthalpy("carbon dioxide","TP","SI",G17+273.15,G28)-[2]!Enthalpy("carbon dioxide","TP","SI",G14+273.15,G26))*1000</f>
        <v>4078.3218453715094</v>
      </c>
      <c r="H39" s="11" cm="1">
        <f t="array" ref="H39">H35/3600*([2]!Enthalpy("carbon dioxide","TP","SI",H17+273.15,H28)-[2]!Enthalpy("carbon dioxide","TP","SI",H14+273.15,H26))*1000</f>
        <v>4079.350928831685</v>
      </c>
      <c r="I39" s="11" cm="1">
        <f t="array" ref="I39">I35/3600*([2]!Enthalpy("carbon dioxide","TP","SI",I17+273.15,I28)-[2]!Enthalpy("carbon dioxide","TP","SI",I14+273.15,I26))*1000</f>
        <v>4615.2018672351087</v>
      </c>
      <c r="J39" s="11" cm="1">
        <f t="array" ref="J39">J35/3600*([2]!Enthalpy("carbon dioxide","TP","SI",J17+273.15,J28)-[2]!Enthalpy("carbon dioxide","TP","SI",J14+273.15,J26))*1000</f>
        <v>4847.7186914589774</v>
      </c>
      <c r="K39" s="11" cm="1">
        <f t="array" ref="K39">K35/3600*([2]!Enthalpy("carbon dioxide","TP","SI",K17+273.15,K28)-[2]!Enthalpy("carbon dioxide","TP","SI",K14+273.15,K26))*1000</f>
        <v>4924.4865770779079</v>
      </c>
      <c r="L39" s="11" cm="1">
        <f t="array" ref="L39">L35/3600*([2]!Enthalpy("carbon dioxide","TP","SI",L17+273.15,L28)-[2]!Enthalpy("carbon dioxide","TP","SI",L14+273.15,L26))*1000</f>
        <v>4955.6959055447178</v>
      </c>
      <c r="M39" s="11" cm="1">
        <f t="array" ref="M39">M35/3600*([2]!Enthalpy("carbon dioxide","TP","SI",M17+273.15,M28)-[2]!Enthalpy("carbon dioxide","TP","SI",M14+273.15,M26))*1000</f>
        <v>4708.9536360472102</v>
      </c>
      <c r="N39" s="11" cm="1">
        <f t="array" ref="N39">N35/3600*([2]!Enthalpy("carbon dioxide","TP","SI",N17+273.15,N28)-[2]!Enthalpy("carbon dioxide","TP","SI",N14+273.15,N26))*1000</f>
        <v>4894.3535303658336</v>
      </c>
      <c r="O39" s="11" cm="1">
        <f t="array" ref="O39">O35/3600*([2]!Enthalpy("carbon dioxide","TP","SI",O17+273.15,O28)-[2]!Enthalpy("carbon dioxide","TP","SI",O14+273.15,O26))*1000</f>
        <v>4922.5777984493234</v>
      </c>
      <c r="P39" s="11" cm="1">
        <f t="array" ref="P39">P35/3600*([2]!Enthalpy("carbon dioxide","TP","SI",P17+273.15,P28)-[2]!Enthalpy("carbon dioxide","TP","SI",P14+273.15,P26))*1000</f>
        <v>5003.7624789971505</v>
      </c>
      <c r="Q39" s="11" cm="1">
        <f t="array" ref="Q39">Q35/3600*([2]!Enthalpy("carbon dioxide","TP","SI",Q17+273.15,Q28)-[2]!Enthalpy("carbon dioxide","TP","SI",Q14+273.15,Q26))*1000</f>
        <v>4901.7602944288665</v>
      </c>
      <c r="R39" s="11" cm="1">
        <f t="array" ref="R39">R35/3600*([2]!Enthalpy("carbon dioxide","TP","SI",R17+273.15,R28)-[2]!Enthalpy("carbon dioxide","TP","SI",R14+273.15,R26))*1000</f>
        <v>5158.9793107839014</v>
      </c>
      <c r="S39" s="11" cm="1">
        <f t="array" ref="S39">S35/3600*([2]!Enthalpy("carbon dioxide","TP","SI",S17+273.15,S28)-[2]!Enthalpy("carbon dioxide","TP","SI",S14+273.15,S26))*1000</f>
        <v>5100.4783029903019</v>
      </c>
      <c r="T39" s="11" cm="1">
        <f t="array" ref="T39">T35/3600*([2]!Enthalpy("carbon dioxide","TP","SI",T17+273.15,T28)-[2]!Enthalpy("carbon dioxide","TP","SI",T14+273.15,T26))*1000</f>
        <v>5048.7747334219048</v>
      </c>
      <c r="U39" s="11" cm="1">
        <f t="array" ref="U39">U35/3600*([2]!Enthalpy("carbon dioxide","TP","SI",U17+273.15,U28)-[2]!Enthalpy("carbon dioxide","TP","SI",U14+273.15,U26))*1000</f>
        <v>4951.9587633780338</v>
      </c>
      <c r="V39" s="11" cm="1">
        <f t="array" ref="V39">V35/3600*([2]!Enthalpy("carbon dioxide","TP","SI",V17+273.15,V28)-[2]!Enthalpy("carbon dioxide","TP","SI",V14+273.15,V26))*1000</f>
        <v>5144.1371305698558</v>
      </c>
      <c r="W39" s="11" cm="1">
        <f t="array" ref="W39">W35/3600*([2]!Enthalpy("carbon dioxide","TP","SI",W17+273.15,W28)-[2]!Enthalpy("carbon dioxide","TP","SI",W14+273.15,W26))*1000</f>
        <v>5221.8272276989228</v>
      </c>
      <c r="X39" s="11" cm="1">
        <f t="array" ref="X39">X35/3600*([2]!Enthalpy("carbon dioxide","TP","SI",X17+273.15,X28)-[2]!Enthalpy("carbon dioxide","TP","SI",X14+273.15,X26))*1000</f>
        <v>5198.7250667446733</v>
      </c>
      <c r="Y39" s="11" cm="1">
        <f t="array" ref="Y39">Y35/3600*([2]!Enthalpy("carbon dioxide","TP","SI",Y17+273.15,Y28)-[2]!Enthalpy("carbon dioxide","TP","SI",Y14+273.15,Y26))*1000</f>
        <v>5164.8186064598767</v>
      </c>
      <c r="Z39" s="11" cm="1">
        <f t="array" ref="Z39">Z35/3600*([2]!Enthalpy("carbon dioxide","TP","SI",Z17+273.15,Z28)-[2]!Enthalpy("carbon dioxide","TP","SI",Z14+273.15,Z26))*1000</f>
        <v>5254.855915146607</v>
      </c>
      <c r="AA39" s="11" cm="1">
        <f t="array" ref="AA39">AA35/3600*([2]!Enthalpy("carbon dioxide","TP","SI",AA17+273.15,AA28)-[2]!Enthalpy("carbon dioxide","TP","SI",AA14+273.15,AA26))*1000</f>
        <v>5096.603228924313</v>
      </c>
      <c r="AB39" s="11" cm="1">
        <f t="array" ref="AB39">AB35/3600*([2]!Enthalpy("carbon dioxide","TP","SI",AB17+273.15,AB28)-[2]!Enthalpy("carbon dioxide","TP","SI",AB14+273.15,AB26))*1000</f>
        <v>5161.0111166368415</v>
      </c>
      <c r="AC39" s="11" cm="1">
        <f t="array" ref="AC39">AC35/3600*([2]!Enthalpy("carbon dioxide","TP","SI",AC17+273.15,AC28)-[2]!Enthalpy("carbon dioxide","TP","SI",AC14+273.15,AC26))*1000</f>
        <v>5251.6378899597867</v>
      </c>
      <c r="AD39" s="11" cm="1">
        <f t="array" ref="AD39">AD35/3600*([2]!Enthalpy("carbon dioxide","TP","SI",AD17+273.15,AD28)-[2]!Enthalpy("carbon dioxide","TP","SI",AD14+273.15,AD26))*1000</f>
        <v>5076.6582068054295</v>
      </c>
      <c r="AE39" s="11" cm="1">
        <f t="array" ref="AE39">AE35/3600*([2]!Enthalpy("carbon dioxide","TP","SI",AE17+273.15,AE28)-[2]!Enthalpy("carbon dioxide","TP","SI",AE14+273.15,AE26))*1000</f>
        <v>5783.880195147939</v>
      </c>
      <c r="AF39" s="11" cm="1">
        <f t="array" ref="AF39">AF35/3600*([2]!Enthalpy("carbon dioxide","TP","SI",AF17+273.15,AF28)-[2]!Enthalpy("carbon dioxide","TP","SI",AF14+273.15,AF26))*1000</f>
        <v>5724.6067699799842</v>
      </c>
      <c r="AG39" s="11" cm="1">
        <f t="array" ref="AG39">AG35/3600*([2]!Enthalpy("carbon dioxide","TP","SI",AG17+273.15,AG28)-[2]!Enthalpy("carbon dioxide","TP","SI",AG14+273.15,AG26))*1000</f>
        <v>5654.2831834328181</v>
      </c>
      <c r="AH39" s="11" cm="1">
        <f t="array" ref="AH39">AH35/3600*([2]!Enthalpy("carbon dioxide","TP","SI",AH17+273.15,AH28)-[2]!Enthalpy("carbon dioxide","TP","SI",AH14+273.15,AH26))*1000</f>
        <v>7654.2368371091343</v>
      </c>
      <c r="AI39" s="11" cm="1">
        <f t="array" ref="AI39">AI35/3600*([2]!Enthalpy("carbon dioxide","TP","SI",AI17+273.15,AI28)-[2]!Enthalpy("carbon dioxide","TP","SI",AI14+273.15,AI26))*1000</f>
        <v>8328.0509965467663</v>
      </c>
    </row>
    <row r="40" spans="1:35" x14ac:dyDescent="0.3">
      <c r="A40" s="67"/>
      <c r="B40" s="13" t="s">
        <v>53</v>
      </c>
      <c r="C40" s="11"/>
      <c r="D40" s="11"/>
      <c r="E40" s="11"/>
      <c r="F40" s="42"/>
      <c r="G40" s="30"/>
      <c r="H40" s="11"/>
      <c r="I40" s="23"/>
      <c r="J40" s="23"/>
      <c r="K40" s="23"/>
      <c r="L40" s="23"/>
      <c r="M40" s="11"/>
      <c r="N40" s="11"/>
      <c r="O40" s="11"/>
      <c r="P40" s="11"/>
      <c r="Q40" s="42"/>
      <c r="R40" s="11"/>
      <c r="S40" s="42"/>
      <c r="T40" s="11"/>
      <c r="U40" s="11"/>
      <c r="V40" s="30"/>
      <c r="W40" s="11"/>
      <c r="X40" s="11"/>
      <c r="Y40" s="30"/>
      <c r="Z40" s="11"/>
      <c r="AA40" s="11"/>
      <c r="AB40" s="30"/>
      <c r="AC40" s="11"/>
      <c r="AD40" s="11"/>
      <c r="AE40" s="11"/>
      <c r="AF40" s="40"/>
      <c r="AG40" s="11"/>
      <c r="AH40" s="55"/>
      <c r="AI40" s="11"/>
    </row>
    <row r="41" spans="1:35" x14ac:dyDescent="0.3">
      <c r="A41" s="67"/>
      <c r="B41" s="11" t="s">
        <v>72</v>
      </c>
      <c r="C41" s="11">
        <f>C30*C31</f>
        <v>2208</v>
      </c>
      <c r="D41" s="11">
        <f t="shared" ref="D41:V41" si="0">D30*D31</f>
        <v>2311.5</v>
      </c>
      <c r="E41" s="11">
        <f t="shared" si="0"/>
        <v>2587.5</v>
      </c>
      <c r="F41" s="42">
        <f t="shared" si="0"/>
        <v>2622</v>
      </c>
      <c r="G41" s="30">
        <f t="shared" si="0"/>
        <v>2466.75</v>
      </c>
      <c r="H41" s="11">
        <f t="shared" si="0"/>
        <v>2415</v>
      </c>
      <c r="I41" s="23">
        <f t="shared" si="0"/>
        <v>2449.5</v>
      </c>
      <c r="J41" s="23">
        <f t="shared" si="0"/>
        <v>2553</v>
      </c>
      <c r="K41" s="23">
        <f t="shared" ref="K41:W41" si="1">K30*K31</f>
        <v>2622</v>
      </c>
      <c r="L41" s="23">
        <f t="shared" si="0"/>
        <v>2656.5</v>
      </c>
      <c r="M41" s="11">
        <f t="shared" si="1"/>
        <v>2898</v>
      </c>
      <c r="N41" s="11">
        <f t="shared" si="0"/>
        <v>2932.5</v>
      </c>
      <c r="O41" s="11">
        <f t="shared" si="1"/>
        <v>2967</v>
      </c>
      <c r="P41" s="11">
        <f t="shared" si="0"/>
        <v>3036.0000000000005</v>
      </c>
      <c r="Q41" s="42">
        <f t="shared" si="1"/>
        <v>2967</v>
      </c>
      <c r="R41" s="11">
        <f t="shared" si="0"/>
        <v>3036.0000000000005</v>
      </c>
      <c r="S41" s="42">
        <f t="shared" si="1"/>
        <v>2967</v>
      </c>
      <c r="T41" s="11">
        <f t="shared" si="0"/>
        <v>2915.2499999999995</v>
      </c>
      <c r="U41" s="11">
        <f t="shared" si="0"/>
        <v>2553</v>
      </c>
      <c r="V41" s="30">
        <f t="shared" si="0"/>
        <v>2622</v>
      </c>
      <c r="W41" s="11">
        <f t="shared" si="1"/>
        <v>2691</v>
      </c>
      <c r="X41" s="11">
        <f t="shared" ref="X41:AI41" si="2">X30*X31</f>
        <v>2656.5</v>
      </c>
      <c r="Y41" s="30">
        <f t="shared" si="2"/>
        <v>2622</v>
      </c>
      <c r="Z41" s="11">
        <f t="shared" si="2"/>
        <v>2673.75</v>
      </c>
      <c r="AA41" s="11">
        <f t="shared" si="2"/>
        <v>2587.5</v>
      </c>
      <c r="AB41" s="30">
        <f t="shared" si="2"/>
        <v>2587.5</v>
      </c>
      <c r="AC41" s="11">
        <f t="shared" si="2"/>
        <v>2622</v>
      </c>
      <c r="AD41" s="11">
        <f t="shared" si="2"/>
        <v>2553</v>
      </c>
      <c r="AE41" s="11">
        <f t="shared" si="2"/>
        <v>2553</v>
      </c>
      <c r="AF41" s="40">
        <f t="shared" si="2"/>
        <v>2587.5</v>
      </c>
      <c r="AG41" s="11">
        <f t="shared" si="2"/>
        <v>2656.5</v>
      </c>
      <c r="AH41" s="55">
        <f t="shared" si="2"/>
        <v>2691</v>
      </c>
      <c r="AI41" s="11">
        <f t="shared" si="2"/>
        <v>2656.5</v>
      </c>
    </row>
    <row r="42" spans="1:35" x14ac:dyDescent="0.3">
      <c r="A42" s="67"/>
      <c r="B42" s="13" t="s">
        <v>73</v>
      </c>
      <c r="C42" s="11"/>
      <c r="D42" s="11"/>
      <c r="E42" s="11"/>
      <c r="F42" s="42"/>
      <c r="G42" s="30"/>
      <c r="H42" s="11"/>
      <c r="I42" s="23"/>
      <c r="J42" s="23"/>
      <c r="K42" s="23"/>
      <c r="L42" s="23"/>
      <c r="M42" s="11"/>
      <c r="N42" s="11"/>
      <c r="O42" s="11"/>
      <c r="P42" s="11"/>
      <c r="Q42" s="42"/>
      <c r="R42" s="11"/>
      <c r="S42" s="42"/>
      <c r="T42" s="11"/>
      <c r="U42" s="11"/>
      <c r="V42" s="30"/>
      <c r="W42" s="11"/>
      <c r="X42" s="11"/>
      <c r="Y42" s="30"/>
      <c r="Z42" s="11"/>
      <c r="AA42" s="11"/>
      <c r="AB42" s="30"/>
      <c r="AC42" s="11"/>
      <c r="AD42" s="11"/>
      <c r="AE42" s="11"/>
      <c r="AF42" s="40"/>
      <c r="AG42" s="11"/>
      <c r="AH42" s="55"/>
      <c r="AI42" s="11"/>
    </row>
    <row r="43" spans="1:35" s="6" customFormat="1" x14ac:dyDescent="0.3">
      <c r="A43" s="67"/>
      <c r="B43" s="13" t="s">
        <v>74</v>
      </c>
      <c r="C43" s="13">
        <f>C38/C41</f>
        <v>0.61248188405797099</v>
      </c>
      <c r="D43" s="13">
        <f t="shared" ref="D43:G43" si="3">D38/D41</f>
        <v>0.73061648280337443</v>
      </c>
      <c r="E43" s="13">
        <f t="shared" si="3"/>
        <v>1.3420289855072465</v>
      </c>
      <c r="F43" s="13">
        <f t="shared" si="3"/>
        <v>1.4124713958810069</v>
      </c>
      <c r="G43" s="13">
        <f t="shared" si="3"/>
        <v>1.5652782000608088</v>
      </c>
      <c r="H43" s="13">
        <f t="shared" ref="H43:I43" si="4">H38/H41</f>
        <v>1.5386832298136646</v>
      </c>
      <c r="I43" s="23">
        <f t="shared" si="4"/>
        <v>1.647291283935497</v>
      </c>
      <c r="J43" s="23">
        <f t="shared" ref="J43:R43" si="5">J38/J41</f>
        <v>1.6854328241284762</v>
      </c>
      <c r="K43" s="23">
        <f t="shared" si="5"/>
        <v>1.6937452326468345</v>
      </c>
      <c r="L43" s="23">
        <f t="shared" si="5"/>
        <v>1.7239262187088273</v>
      </c>
      <c r="M43" s="13">
        <f t="shared" si="5"/>
        <v>1.4582470669427192</v>
      </c>
      <c r="N43" s="13">
        <f t="shared" si="5"/>
        <v>1.4789838022165387</v>
      </c>
      <c r="O43" s="13">
        <f t="shared" si="5"/>
        <v>1.4789753960229188</v>
      </c>
      <c r="P43" s="13">
        <f t="shared" si="5"/>
        <v>1.4664064558629775</v>
      </c>
      <c r="Q43" s="13">
        <f t="shared" si="5"/>
        <v>1.4864206268958544</v>
      </c>
      <c r="R43" s="13">
        <f t="shared" si="5"/>
        <v>1.4441897233201579</v>
      </c>
      <c r="S43" s="13">
        <f t="shared" ref="S43:W43" si="6">S38/S41</f>
        <v>1.4679440512301989</v>
      </c>
      <c r="T43" s="13">
        <f t="shared" si="6"/>
        <v>1.4420478518137385</v>
      </c>
      <c r="U43" s="13">
        <f t="shared" si="6"/>
        <v>1.6747042694868783</v>
      </c>
      <c r="V43" s="13">
        <f t="shared" si="6"/>
        <v>1.7052173913043478</v>
      </c>
      <c r="W43" s="13">
        <f t="shared" si="6"/>
        <v>1.6826458565589</v>
      </c>
      <c r="X43" s="13">
        <f t="shared" ref="X43:AE43" si="7">X38/X41</f>
        <v>1.6989798607189912</v>
      </c>
      <c r="Y43" s="13">
        <f t="shared" si="7"/>
        <v>1.7175705568268498</v>
      </c>
      <c r="Z43" s="13">
        <f t="shared" si="7"/>
        <v>1.6896306685366993</v>
      </c>
      <c r="AA43" s="13">
        <f t="shared" si="7"/>
        <v>1.7000618357487922</v>
      </c>
      <c r="AB43" s="13">
        <f t="shared" si="7"/>
        <v>1.7013874396135267</v>
      </c>
      <c r="AC43" s="13">
        <f t="shared" si="7"/>
        <v>1.6978871090770402</v>
      </c>
      <c r="AD43" s="13">
        <f t="shared" si="7"/>
        <v>1.6929377203290246</v>
      </c>
      <c r="AE43" s="13">
        <f t="shared" si="7"/>
        <v>1.6558049353701529</v>
      </c>
      <c r="AF43" s="13">
        <f t="shared" ref="AF43:AI43" si="8">AF38/AF41</f>
        <v>1.6645410628019324</v>
      </c>
      <c r="AG43" s="13">
        <f t="shared" si="8"/>
        <v>1.6472764916243177</v>
      </c>
      <c r="AH43" s="55">
        <f t="shared" si="8"/>
        <v>1.5379450018580452</v>
      </c>
      <c r="AI43" s="13">
        <f t="shared" si="8"/>
        <v>1.3938716356107661</v>
      </c>
    </row>
    <row r="44" spans="1:35" x14ac:dyDescent="0.3">
      <c r="A44" s="67"/>
      <c r="B44" s="11" t="s">
        <v>75</v>
      </c>
      <c r="C44" s="11">
        <f>C39/C41</f>
        <v>1.0320440619174096</v>
      </c>
      <c r="D44" s="11">
        <f t="shared" ref="D44:G44" si="9">D39/D41</f>
        <v>0.97903079789624015</v>
      </c>
      <c r="E44" s="11">
        <f t="shared" si="9"/>
        <v>1.5637882143978687</v>
      </c>
      <c r="F44" s="42">
        <f t="shared" si="9"/>
        <v>1.5281043301704131</v>
      </c>
      <c r="G44" s="30">
        <f t="shared" si="9"/>
        <v>1.653317865763255</v>
      </c>
      <c r="H44" s="11">
        <f t="shared" ref="H44:I44" si="10">H39/H41</f>
        <v>1.6891722272594969</v>
      </c>
      <c r="I44" s="23">
        <f t="shared" si="10"/>
        <v>1.8841403826230287</v>
      </c>
      <c r="J44" s="23">
        <f t="shared" ref="J44:R44" si="11">J39/J41</f>
        <v>1.8988322332389258</v>
      </c>
      <c r="K44" s="23">
        <f t="shared" si="11"/>
        <v>1.8781413337444348</v>
      </c>
      <c r="L44" s="23">
        <f t="shared" si="11"/>
        <v>1.8654981763767053</v>
      </c>
      <c r="M44" s="11">
        <f t="shared" si="11"/>
        <v>1.6248977350059386</v>
      </c>
      <c r="N44" s="11">
        <f t="shared" si="11"/>
        <v>1.6690037614205742</v>
      </c>
      <c r="O44" s="11">
        <f t="shared" si="11"/>
        <v>1.6591094703233311</v>
      </c>
      <c r="P44" s="11">
        <f t="shared" si="11"/>
        <v>1.6481431090240941</v>
      </c>
      <c r="Q44" s="42">
        <f t="shared" si="11"/>
        <v>1.6520931224903492</v>
      </c>
      <c r="R44" s="11">
        <f t="shared" si="11"/>
        <v>1.6992685476890319</v>
      </c>
      <c r="S44" s="42">
        <f t="shared" ref="S44:W44" si="12">S39/S41</f>
        <v>1.7190691954803849</v>
      </c>
      <c r="T44" s="11">
        <f t="shared" si="12"/>
        <v>1.7318496641529562</v>
      </c>
      <c r="U44" s="11">
        <f t="shared" si="12"/>
        <v>1.9396626570223399</v>
      </c>
      <c r="V44" s="30">
        <f t="shared" si="12"/>
        <v>1.9619134746643234</v>
      </c>
      <c r="W44" s="11">
        <f t="shared" si="12"/>
        <v>1.9404783454845496</v>
      </c>
      <c r="X44" s="11">
        <f t="shared" ref="X44:AD44" si="13">X39/X41</f>
        <v>1.9569828973253052</v>
      </c>
      <c r="Y44" s="30">
        <f t="shared" si="13"/>
        <v>1.9698011466284808</v>
      </c>
      <c r="Z44" s="11">
        <f t="shared" si="13"/>
        <v>1.9653505058986842</v>
      </c>
      <c r="AA44" s="11">
        <f t="shared" si="13"/>
        <v>1.9697017309852418</v>
      </c>
      <c r="AB44" s="30">
        <f t="shared" si="13"/>
        <v>1.9945936682654459</v>
      </c>
      <c r="AC44" s="11">
        <f t="shared" si="13"/>
        <v>2.0029130015102163</v>
      </c>
      <c r="AD44" s="11">
        <f t="shared" si="13"/>
        <v>1.9885069356856362</v>
      </c>
      <c r="AE44" s="11">
        <f t="shared" ref="AE44:AI44" si="14">AE39/AE41</f>
        <v>2.2655229906572423</v>
      </c>
      <c r="AF44" s="40">
        <f t="shared" si="14"/>
        <v>2.2124084135188347</v>
      </c>
      <c r="AG44" s="11">
        <f t="shared" si="14"/>
        <v>2.128470989434526</v>
      </c>
      <c r="AH44" s="55">
        <f t="shared" si="14"/>
        <v>2.8443838116347582</v>
      </c>
      <c r="AI44" s="11">
        <f t="shared" si="14"/>
        <v>3.1349712014104147</v>
      </c>
    </row>
    <row r="45" spans="1:35" x14ac:dyDescent="0.3">
      <c r="A45" s="67"/>
      <c r="B45" s="13" t="s">
        <v>21</v>
      </c>
      <c r="C45" s="11"/>
      <c r="D45" s="11"/>
      <c r="E45" s="11"/>
      <c r="F45" s="42"/>
      <c r="G45" s="30"/>
      <c r="H45" s="11"/>
      <c r="I45" s="23"/>
      <c r="J45" s="23"/>
      <c r="K45" s="23"/>
      <c r="L45" s="23"/>
      <c r="M45" s="11"/>
      <c r="N45" s="11"/>
      <c r="O45" s="11"/>
      <c r="P45" s="11"/>
      <c r="Q45" s="42"/>
      <c r="R45" s="11"/>
      <c r="S45" s="42"/>
      <c r="T45" s="11"/>
      <c r="U45" s="11"/>
      <c r="V45" s="30"/>
      <c r="W45" s="11"/>
      <c r="X45" s="11"/>
      <c r="Y45" s="30"/>
      <c r="Z45" s="11"/>
      <c r="AA45" s="11"/>
      <c r="AB45" s="30"/>
      <c r="AC45" s="11"/>
      <c r="AD45" s="11"/>
      <c r="AE45" s="11"/>
      <c r="AF45" s="40"/>
      <c r="AG45" s="11"/>
      <c r="AH45" s="55"/>
      <c r="AI45" s="11"/>
    </row>
    <row r="46" spans="1:35" x14ac:dyDescent="0.3">
      <c r="A46" s="67"/>
      <c r="B46" s="11" t="s">
        <v>54</v>
      </c>
      <c r="C46" s="11">
        <v>16.670000000000002</v>
      </c>
      <c r="D46" s="11">
        <v>16.29</v>
      </c>
      <c r="E46" s="11">
        <v>11.52</v>
      </c>
      <c r="F46" s="42">
        <v>11.35</v>
      </c>
      <c r="G46" s="30">
        <v>11.02</v>
      </c>
      <c r="H46" s="11">
        <v>11.37</v>
      </c>
      <c r="I46" s="23">
        <v>10.69</v>
      </c>
      <c r="J46" s="23">
        <v>9.65</v>
      </c>
      <c r="K46" s="23">
        <v>9.26</v>
      </c>
      <c r="L46" s="23">
        <v>8.91</v>
      </c>
      <c r="M46" s="11">
        <v>9.9700000000000006</v>
      </c>
      <c r="N46" s="11">
        <v>9.74</v>
      </c>
      <c r="O46" s="11">
        <v>9.56</v>
      </c>
      <c r="P46" s="11">
        <v>9.39</v>
      </c>
      <c r="Q46" s="42">
        <v>9.52</v>
      </c>
      <c r="R46" s="11">
        <v>9.81</v>
      </c>
      <c r="S46" s="42">
        <v>10.029999999999999</v>
      </c>
      <c r="T46" s="11">
        <v>10.23</v>
      </c>
      <c r="U46" s="11">
        <v>9.9600000000000009</v>
      </c>
      <c r="V46" s="30">
        <v>9.27</v>
      </c>
      <c r="W46" s="11">
        <v>9.11</v>
      </c>
      <c r="X46" s="11">
        <v>9.1999999999999993</v>
      </c>
      <c r="Y46" s="30">
        <v>9.52</v>
      </c>
      <c r="Z46" s="11">
        <v>9.39</v>
      </c>
      <c r="AA46" s="11">
        <v>9.6999999999999993</v>
      </c>
      <c r="AB46" s="30">
        <v>9.85</v>
      </c>
      <c r="AC46" s="11">
        <v>9.6199999999999992</v>
      </c>
      <c r="AD46" s="11">
        <v>9.94</v>
      </c>
      <c r="AE46" s="11">
        <v>10.4</v>
      </c>
      <c r="AF46" s="40">
        <v>10.02</v>
      </c>
      <c r="AG46" s="11">
        <v>9.75</v>
      </c>
      <c r="AH46" s="55">
        <v>10.64</v>
      </c>
      <c r="AI46" s="11">
        <v>11.81</v>
      </c>
    </row>
    <row r="47" spans="1:35" x14ac:dyDescent="0.3">
      <c r="A47" s="67"/>
      <c r="B47" s="11" t="s">
        <v>76</v>
      </c>
      <c r="C47" s="11">
        <v>16.940000000000001</v>
      </c>
      <c r="D47" s="11">
        <v>16.02</v>
      </c>
      <c r="E47" s="11">
        <v>12</v>
      </c>
      <c r="F47" s="42">
        <v>11.29</v>
      </c>
      <c r="G47" s="30">
        <v>11.06</v>
      </c>
      <c r="H47" s="11">
        <v>11.26</v>
      </c>
      <c r="I47" s="23">
        <v>10.6</v>
      </c>
      <c r="J47" s="23">
        <v>9.74</v>
      </c>
      <c r="K47" s="23">
        <v>9.33</v>
      </c>
      <c r="L47" s="23">
        <v>8.9600000000000009</v>
      </c>
      <c r="M47" s="11">
        <v>9.92</v>
      </c>
      <c r="N47" s="11">
        <v>9.68</v>
      </c>
      <c r="O47" s="11">
        <v>9.51</v>
      </c>
      <c r="P47" s="11">
        <v>9.3699999999999992</v>
      </c>
      <c r="Q47" s="42">
        <v>9.49</v>
      </c>
      <c r="R47" s="11">
        <v>9.5399999999999991</v>
      </c>
      <c r="S47" s="42">
        <v>9.8000000000000007</v>
      </c>
      <c r="T47" s="11">
        <v>9.99</v>
      </c>
      <c r="U47" s="11">
        <v>9.82</v>
      </c>
      <c r="V47" s="30">
        <v>9.26</v>
      </c>
      <c r="W47" s="11">
        <v>9.1300000000000008</v>
      </c>
      <c r="X47" s="11">
        <v>9.2100000000000009</v>
      </c>
      <c r="Y47" s="30">
        <v>9.23</v>
      </c>
      <c r="Z47" s="11">
        <v>9.18</v>
      </c>
      <c r="AA47" s="11">
        <v>9.5</v>
      </c>
      <c r="AB47" s="30">
        <v>9.5</v>
      </c>
      <c r="AC47" s="11">
        <v>9.3800000000000008</v>
      </c>
      <c r="AD47" s="11">
        <v>9.68</v>
      </c>
      <c r="AE47" s="11">
        <v>9.9700000000000006</v>
      </c>
      <c r="AF47" s="40">
        <v>9.74</v>
      </c>
      <c r="AG47" s="11">
        <v>9.49</v>
      </c>
      <c r="AH47" s="55">
        <v>10.23</v>
      </c>
      <c r="AI47" s="11">
        <v>11.29</v>
      </c>
    </row>
    <row r="48" spans="1:35" x14ac:dyDescent="0.3">
      <c r="A48" s="67"/>
      <c r="B48" s="11" t="s">
        <v>77</v>
      </c>
      <c r="C48" s="11">
        <v>39.479999999999997</v>
      </c>
      <c r="D48" s="11">
        <v>39.549999999999997</v>
      </c>
      <c r="E48" s="11">
        <v>40.97</v>
      </c>
      <c r="F48" s="42">
        <v>40.57</v>
      </c>
      <c r="G48" s="30">
        <v>40.630000000000003</v>
      </c>
      <c r="H48" s="11">
        <v>40.479999999999997</v>
      </c>
      <c r="I48" s="23">
        <v>40.700000000000003</v>
      </c>
      <c r="J48" s="23">
        <v>41.12</v>
      </c>
      <c r="K48" s="23">
        <v>41.27</v>
      </c>
      <c r="L48" s="23">
        <v>41.1</v>
      </c>
      <c r="M48" s="11">
        <v>41.19</v>
      </c>
      <c r="N48" s="11">
        <v>41.55</v>
      </c>
      <c r="O48" s="11">
        <v>41.58</v>
      </c>
      <c r="P48" s="11">
        <v>41.57</v>
      </c>
      <c r="Q48" s="42">
        <v>42.58</v>
      </c>
      <c r="R48" s="11">
        <v>41.53</v>
      </c>
      <c r="S48" s="42">
        <v>41.48</v>
      </c>
      <c r="T48" s="11">
        <v>41.42</v>
      </c>
      <c r="U48" s="11">
        <v>41.06</v>
      </c>
      <c r="V48" s="30">
        <v>41.3</v>
      </c>
      <c r="W48" s="11">
        <v>41.4</v>
      </c>
      <c r="X48" s="11">
        <v>41.41</v>
      </c>
      <c r="Y48" s="30">
        <v>41.28</v>
      </c>
      <c r="Z48" s="11">
        <v>41.4</v>
      </c>
      <c r="AA48" s="11">
        <v>41.23</v>
      </c>
      <c r="AB48" s="30">
        <v>41.26</v>
      </c>
      <c r="AC48" s="11">
        <v>41.28</v>
      </c>
      <c r="AD48" s="11">
        <v>41.15</v>
      </c>
      <c r="AE48" s="11">
        <v>41.01</v>
      </c>
      <c r="AF48" s="40">
        <v>41.06</v>
      </c>
      <c r="AG48" s="11">
        <v>41.29</v>
      </c>
      <c r="AH48" s="55">
        <v>41.2</v>
      </c>
      <c r="AI48" s="11">
        <v>40.79</v>
      </c>
    </row>
    <row r="49" spans="1:35" x14ac:dyDescent="0.3">
      <c r="A49" s="67"/>
      <c r="B49" s="11" t="s">
        <v>78</v>
      </c>
      <c r="C49" s="11">
        <v>27.46</v>
      </c>
      <c r="D49" s="11">
        <v>29.96</v>
      </c>
      <c r="E49" s="11">
        <v>31.05</v>
      </c>
      <c r="F49" s="42">
        <v>30.36</v>
      </c>
      <c r="G49" s="30">
        <v>29.85</v>
      </c>
      <c r="H49" s="11">
        <v>29.54</v>
      </c>
      <c r="I49" s="23">
        <v>29.52</v>
      </c>
      <c r="J49" s="23">
        <v>29.73</v>
      </c>
      <c r="K49" s="23">
        <v>29.73</v>
      </c>
      <c r="L49" s="23">
        <v>29.89</v>
      </c>
      <c r="M49" s="11">
        <v>29.61</v>
      </c>
      <c r="N49" s="11">
        <v>29.6</v>
      </c>
      <c r="O49" s="11">
        <v>29.63</v>
      </c>
      <c r="P49" s="11">
        <v>29.59</v>
      </c>
      <c r="Q49" s="42">
        <v>29.55</v>
      </c>
      <c r="R49" s="11">
        <v>29.51</v>
      </c>
      <c r="S49" s="42">
        <v>29.38</v>
      </c>
      <c r="T49" s="11">
        <v>29.36</v>
      </c>
      <c r="U49" s="11">
        <v>28.93</v>
      </c>
      <c r="V49" s="30">
        <v>28.46</v>
      </c>
      <c r="W49" s="11">
        <v>28.66</v>
      </c>
      <c r="X49" s="11">
        <v>28.56</v>
      </c>
      <c r="Y49" s="30">
        <v>29.18</v>
      </c>
      <c r="Z49" s="11">
        <v>29.03</v>
      </c>
      <c r="AA49" s="11">
        <v>28.99</v>
      </c>
      <c r="AB49" s="30">
        <v>28.9</v>
      </c>
      <c r="AC49" s="11">
        <v>28.87</v>
      </c>
      <c r="AD49" s="11">
        <v>28.64</v>
      </c>
      <c r="AE49" s="11">
        <v>28.53</v>
      </c>
      <c r="AF49" s="40">
        <v>29.17</v>
      </c>
      <c r="AG49" s="11">
        <v>2.75</v>
      </c>
      <c r="AH49" s="55">
        <v>28.52</v>
      </c>
      <c r="AI49" s="11">
        <v>28.4</v>
      </c>
    </row>
    <row r="50" spans="1:35" ht="13.5" customHeight="1" x14ac:dyDescent="0.3">
      <c r="A50" s="67"/>
      <c r="B50" s="11" t="s">
        <v>79</v>
      </c>
      <c r="C50" s="11">
        <f>C38/C39</f>
        <v>0.59346485935886861</v>
      </c>
      <c r="D50" s="11">
        <f t="shared" ref="D50:K50" si="15">D38/D39</f>
        <v>0.74626506579091978</v>
      </c>
      <c r="E50" s="11">
        <f t="shared" si="15"/>
        <v>0.85819100895576828</v>
      </c>
      <c r="F50" s="42">
        <f t="shared" si="15"/>
        <v>0.92432916260599107</v>
      </c>
      <c r="G50" s="30">
        <f t="shared" si="15"/>
        <v>0.94674970401907399</v>
      </c>
      <c r="H50" s="11">
        <f t="shared" si="15"/>
        <v>0.9109096189143574</v>
      </c>
      <c r="I50" s="23">
        <f t="shared" si="15"/>
        <v>0.87429328468731227</v>
      </c>
      <c r="J50" s="23">
        <f t="shared" si="15"/>
        <v>0.88761544839248685</v>
      </c>
      <c r="K50" s="23">
        <f t="shared" si="15"/>
        <v>0.9018199015246785</v>
      </c>
      <c r="L50" s="23">
        <f t="shared" ref="L50:R50" si="16">L38/L39</f>
        <v>0.92411037466525503</v>
      </c>
      <c r="M50" s="11">
        <f t="shared" si="16"/>
        <v>0.89743928834843845</v>
      </c>
      <c r="N50" s="11">
        <f t="shared" si="16"/>
        <v>0.88614767468091282</v>
      </c>
      <c r="O50" s="11">
        <f t="shared" si="16"/>
        <v>0.89142725207559248</v>
      </c>
      <c r="P50" s="11">
        <f t="shared" si="16"/>
        <v>0.8897324800461488</v>
      </c>
      <c r="Q50" s="42">
        <f t="shared" si="16"/>
        <v>0.8997196384760916</v>
      </c>
      <c r="R50" s="11">
        <f t="shared" si="16"/>
        <v>0.84988904507426122</v>
      </c>
      <c r="S50" s="42">
        <f t="shared" ref="S50:W50" si="17">S38/S39</f>
        <v>0.85391795460565489</v>
      </c>
      <c r="T50" s="11">
        <f t="shared" si="17"/>
        <v>0.83266341280208112</v>
      </c>
      <c r="U50" s="11">
        <f t="shared" si="17"/>
        <v>0.86339975841870842</v>
      </c>
      <c r="V50" s="30">
        <f t="shared" si="17"/>
        <v>0.86916034439087819</v>
      </c>
      <c r="W50" s="11">
        <f t="shared" si="17"/>
        <v>0.86712941707099178</v>
      </c>
      <c r="X50" s="11">
        <f t="shared" ref="X50:AD50" si="18">X38/X39</f>
        <v>0.86816285571072793</v>
      </c>
      <c r="Y50" s="30">
        <f t="shared" si="18"/>
        <v>0.87195124226963228</v>
      </c>
      <c r="Z50" s="11">
        <f t="shared" si="18"/>
        <v>0.85970958537194453</v>
      </c>
      <c r="AA50" s="11">
        <f t="shared" si="18"/>
        <v>0.86310623025061972</v>
      </c>
      <c r="AB50" s="30">
        <f t="shared" si="18"/>
        <v>0.85299951899130433</v>
      </c>
      <c r="AC50" s="11">
        <f t="shared" si="18"/>
        <v>0.84770886593517381</v>
      </c>
      <c r="AD50" s="11">
        <f t="shared" si="18"/>
        <v>0.85136123487811743</v>
      </c>
      <c r="AE50" s="11">
        <f t="shared" ref="AE50:AI50" si="19">AE38/AE39</f>
        <v>0.73087094776724992</v>
      </c>
      <c r="AF50" s="40">
        <f t="shared" si="19"/>
        <v>0.75236608784834658</v>
      </c>
      <c r="AG50" s="11">
        <f t="shared" si="19"/>
        <v>0.77392480320436596</v>
      </c>
      <c r="AH50" s="55">
        <f t="shared" si="19"/>
        <v>0.54069531529717829</v>
      </c>
      <c r="AI50" s="11">
        <f t="shared" si="19"/>
        <v>0.4446202360594787</v>
      </c>
    </row>
    <row r="51" spans="1:35" x14ac:dyDescent="0.3">
      <c r="A51" s="67"/>
      <c r="B51" s="11" t="s">
        <v>80</v>
      </c>
      <c r="C51" s="11" cm="1">
        <f t="array" ref="C51">C35/3600*([2]!Enthalpy("carbon dioxide","TP","SI",C9+273.15,C23)-[2]!Enthalpy("carbon dioxide","TP","SI",C8+273.15,C22))*1000</f>
        <v>1900.9717399021049</v>
      </c>
      <c r="D51" s="11" cm="1">
        <f t="array" ref="D51">D35/3600*([2]!Enthalpy("carbon dioxide","TP","SI",D9+273.15,D23)-[2]!Enthalpy("carbon dioxide","TP","SI",D8+273.15,D22))*1000</f>
        <v>1974.8454512707347</v>
      </c>
      <c r="E51" s="11" cm="1">
        <f t="array" ref="E51">E35/3600*([2]!Enthalpy("carbon dioxide","TP","SI",E9+273.15,E23)-[2]!Enthalpy("carbon dioxide","TP","SI",E8+273.15,E22))*1000</f>
        <v>2308.9834508739605</v>
      </c>
      <c r="F51" s="42" cm="1">
        <f t="array" ref="F51">F35/3600*([2]!Enthalpy("carbon dioxide","TP","SI",F9+273.15,F23)-[2]!Enthalpy("carbon dioxide","TP","SI",F8+273.15,F22))*1000</f>
        <v>2308.1413816427162</v>
      </c>
      <c r="G51" s="30" cm="1">
        <f t="array" ref="G51">G35/3600*([2]!Enthalpy("carbon dioxide","TP","SI",G9+273.15,G23)-[2]!Enthalpy("carbon dioxide","TP","SI",G8+273.15,G22))*1000</f>
        <v>2179.7111545653252</v>
      </c>
      <c r="H51" s="11" cm="1">
        <f t="array" ref="H51">H35/3600*([2]!Enthalpy("carbon dioxide","TP","SI",H9+273.15,H23)-[2]!Enthalpy("carbon dioxide","TP","SI",H8+273.15,H22))*1000</f>
        <v>2121.5073366808269</v>
      </c>
      <c r="I51" s="23" cm="1">
        <f t="array" ref="I51">I35/3600*([2]!Enthalpy("carbon dioxide","TP","SI",I9+273.15,I23)-[2]!Enthalpy("carbon dioxide","TP","SI",I8+273.15,I22))*1000</f>
        <v>2164.2123211840708</v>
      </c>
      <c r="J51" s="23" cm="1">
        <f t="array" ref="J51">J35/3600*([2]!Enthalpy("carbon dioxide","TP","SI",J9+273.15,J23)-[2]!Enthalpy("carbon dioxide","TP","SI",J8+273.15,J22))*1000</f>
        <v>2257.335108989575</v>
      </c>
      <c r="K51" s="23" cm="1">
        <f t="array" ref="K51">K35/3600*([2]!Enthalpy("carbon dioxide","TP","SI",K9+273.15,K23)-[2]!Enthalpy("carbon dioxide","TP","SI",K8+273.15,K22))*1000</f>
        <v>2304.9962277361237</v>
      </c>
      <c r="L51" s="23" cm="1">
        <f t="array" ref="L51">L35/3600*([2]!Enthalpy("carbon dioxide","TP","SI",L9+273.15,L23)-[2]!Enthalpy("carbon dioxide","TP","SI",L8+273.15,L22))*1000</f>
        <v>2329.0226286708853</v>
      </c>
      <c r="M51" s="11" cm="1">
        <f t="array" ref="M51">M35/3600*([2]!Enthalpy("carbon dioxide","TP","SI",M9+273.15,M23)-[2]!Enthalpy("carbon dioxide","TP","SI",M8+273.15,M22))*1000</f>
        <v>2383.0289912162953</v>
      </c>
      <c r="N51" s="11" cm="1">
        <f t="array" ref="N51">N35/3600*([2]!Enthalpy("carbon dioxide","TP","SI",N9+273.15,N23)-[2]!Enthalpy("carbon dioxide","TP","SI",N8+273.15,N22))*1000</f>
        <v>2514.0454030244841</v>
      </c>
      <c r="O51" s="11" cm="1">
        <f t="array" ref="O51">O35/3600*([2]!Enthalpy("carbon dioxide","TP","SI",O9+273.15,O23)-[2]!Enthalpy("carbon dioxide","TP","SI",O8+273.15,O22))*1000</f>
        <v>2591.2336925183654</v>
      </c>
      <c r="P51" s="11" cm="1">
        <f t="array" ref="P51">P35/3600*([2]!Enthalpy("carbon dioxide","TP","SI",P9+273.15,P23)-[2]!Enthalpy("carbon dioxide","TP","SI",P8+273.15,P22))*1000</f>
        <v>2688.6262064822536</v>
      </c>
      <c r="Q51" s="42" cm="1">
        <f t="array" ref="Q51">Q35/3600*([2]!Enthalpy("carbon dioxide","TP","SI",Q9+273.15,Q23)-[2]!Enthalpy("carbon dioxide","TP","SI",Q8+273.15,Q22))*1000</f>
        <v>2561.4782825810021</v>
      </c>
      <c r="R51" s="11" cm="1">
        <f t="array" ref="R51">R35/3600*([2]!Enthalpy("carbon dioxide","TP","SI",R9+273.15,R23)-[2]!Enthalpy("carbon dioxide","TP","SI",R8+273.15,R22))*1000</f>
        <v>2450.981095334027</v>
      </c>
      <c r="S51" s="42" cm="1">
        <f t="array" ref="S51">S35/3600*([2]!Enthalpy("carbon dioxide","TP","SI",S9+273.15,S23)-[2]!Enthalpy("carbon dioxide","TP","SI",S8+273.15,S22))*1000</f>
        <v>2364.5741052652165</v>
      </c>
      <c r="T51" s="11" cm="1">
        <f t="array" ref="T51">T35/3600*([2]!Enthalpy("carbon dioxide","TP","SI",T9+273.15,T23)-[2]!Enthalpy("carbon dioxide","TP","SI",T8+273.15,T22))*1000</f>
        <v>2302.9581013271659</v>
      </c>
      <c r="U51" s="11" cm="1">
        <f t="array" ref="U51">U35/3600*([2]!Enthalpy("carbon dioxide","TP","SI",U9+273.15,U23)-[2]!Enthalpy("carbon dioxide","TP","SI",U8+273.15,U22))*1000</f>
        <v>2256.6989416128381</v>
      </c>
      <c r="V51" s="30" cm="1">
        <f t="array" ref="V51">V35/3600*([2]!Enthalpy("carbon dioxide","TP","SI",V9+273.15,V23)-[2]!Enthalpy("carbon dioxide","TP","SI",V8+273.15,V22))*1000</f>
        <v>2329.7350057494787</v>
      </c>
      <c r="W51" s="11" cm="1">
        <f t="array" ref="W51">W35/3600*([2]!Enthalpy("carbon dioxide","TP","SI",W9+273.15,W23)-[2]!Enthalpy("carbon dioxide","TP","SI",W8+273.15,W22))*1000</f>
        <v>2373.8397895734993</v>
      </c>
      <c r="X51" s="11" cm="1">
        <f t="array" ref="X51">X35/3600*([2]!Enthalpy("carbon dioxide","TP","SI",X9+273.15,X23)-[2]!Enthalpy("carbon dioxide","TP","SI",X8+273.15,X22))*1000</f>
        <v>2362.8888154452802</v>
      </c>
      <c r="Y51" s="30" cm="1">
        <f t="array" ref="Y51">Y35/3600*([2]!Enthalpy("carbon dioxide","TP","SI",Y9+273.15,Y24)-[2]!Enthalpy("carbon dioxide","TP","SI",Y8+273.15,Y22))*1000</f>
        <v>2347.3290254909084</v>
      </c>
      <c r="Z51" s="11" cm="1">
        <f t="array" ref="Z51">Z35/3600*([2]!Enthalpy("carbon dioxide","TP","SI",Z9+273.15,Z23)-[2]!Enthalpy("carbon dioxide","TP","SI",Z8+273.15,Z22))*1000</f>
        <v>2400.3994380142258</v>
      </c>
      <c r="AA51" s="11" cm="1">
        <f t="array" ref="AA51">AA35/3600*([2]!Enthalpy("carbon dioxide","TP","SI",AA9+273.15,AA23)-[2]!Enthalpy("carbon dioxide","TP","SI",AA8+273.15,AA22))*1000</f>
        <v>2325.5453776372015</v>
      </c>
      <c r="AB51" s="30" cm="1">
        <f t="array" ref="AB51">AB35/3600*([2]!Enthalpy("carbon dioxide","TP","SI",AB9+273.15,AB23)-[2]!Enthalpy("carbon dioxide","TP","SI",AB8+273.15,AB22))*1000</f>
        <v>2337.6835875061729</v>
      </c>
      <c r="AC51" s="11" cm="1">
        <f t="array" ref="AC51">AC35/3600*([2]!Enthalpy("carbon dioxide","TP","SI",AC9+273.15,AC23)-[2]!Enthalpy("carbon dioxide","TP","SI",AC8+273.15,AC22))*1000</f>
        <v>2357.51833689765</v>
      </c>
      <c r="AD51" s="11" cm="1">
        <f t="array" ref="AD51">AD35/3600*([2]!Enthalpy("carbon dioxide","TP","SI",AD9+273.15,AD23)-[2]!Enthalpy("carbon dioxide","TP","SI",AD8+273.15,AD22))*1000</f>
        <v>2312.6111029475378</v>
      </c>
      <c r="AE51" s="11" cm="1">
        <f t="array" ref="AE51">AE35/3600*([2]!Enthalpy("carbon dioxide","TP","SI",AE9+273.15,AE23)-[2]!Enthalpy("carbon dioxide","TP","SI",AE8+273.15,AE22))*1000</f>
        <v>2297.098676421861</v>
      </c>
      <c r="AF51" s="40" cm="1">
        <f t="array" ref="AF51">AF35/3600*([2]!Enthalpy("carbon dioxide","TP","SI",AF9+273.15,AF23)-[2]!Enthalpy("carbon dioxide","TP","SI",AF8+273.15,AF22))*1000</f>
        <v>2332.517558795003</v>
      </c>
      <c r="AG51" s="11" cm="1">
        <f t="array" ref="AG51">AG35/3600*([2]!Enthalpy("carbon dioxide","TP","SI",AG9+273.15,AG23)-[2]!Enthalpy("carbon dioxide","TP","SI",AG8+273.15,AG22))*1000</f>
        <v>2350.2302162392984</v>
      </c>
      <c r="AH51" s="55" cm="1">
        <f t="array" ref="AH51">AH35/3600*([2]!Enthalpy("carbon dioxide","TP","SI",AH9+273.15,AH23)-[2]!Enthalpy("carbon dioxide","TP","SI",AH8+273.15,AH22))*1000</f>
        <v>2420.1234175686968</v>
      </c>
      <c r="AI51" s="11" cm="1">
        <f t="array" ref="AI51">AI35/3600*([2]!Enthalpy("carbon dioxide","TP","SI",AI9+273.15,AI23)-[2]!Enthalpy("carbon dioxide","TP","SI",AI8+273.15,AI22))*1000</f>
        <v>2185.5259825585722</v>
      </c>
    </row>
    <row r="52" spans="1:35" x14ac:dyDescent="0.3">
      <c r="A52" s="67"/>
      <c r="B52" s="11" t="s">
        <v>81</v>
      </c>
      <c r="C52" s="11" t="e" cm="1">
        <f t="array" aca="1" ref="C52" ca="1">C35/3600*1000*([2]!Enthalpy("carbon dioxide","PS","SI",C23,[1]!Entropy("carbon dioxide","TP","SI",C8+273.15,C22))-[2]!Enthalpy("carbon dioxide","TP","SI",C8+273.15,C22))</f>
        <v>#VALUE!</v>
      </c>
      <c r="D52" s="11" t="e" cm="1">
        <f t="array" aca="1" ref="D52" ca="1">D35/3600*1000*([2]!Enthalpy("carbon dioxide","PS","SI",D23,[1]!Entropy("carbon dioxide","TP","SI",D8+273.15,D22))-[2]!Enthalpy("carbon dioxide","TP","SI",D8+273.15,D22))</f>
        <v>#VALUE!</v>
      </c>
      <c r="E52" s="11" t="e" cm="1">
        <f t="array" aca="1" ref="E52" ca="1">E35/3600*1000*([2]!Enthalpy("carbon dioxide","PS","SI",E23,[1]!Entropy("carbon dioxide","TP","SI",E8+273.15,E22))-[2]!Enthalpy("carbon dioxide","TP","SI",E8+273.15,E22))</f>
        <v>#VALUE!</v>
      </c>
      <c r="F52" s="42" t="e" cm="1">
        <f t="array" aca="1" ref="F52" ca="1">F35/3600*1000*([2]!Enthalpy("carbon dioxide","PS","SI",F23,[1]!Entropy("carbon dioxide","TP","SI",F8+273.15,F22))-[2]!Enthalpy("carbon dioxide","TP","SI",F8+273.15,F22))</f>
        <v>#VALUE!</v>
      </c>
      <c r="G52" s="30" t="e" cm="1">
        <f t="array" aca="1" ref="G52" ca="1">G35/3600*1000*([2]!Enthalpy("carbon dioxide","PS","SI",G23,[1]!Entropy("carbon dioxide","TP","SI",G8+273.15,G22))-[2]!Enthalpy("carbon dioxide","TP","SI",G8+273.15,G22))</f>
        <v>#VALUE!</v>
      </c>
      <c r="H52" s="11" t="e">
        <f ca="1">H35/3600*1000*([1]!Enthalpy("carbon dioxide","PS","SI",H23,[1]!Entropy("carbon dioxide","TP","SI",H8+273.15,H22))-[1]!Enthalpy("carbon dioxide","TP","SI",H8+273.15,H22))</f>
        <v>#NAME?</v>
      </c>
      <c r="I52" s="23" t="e">
        <f ca="1">I35/3600*1000*([1]!Enthalpy("carbon dioxide","PS","SI",I23,[1]!Entropy("carbon dioxide","TP","SI",I8+273.15,I22))-[1]!Enthalpy("carbon dioxide","TP","SI",I8+273.15,I22))</f>
        <v>#NAME?</v>
      </c>
      <c r="J52" s="23" t="e">
        <f ca="1">J35/3600*1000*([1]!Enthalpy("carbon dioxide","PS","SI",J23,[1]!Entropy("carbon dioxide","TP","SI",J8+273.15,J22))-[1]!Enthalpy("carbon dioxide","TP","SI",J8+273.15,J22))</f>
        <v>#NAME?</v>
      </c>
      <c r="K52" s="23" t="e">
        <f ca="1">K35/3600*1000*([1]!Enthalpy("carbon dioxide","PS","SI",K23,[1]!Entropy("carbon dioxide","TP","SI",K8+273.15,K22))-[1]!Enthalpy("carbon dioxide","TP","SI",K8+273.15,K22))</f>
        <v>#NAME?</v>
      </c>
      <c r="L52" s="23" t="e">
        <f ca="1">L35/3600*1000*([1]!Enthalpy("carbon dioxide","PS","SI",L23,[1]!Entropy("carbon dioxide","TP","SI",L8+273.15,L22))-[1]!Enthalpy("carbon dioxide","TP","SI",L8+273.15,L22))</f>
        <v>#NAME?</v>
      </c>
      <c r="M52" s="11" t="e">
        <f ca="1">M35/3600*1000*([1]!Enthalpy("carbon dioxide","PS","SI",M23,[1]!Entropy("carbon dioxide","TP","SI",M8+273.15,M22))-[1]!Enthalpy("carbon dioxide","TP","SI",M8+273.15,M22))</f>
        <v>#NAME?</v>
      </c>
      <c r="N52" s="11" t="e">
        <f ca="1">N35/3600*1000*([1]!Enthalpy("carbon dioxide","PS","SI",N23,[1]!Entropy("carbon dioxide","TP","SI",N8+273.15,N22))-[1]!Enthalpy("carbon dioxide","TP","SI",N8+273.15,N22))</f>
        <v>#NAME?</v>
      </c>
      <c r="O52" s="11" t="e">
        <f ca="1">O35/3600*1000*([1]!Enthalpy("carbon dioxide","PS","SI",O23,[1]!Entropy("carbon dioxide","TP","SI",O8+273.15,O22))-[1]!Enthalpy("carbon dioxide","TP","SI",O8+273.15,O22))</f>
        <v>#NAME?</v>
      </c>
      <c r="P52" s="11" t="e">
        <f ca="1">P35/3600*1000*([1]!Enthalpy("carbon dioxide","PS","SI",P23,[1]!Entropy("carbon dioxide","TP","SI",P8+273.15,P22))-[1]!Enthalpy("carbon dioxide","TP","SI",P8+273.15,P22))</f>
        <v>#NAME?</v>
      </c>
      <c r="Q52" s="42" t="e">
        <f ca="1">Q35/3600*1000*([1]!Enthalpy("carbon dioxide","PS","SI",Q23,[1]!Entropy("carbon dioxide","TP","SI",Q8+273.15,Q22))-[1]!Enthalpy("carbon dioxide","TP","SI",Q8+273.15,Q22))</f>
        <v>#NAME?</v>
      </c>
      <c r="R52" s="11" t="e">
        <f ca="1">R35/3600*1000*([1]!Enthalpy("carbon dioxide","PS","SI",R23,[1]!Entropy("carbon dioxide","TP","SI",R8+273.15,R22))-[1]!Enthalpy("carbon dioxide","TP","SI",R8+273.15,R22))</f>
        <v>#NAME?</v>
      </c>
      <c r="S52" s="42" t="e">
        <f ca="1">S35/3600*1000*([1]!Enthalpy("carbon dioxide","PS","SI",S23,[1]!Entropy("carbon dioxide","TP","SI",S8+273.15,S22))-[1]!Enthalpy("carbon dioxide","TP","SI",S8+273.15,S22))</f>
        <v>#NAME?</v>
      </c>
      <c r="T52" s="11" t="e">
        <f ca="1">T35/3600*1000*([1]!Enthalpy("carbon dioxide","PS","SI",T23,[1]!Entropy("carbon dioxide","TP","SI",T8+273.15,T22))-[1]!Enthalpy("carbon dioxide","TP","SI",T8+273.15,T22))</f>
        <v>#NAME?</v>
      </c>
      <c r="U52" s="11" t="e">
        <f ca="1">U35/3600*1000*([1]!Enthalpy("carbon dioxide","PS","SI",U23,[1]!Entropy("carbon dioxide","TP","SI",U8+273.15,U22))-[1]!Enthalpy("carbon dioxide","TP","SI",U8+273.15,U22))</f>
        <v>#NAME?</v>
      </c>
      <c r="V52" s="30" t="e">
        <f ca="1">V35/3600*1000*([1]!Enthalpy("carbon dioxide","PS","SI",V23,[1]!Entropy("carbon dioxide","TP","SI",V8+273.15,V22))-[1]!Enthalpy("carbon dioxide","TP","SI",V8+273.15,V22))</f>
        <v>#NAME?</v>
      </c>
      <c r="W52" s="11" t="e">
        <f ca="1">W35/3600*1000*([1]!Enthalpy("carbon dioxide","PS","SI",W23,[1]!Entropy("carbon dioxide","TP","SI",W8+273.15,W22))-[1]!Enthalpy("carbon dioxide","TP","SI",W8+273.15,W22))</f>
        <v>#NAME?</v>
      </c>
      <c r="X52" s="11" t="e">
        <f ca="1">X35/3600*1000*([1]!Enthalpy("carbon dioxide","PS","SI",X23,[1]!Entropy("carbon dioxide","TP","SI",X8+273.15,X22))-[1]!Enthalpy("carbon dioxide","TP","SI",X8+273.15,X22))</f>
        <v>#NAME?</v>
      </c>
      <c r="Y52" s="30" t="e">
        <f ca="1">Y35/3600*1000*([1]!Enthalpy("carbon dioxide","PS","SI",Y24,[1]!Entropy("carbon dioxide","TP","SI",Y8+273.15,Y22))-[1]!Enthalpy("carbon dioxide","TP","SI",Y8+273.15,Y22))</f>
        <v>#NAME?</v>
      </c>
      <c r="Z52" s="11" t="e">
        <f ca="1">Z35/3600*1000*([1]!Enthalpy("carbon dioxide","PS","SI",Z23,[1]!Entropy("carbon dioxide","TP","SI",Z8+273.15,Z22))-[1]!Enthalpy("carbon dioxide","TP","SI",Z8+273.15,Z22))</f>
        <v>#NAME?</v>
      </c>
      <c r="AA52" s="11" t="e">
        <f ca="1">AA35/3600*1000*([1]!Enthalpy("carbon dioxide","PS","SI",AA23,[1]!Entropy("carbon dioxide","TP","SI",AA8+273.15,AA22))-[1]!Enthalpy("carbon dioxide","TP","SI",AA8+273.15,AA22))</f>
        <v>#NAME?</v>
      </c>
      <c r="AB52" s="30" t="e">
        <f ca="1">AB35/3600*1000*([1]!Enthalpy("carbon dioxide","PS","SI",AB23,[1]!Entropy("carbon dioxide","TP","SI",AB8+273.15,AB22))-[1]!Enthalpy("carbon dioxide","TP","SI",AB8+273.15,AB22))</f>
        <v>#NAME?</v>
      </c>
      <c r="AC52" s="11" t="e">
        <f ca="1">AC35/3600*1000*([1]!Enthalpy("carbon dioxide","PS","SI",AC23,[1]!Entropy("carbon dioxide","TP","SI",AC8+273.15,AC22))-[1]!Enthalpy("carbon dioxide","TP","SI",AC8+273.15,AC22))</f>
        <v>#NAME?</v>
      </c>
      <c r="AD52" s="11" t="e">
        <f ca="1">AD35/3600*1000*([1]!Enthalpy("carbon dioxide","PS","SI",AD23,[1]!Entropy("carbon dioxide","TP","SI",AD8+273.15,AD22))-[1]!Enthalpy("carbon dioxide","TP","SI",AD8+273.15,AD22))</f>
        <v>#NAME?</v>
      </c>
      <c r="AE52" s="11" t="e">
        <f ca="1">AE35/3600*1000*([1]!Enthalpy("carbon dioxide","PS","SI",AE23,[1]!Entropy("carbon dioxide","TP","SI",AE8+273.15,AE22))-[1]!Enthalpy("carbon dioxide","TP","SI",AE8+273.15,AE22))</f>
        <v>#NAME?</v>
      </c>
      <c r="AF52" s="40" t="e">
        <f ca="1">AF35/3600*1000*([1]!Enthalpy("carbon dioxide","PS","SI",AF23,[1]!Entropy("carbon dioxide","TP","SI",AF8+273.15,AF22))-[1]!Enthalpy("carbon dioxide","TP","SI",AF8+273.15,AF22))</f>
        <v>#NAME?</v>
      </c>
      <c r="AG52" s="11" t="e">
        <f ca="1">AG35/3600*1000*([1]!Enthalpy("carbon dioxide","PS","SI",AG23,[1]!Entropy("carbon dioxide","TP","SI",AG8+273.15,AG22))-[1]!Enthalpy("carbon dioxide","TP","SI",AG8+273.15,AG22))</f>
        <v>#NAME?</v>
      </c>
      <c r="AH52" s="55" t="e">
        <f ca="1">AH35/3600*1000*([1]!Enthalpy("carbon dioxide","PS","SI",AH23,[1]!Entropy("carbon dioxide","TP","SI",AH8+273.15,AH22))-[1]!Enthalpy("carbon dioxide","TP","SI",AH8+273.15,AH22))</f>
        <v>#NAME?</v>
      </c>
      <c r="AI52" s="11" t="e">
        <f ca="1">AI35/3600*1000*([1]!Enthalpy("carbon dioxide","PS","SI",AI23,[1]!Entropy("carbon dioxide","TP","SI",AI8+273.15,AI22))-[1]!Enthalpy("carbon dioxide","TP","SI",AI8+273.15,AI22))</f>
        <v>#NAME?</v>
      </c>
    </row>
    <row r="53" spans="1:35" x14ac:dyDescent="0.3">
      <c r="A53" s="67"/>
      <c r="B53" s="11" t="s">
        <v>55</v>
      </c>
      <c r="C53" s="11">
        <f>C23/C22</f>
        <v>2.7412587412587412</v>
      </c>
      <c r="D53" s="11">
        <f t="shared" ref="D53:K53" si="20">D23/D22</f>
        <v>3.2039215686274511</v>
      </c>
      <c r="E53" s="11">
        <f t="shared" si="20"/>
        <v>2.9868852459016395</v>
      </c>
      <c r="F53" s="42">
        <f>F23/F22</f>
        <v>3.246478873239437</v>
      </c>
      <c r="G53" s="30">
        <f>G23/G22</f>
        <v>2.7165109034267916</v>
      </c>
      <c r="H53" s="11">
        <f t="shared" si="20"/>
        <v>2.5147058823529416</v>
      </c>
      <c r="I53" s="23">
        <f t="shared" si="20"/>
        <v>2.4619718309859158</v>
      </c>
      <c r="J53" s="23">
        <f t="shared" si="20"/>
        <v>2.6202898550724636</v>
      </c>
      <c r="K53" s="23">
        <f t="shared" si="20"/>
        <v>2.7168141592920354</v>
      </c>
      <c r="L53" s="23">
        <f t="shared" ref="L53:R53" si="21">L23/L22</f>
        <v>2.8083832335329344</v>
      </c>
      <c r="M53" s="11">
        <f t="shared" si="21"/>
        <v>3.0515151515151517</v>
      </c>
      <c r="N53" s="11">
        <f t="shared" si="21"/>
        <v>3.1158536585365857</v>
      </c>
      <c r="O53" s="11">
        <f t="shared" si="21"/>
        <v>3.1743119266055047</v>
      </c>
      <c r="P53" s="11">
        <f t="shared" si="21"/>
        <v>3.2430769230769227</v>
      </c>
      <c r="Q53" s="42">
        <f t="shared" si="21"/>
        <v>3.1498470948012236</v>
      </c>
      <c r="R53" s="11">
        <f t="shared" si="21"/>
        <v>3.1556886227544907</v>
      </c>
      <c r="S53" s="42">
        <f t="shared" ref="S53:W53" si="22">S23/S22</f>
        <v>3.0898203592814375</v>
      </c>
      <c r="T53" s="11">
        <f t="shared" si="22"/>
        <v>3.0089285714285712</v>
      </c>
      <c r="U53" s="11">
        <f t="shared" si="22"/>
        <v>2.5862068965517242</v>
      </c>
      <c r="V53" s="30">
        <f t="shared" si="22"/>
        <v>2.7205882352941178</v>
      </c>
      <c r="W53" s="11">
        <f t="shared" si="22"/>
        <v>2.7922848664688429</v>
      </c>
      <c r="X53" s="11">
        <f t="shared" ref="X53:AD53" si="23">X23/X22</f>
        <v>2.7551622418879056</v>
      </c>
      <c r="Y53" s="30">
        <f>Y24/Y22</f>
        <v>2.7173020527859237</v>
      </c>
      <c r="Z53" s="11">
        <f t="shared" si="23"/>
        <v>2.775147928994083</v>
      </c>
      <c r="AA53" s="11">
        <f t="shared" si="23"/>
        <v>2.6783625730994154</v>
      </c>
      <c r="AB53" s="30">
        <f t="shared" si="23"/>
        <v>2.6598837209302326</v>
      </c>
      <c r="AC53" s="11">
        <f t="shared" si="23"/>
        <v>2.7155425219941347</v>
      </c>
      <c r="AD53" s="11">
        <f t="shared" si="23"/>
        <v>2.6288361320208451</v>
      </c>
      <c r="AE53" s="11">
        <f t="shared" ref="AE53:AI53" si="24">AE23/AE22</f>
        <v>2.5380281690140847</v>
      </c>
      <c r="AF53" s="40">
        <f t="shared" si="24"/>
        <v>2.6160458452722062</v>
      </c>
      <c r="AG53" s="11">
        <f t="shared" si="24"/>
        <v>2.6889534883720931</v>
      </c>
      <c r="AH53" s="55">
        <f t="shared" si="24"/>
        <v>2.6386554621848739</v>
      </c>
      <c r="AI53" s="11">
        <f t="shared" si="24"/>
        <v>2.4945945945945946</v>
      </c>
    </row>
    <row r="54" spans="1:35" x14ac:dyDescent="0.3">
      <c r="A54" s="67"/>
      <c r="B54" s="11" t="s">
        <v>82</v>
      </c>
      <c r="C54" s="11">
        <f>C51/C41</f>
        <v>0.86094734597015621</v>
      </c>
      <c r="D54" s="11">
        <f t="shared" ref="D54:K54" si="25">D51/D41</f>
        <v>0.8543566737057039</v>
      </c>
      <c r="E54" s="11">
        <f t="shared" si="25"/>
        <v>0.89236075396095094</v>
      </c>
      <c r="F54" s="42">
        <f t="shared" si="25"/>
        <v>0.88029800977983075</v>
      </c>
      <c r="G54" s="30">
        <f t="shared" si="25"/>
        <v>0.88363683168757479</v>
      </c>
      <c r="H54" s="11">
        <f t="shared" si="25"/>
        <v>0.87847094686576688</v>
      </c>
      <c r="I54" s="23">
        <f t="shared" si="25"/>
        <v>0.88353228054054733</v>
      </c>
      <c r="J54" s="23">
        <f t="shared" si="25"/>
        <v>0.88418923187997456</v>
      </c>
      <c r="K54" s="23">
        <f t="shared" si="25"/>
        <v>0.87909848502521881</v>
      </c>
      <c r="L54" s="23">
        <f t="shared" ref="L54:R54" si="26">L51/L41</f>
        <v>0.87672600364046127</v>
      </c>
      <c r="M54" s="11">
        <f t="shared" si="26"/>
        <v>0.82230123920507081</v>
      </c>
      <c r="N54" s="11">
        <f t="shared" si="26"/>
        <v>0.85730448525984115</v>
      </c>
      <c r="O54" s="11">
        <f t="shared" si="26"/>
        <v>0.87335142990170722</v>
      </c>
      <c r="P54" s="11">
        <f t="shared" si="26"/>
        <v>0.8855817544407949</v>
      </c>
      <c r="Q54" s="42">
        <f t="shared" si="26"/>
        <v>0.86332264326963337</v>
      </c>
      <c r="R54" s="11">
        <f t="shared" si="26"/>
        <v>0.80730602613110236</v>
      </c>
      <c r="S54" s="42">
        <f t="shared" ref="S54:W54" si="27">S51/S41</f>
        <v>0.79695790538092903</v>
      </c>
      <c r="T54" s="11">
        <f t="shared" si="27"/>
        <v>0.78996933413160664</v>
      </c>
      <c r="U54" s="11">
        <f t="shared" si="27"/>
        <v>0.88394004763526757</v>
      </c>
      <c r="V54" s="30">
        <f t="shared" si="27"/>
        <v>0.88853356435906894</v>
      </c>
      <c r="W54" s="11">
        <f t="shared" si="27"/>
        <v>0.88214039003102906</v>
      </c>
      <c r="X54" s="11">
        <f t="shared" ref="X54:AD54" si="28">X51/X41</f>
        <v>0.8894744270450895</v>
      </c>
      <c r="Y54" s="30">
        <f t="shared" si="28"/>
        <v>0.89524371681575454</v>
      </c>
      <c r="Z54" s="11">
        <f t="shared" si="28"/>
        <v>0.89776510070658277</v>
      </c>
      <c r="AA54" s="11">
        <f t="shared" si="28"/>
        <v>0.89876149860374932</v>
      </c>
      <c r="AB54" s="30">
        <f t="shared" si="28"/>
        <v>0.90345259420528423</v>
      </c>
      <c r="AC54" s="11">
        <f t="shared" si="28"/>
        <v>0.89912980049490843</v>
      </c>
      <c r="AD54" s="11">
        <f t="shared" si="28"/>
        <v>0.90584062003428822</v>
      </c>
      <c r="AE54" s="11">
        <f t="shared" ref="AE54:AI54" si="29">AE51/AE41</f>
        <v>0.89976446393335718</v>
      </c>
      <c r="AF54" s="40">
        <f t="shared" si="29"/>
        <v>0.90145606137004941</v>
      </c>
      <c r="AG54" s="11">
        <f t="shared" si="29"/>
        <v>0.88470928523971337</v>
      </c>
      <c r="AH54" s="55">
        <f t="shared" si="29"/>
        <v>0.89933980585979068</v>
      </c>
      <c r="AI54" s="11">
        <f t="shared" si="29"/>
        <v>0.82270882083891295</v>
      </c>
    </row>
    <row r="55" spans="1:35" x14ac:dyDescent="0.3">
      <c r="A55" s="67"/>
      <c r="B55" s="11" t="s">
        <v>83</v>
      </c>
      <c r="C55" s="11" t="e">
        <f t="shared" ref="C55" ca="1" si="30">C52/C51</f>
        <v>#VALUE!</v>
      </c>
      <c r="D55" s="11" t="e">
        <f t="shared" ref="D55:K55" ca="1" si="31">D52/D51</f>
        <v>#VALUE!</v>
      </c>
      <c r="E55" s="11" t="e">
        <f t="shared" ca="1" si="31"/>
        <v>#VALUE!</v>
      </c>
      <c r="F55" s="42" t="e">
        <f t="shared" ca="1" si="31"/>
        <v>#VALUE!</v>
      </c>
      <c r="G55" s="30" t="e">
        <f t="shared" ca="1" si="31"/>
        <v>#VALUE!</v>
      </c>
      <c r="H55" s="11" t="e">
        <f t="shared" ca="1" si="31"/>
        <v>#NAME?</v>
      </c>
      <c r="I55" s="23" t="e">
        <f t="shared" ca="1" si="31"/>
        <v>#NAME?</v>
      </c>
      <c r="J55" s="23" t="e">
        <f t="shared" ca="1" si="31"/>
        <v>#NAME?</v>
      </c>
      <c r="K55" s="23" t="e">
        <f t="shared" ca="1" si="31"/>
        <v>#NAME?</v>
      </c>
      <c r="L55" s="23" t="e">
        <f t="shared" ref="L55:R55" ca="1" si="32">L52/L51</f>
        <v>#NAME?</v>
      </c>
      <c r="M55" s="11" t="e">
        <f t="shared" ca="1" si="32"/>
        <v>#NAME?</v>
      </c>
      <c r="N55" s="11" t="e">
        <f t="shared" ca="1" si="32"/>
        <v>#NAME?</v>
      </c>
      <c r="O55" s="11" t="e">
        <f t="shared" ca="1" si="32"/>
        <v>#NAME?</v>
      </c>
      <c r="P55" s="11" t="e">
        <f t="shared" ca="1" si="32"/>
        <v>#NAME?</v>
      </c>
      <c r="Q55" s="42" t="e">
        <f t="shared" ca="1" si="32"/>
        <v>#NAME?</v>
      </c>
      <c r="R55" s="11" t="e">
        <f t="shared" ca="1" si="32"/>
        <v>#NAME?</v>
      </c>
      <c r="S55" s="42" t="e">
        <f t="shared" ref="S55:W55" ca="1" si="33">S52/S51</f>
        <v>#NAME?</v>
      </c>
      <c r="T55" s="11" t="e">
        <f t="shared" ca="1" si="33"/>
        <v>#NAME?</v>
      </c>
      <c r="U55" s="11" t="e">
        <f t="shared" ca="1" si="33"/>
        <v>#NAME?</v>
      </c>
      <c r="V55" s="30" t="e">
        <f t="shared" ca="1" si="33"/>
        <v>#NAME?</v>
      </c>
      <c r="W55" s="11" t="e">
        <f t="shared" ca="1" si="33"/>
        <v>#NAME?</v>
      </c>
      <c r="X55" s="11" t="e">
        <f t="shared" ref="X55:AD55" ca="1" si="34">X52/X51</f>
        <v>#NAME?</v>
      </c>
      <c r="Y55" s="30" t="e">
        <f t="shared" ca="1" si="34"/>
        <v>#NAME?</v>
      </c>
      <c r="Z55" s="11" t="e">
        <f t="shared" ca="1" si="34"/>
        <v>#NAME?</v>
      </c>
      <c r="AA55" s="11" t="e">
        <f t="shared" ca="1" si="34"/>
        <v>#NAME?</v>
      </c>
      <c r="AB55" s="30" t="e">
        <f t="shared" ca="1" si="34"/>
        <v>#NAME?</v>
      </c>
      <c r="AC55" s="11" t="e">
        <f t="shared" ca="1" si="34"/>
        <v>#NAME?</v>
      </c>
      <c r="AD55" s="11" t="e">
        <f t="shared" ca="1" si="34"/>
        <v>#NAME?</v>
      </c>
      <c r="AE55" s="11" t="e">
        <f t="shared" ref="AE55:AI55" ca="1" si="35">AE52/AE51</f>
        <v>#NAME?</v>
      </c>
      <c r="AF55" s="40" t="e">
        <f t="shared" ca="1" si="35"/>
        <v>#NAME?</v>
      </c>
      <c r="AG55" s="11" t="e">
        <f t="shared" ca="1" si="35"/>
        <v>#NAME?</v>
      </c>
      <c r="AH55" s="55" t="e">
        <f t="shared" ca="1" si="35"/>
        <v>#NAME?</v>
      </c>
      <c r="AI55" s="11" t="e">
        <f t="shared" ca="1" si="35"/>
        <v>#NAME?</v>
      </c>
    </row>
    <row r="56" spans="1:35" x14ac:dyDescent="0.3">
      <c r="A56" s="67"/>
      <c r="B56" s="11" t="s">
        <v>84</v>
      </c>
      <c r="C56" s="11" t="e">
        <f ca="1">C35/((C33*5.8/1000000)*60*[1]!Density("carbon dioxide","TP","SI",C8+273.15,C22))</f>
        <v>#NAME?</v>
      </c>
      <c r="D56" s="11" t="e">
        <f ca="1">D35/((D33*5.8/1000000)*60*[1]!Density("carbon dioxide","TP","SI",D8+273.15,D22))</f>
        <v>#NAME?</v>
      </c>
      <c r="E56" s="11" t="e">
        <f ca="1">E35/((E33*5.8/1000000)*60*[1]!Density("carbon dioxide","TP","SI",E8+273.15,E22))</f>
        <v>#NAME?</v>
      </c>
      <c r="F56" s="42" t="e">
        <f ca="1">F35/((F33*5.8/1000000)*60*[1]!Density("carbon dioxide","TP","SI",F8+273.15,F22))</f>
        <v>#NAME?</v>
      </c>
      <c r="G56" s="30" t="e">
        <f ca="1">G35/((G33*5.8/1000000)*60*[1]!Density("carbon dioxide","TP","SI",G8+273.15,G22))</f>
        <v>#NAME?</v>
      </c>
      <c r="H56" s="11" t="e">
        <f ca="1">H35/((H33*5.8/1000000)*60*[1]!Density("carbon dioxide","TP","SI",H8+273.15,H22))</f>
        <v>#NAME?</v>
      </c>
      <c r="I56" s="23" t="e">
        <f ca="1">I35/((I33*5.8/1000000)*60*[1]!Density("carbon dioxide","TP","SI",I8+273.15,I22))</f>
        <v>#NAME?</v>
      </c>
      <c r="J56" s="23" t="e">
        <f ca="1">J35/((J33*5.8/1000000)*60*[1]!Density("carbon dioxide","TP","SI",J8+273.15,J22))</f>
        <v>#NAME?</v>
      </c>
      <c r="K56" s="23" t="e">
        <f ca="1">K35/((K33*5.8/1000000)*60*[1]!Density("carbon dioxide","TP","SI",K8+273.15,K22))</f>
        <v>#NAME?</v>
      </c>
      <c r="L56" s="23" t="e">
        <f ca="1">L35/((L33*5.8/1000000)*60*[1]!Density("carbon dioxide","TP","SI",L8+273.15,L22))</f>
        <v>#NAME?</v>
      </c>
      <c r="M56" s="11" t="e">
        <f ca="1">M35/((M33*5.8/1000000)*60*[1]!Density("carbon dioxide","TP","SI",M8+273.15,M22))</f>
        <v>#NAME?</v>
      </c>
      <c r="N56" s="11" t="e">
        <f ca="1">N35/((N33*5.8/1000000)*60*[1]!Density("carbon dioxide","TP","SI",N8+273.15,N22))</f>
        <v>#NAME?</v>
      </c>
      <c r="O56" s="11" t="e">
        <f ca="1">O35/((O33*5.8/1000000)*60*[1]!Density("carbon dioxide","TP","SI",O8+273.15,O22))</f>
        <v>#NAME?</v>
      </c>
      <c r="P56" s="11" t="e">
        <f ca="1">P35/((P33*5.8/1000000)*60*[1]!Density("carbon dioxide","TP","SI",P8+273.15,P22))</f>
        <v>#NAME?</v>
      </c>
      <c r="Q56" s="42" t="e">
        <f ca="1">Q35/((Q33*5.8/1000000)*60*[1]!Density("carbon dioxide","TP","SI",Q8+273.15,Q22))</f>
        <v>#NAME?</v>
      </c>
      <c r="R56" s="11" t="e">
        <f ca="1">R35/((R33*5.8/1000000)*60*[1]!Density("carbon dioxide","TP","SI",R8+273.15,R22))</f>
        <v>#NAME?</v>
      </c>
      <c r="S56" s="42" t="e">
        <f ca="1">S35/((S33*5.8/1000000)*60*[1]!Density("carbon dioxide","TP","SI",S8+273.15,S22))</f>
        <v>#NAME?</v>
      </c>
      <c r="T56" s="11" t="e">
        <f ca="1">T35/((T33*5.8/1000000)*60*[1]!Density("carbon dioxide","TP","SI",T8+273.15,T22))</f>
        <v>#NAME?</v>
      </c>
      <c r="U56" s="11" t="e">
        <f ca="1">U35/((U33*5.8/1000000)*60*[1]!Density("carbon dioxide","TP","SI",U8+273.15,U22))</f>
        <v>#NAME?</v>
      </c>
      <c r="V56" s="30" t="e">
        <f ca="1">V35/((V33*5.8/1000000)*60*[1]!Density("carbon dioxide","TP","SI",V8+273.15,V22))</f>
        <v>#NAME?</v>
      </c>
      <c r="W56" s="11" t="e">
        <f ca="1">W35/((W33*5.8/1000000)*60*[1]!Density("carbon dioxide","TP","SI",W8+273.15,W22))</f>
        <v>#NAME?</v>
      </c>
      <c r="X56" s="11" t="e">
        <f ca="1">X35/((X33*5.8/1000000)*60*[1]!Density("carbon dioxide","TP","SI",X8+273.15,X22))</f>
        <v>#NAME?</v>
      </c>
      <c r="Y56" s="30" t="e">
        <f ca="1">Y35/((Y33*5.8/1000000)*60*[1]!Density("carbon dioxide","TP","SI",Y8+273.15,Y22))</f>
        <v>#NAME?</v>
      </c>
      <c r="Z56" s="11" t="e">
        <f ca="1">Z35/((Z33*5.8/1000000)*60*[1]!Density("carbon dioxide","TP","SI",Z8+273.15,Z22))</f>
        <v>#NAME?</v>
      </c>
      <c r="AA56" s="11" t="e">
        <f ca="1">AA35/((AA33*5.8/1000000)*60*[1]!Density("carbon dioxide","TP","SI",AA8+273.15,AA22))</f>
        <v>#NAME?</v>
      </c>
      <c r="AB56" s="30" t="e">
        <f ca="1">AB35/((AB33*5.8/1000000)*60*[1]!Density("carbon dioxide","TP","SI",AB8+273.15,AB22))</f>
        <v>#NAME?</v>
      </c>
      <c r="AC56" s="11" t="e">
        <f ca="1">AC35/((AC33*5.8/1000000)*60*[1]!Density("carbon dioxide","TP","SI",AC8+273.15,AC22))</f>
        <v>#NAME?</v>
      </c>
      <c r="AD56" s="11" t="e">
        <f ca="1">AD35/((AD33*5.8/1000000)*60*[1]!Density("carbon dioxide","TP","SI",AD8+273.15,AD22))</f>
        <v>#NAME?</v>
      </c>
      <c r="AE56" s="11" t="e">
        <f ca="1">AE35/((AE33*5.8/1000000)*60*[1]!Density("carbon dioxide","TP","SI",AE8+273.15,AE22))</f>
        <v>#NAME?</v>
      </c>
      <c r="AF56" s="40" t="e">
        <f ca="1">AF35/((AF33*5.8/1000000)*60*[1]!Density("carbon dioxide","TP","SI",AF8+273.15,AF22))</f>
        <v>#NAME?</v>
      </c>
      <c r="AG56" s="11" t="e">
        <f ca="1">AG35/((AG33*5.8/1000000)*60*[1]!Density("carbon dioxide","TP","SI",AG8+273.15,AG22))</f>
        <v>#NAME?</v>
      </c>
      <c r="AH56" s="55" t="e">
        <f ca="1">AH35/((AH33*5.8/1000000)*60*[1]!Density("carbon dioxide","TP","SI",AH8+273.15,AH22))</f>
        <v>#NAME?</v>
      </c>
      <c r="AI56" s="11" t="e">
        <f ca="1">AI35/((AI33*5.8/1000000)*60*[1]!Density("carbon dioxide","TP","SI",AI8+273.15,AI22))</f>
        <v>#NAME?</v>
      </c>
    </row>
    <row r="57" spans="1:35" x14ac:dyDescent="0.3">
      <c r="A57" s="67"/>
      <c r="B57" s="11" t="s">
        <v>86</v>
      </c>
      <c r="C57" s="11" t="e">
        <f ca="1">C54*C55</f>
        <v>#VALUE!</v>
      </c>
      <c r="D57" s="11" t="e">
        <f t="shared" ref="D57:K57" ca="1" si="36">D54*D55</f>
        <v>#VALUE!</v>
      </c>
      <c r="E57" s="11" t="e">
        <f t="shared" ca="1" si="36"/>
        <v>#VALUE!</v>
      </c>
      <c r="F57" s="42" t="e">
        <f t="shared" ca="1" si="36"/>
        <v>#VALUE!</v>
      </c>
      <c r="G57" s="30" t="e">
        <f t="shared" ca="1" si="36"/>
        <v>#VALUE!</v>
      </c>
      <c r="H57" s="11" t="e">
        <f t="shared" ca="1" si="36"/>
        <v>#NAME?</v>
      </c>
      <c r="I57" s="23" t="e">
        <f t="shared" ca="1" si="36"/>
        <v>#NAME?</v>
      </c>
      <c r="J57" s="23" t="e">
        <f t="shared" ca="1" si="36"/>
        <v>#NAME?</v>
      </c>
      <c r="K57" s="23" t="e">
        <f t="shared" ca="1" si="36"/>
        <v>#NAME?</v>
      </c>
      <c r="L57" s="23" t="e">
        <f t="shared" ref="L57:R57" ca="1" si="37">L54*L55</f>
        <v>#NAME?</v>
      </c>
      <c r="M57" s="11" t="e">
        <f t="shared" ca="1" si="37"/>
        <v>#NAME?</v>
      </c>
      <c r="N57" s="11" t="e">
        <f t="shared" ca="1" si="37"/>
        <v>#NAME?</v>
      </c>
      <c r="O57" s="11" t="e">
        <f t="shared" ca="1" si="37"/>
        <v>#NAME?</v>
      </c>
      <c r="P57" s="11" t="e">
        <f t="shared" ca="1" si="37"/>
        <v>#NAME?</v>
      </c>
      <c r="Q57" s="42" t="e">
        <f t="shared" ca="1" si="37"/>
        <v>#NAME?</v>
      </c>
      <c r="R57" s="11" t="e">
        <f t="shared" ca="1" si="37"/>
        <v>#NAME?</v>
      </c>
      <c r="S57" s="42" t="e">
        <f t="shared" ref="S57:W57" ca="1" si="38">S54*S55</f>
        <v>#NAME?</v>
      </c>
      <c r="T57" s="11" t="e">
        <f t="shared" ca="1" si="38"/>
        <v>#NAME?</v>
      </c>
      <c r="U57" s="11" t="e">
        <f t="shared" ca="1" si="38"/>
        <v>#NAME?</v>
      </c>
      <c r="V57" s="30" t="e">
        <f t="shared" ca="1" si="38"/>
        <v>#NAME?</v>
      </c>
      <c r="W57" s="11" t="e">
        <f t="shared" ca="1" si="38"/>
        <v>#NAME?</v>
      </c>
      <c r="X57" s="11" t="e">
        <f t="shared" ref="X57:AD57" ca="1" si="39">X54*X55</f>
        <v>#NAME?</v>
      </c>
      <c r="Y57" s="30" t="e">
        <f t="shared" ca="1" si="39"/>
        <v>#NAME?</v>
      </c>
      <c r="Z57" s="11" t="e">
        <f t="shared" ca="1" si="39"/>
        <v>#NAME?</v>
      </c>
      <c r="AA57" s="11" t="e">
        <f t="shared" ca="1" si="39"/>
        <v>#NAME?</v>
      </c>
      <c r="AB57" s="30" t="e">
        <f t="shared" ca="1" si="39"/>
        <v>#NAME?</v>
      </c>
      <c r="AC57" s="11" t="e">
        <f t="shared" ca="1" si="39"/>
        <v>#NAME?</v>
      </c>
      <c r="AD57" s="11" t="e">
        <f t="shared" ca="1" si="39"/>
        <v>#NAME?</v>
      </c>
      <c r="AE57" s="11" t="e">
        <f t="shared" ref="AE57:AI57" ca="1" si="40">AE54*AE55</f>
        <v>#NAME?</v>
      </c>
      <c r="AF57" s="40" t="e">
        <f t="shared" ca="1" si="40"/>
        <v>#NAME?</v>
      </c>
      <c r="AG57" s="11" t="e">
        <f t="shared" ca="1" si="40"/>
        <v>#NAME?</v>
      </c>
      <c r="AH57" s="55" t="e">
        <f t="shared" ca="1" si="40"/>
        <v>#NAME?</v>
      </c>
      <c r="AI57" s="11" t="e">
        <f t="shared" ca="1" si="40"/>
        <v>#NAME?</v>
      </c>
    </row>
    <row r="58" spans="1:35" x14ac:dyDescent="0.3">
      <c r="A58" s="67"/>
      <c r="B58" s="11" t="s">
        <v>85</v>
      </c>
      <c r="C58" s="11"/>
      <c r="D58" s="11"/>
      <c r="E58" s="11"/>
      <c r="F58" s="42"/>
      <c r="G58" s="30"/>
      <c r="H58" s="11"/>
      <c r="I58" s="23"/>
      <c r="J58" s="23"/>
      <c r="K58" s="23"/>
      <c r="L58" s="23"/>
      <c r="M58" s="11"/>
      <c r="N58" s="11"/>
      <c r="O58" s="11"/>
      <c r="P58" s="11"/>
      <c r="Q58" s="42"/>
      <c r="R58" s="11"/>
      <c r="S58" s="42"/>
      <c r="T58" s="11"/>
      <c r="U58" s="11"/>
      <c r="V58" s="30"/>
      <c r="W58" s="11"/>
      <c r="X58" s="11"/>
      <c r="Y58" s="30"/>
      <c r="Z58" s="11"/>
      <c r="AA58" s="11"/>
      <c r="AB58" s="30"/>
      <c r="AC58" s="11"/>
      <c r="AD58" s="11"/>
      <c r="AE58" s="11"/>
      <c r="AF58" s="40"/>
      <c r="AG58" s="11"/>
      <c r="AH58" s="55"/>
      <c r="AI58" s="11"/>
    </row>
    <row r="59" spans="1:35" x14ac:dyDescent="0.3">
      <c r="C59"/>
    </row>
    <row r="60" spans="1:35" x14ac:dyDescent="0.3">
      <c r="C60"/>
    </row>
    <row r="61" spans="1:35" x14ac:dyDescent="0.3">
      <c r="C61"/>
    </row>
    <row r="62" spans="1:35" x14ac:dyDescent="0.3">
      <c r="C62"/>
    </row>
    <row r="63" spans="1:35" x14ac:dyDescent="0.3">
      <c r="C63"/>
    </row>
    <row r="64" spans="1:35" x14ac:dyDescent="0.3">
      <c r="C64"/>
    </row>
    <row r="65" spans="3:3" x14ac:dyDescent="0.3">
      <c r="C65"/>
    </row>
    <row r="66" spans="3:3" x14ac:dyDescent="0.3">
      <c r="C66"/>
    </row>
    <row r="67" spans="3:3" x14ac:dyDescent="0.3">
      <c r="C67"/>
    </row>
    <row r="68" spans="3:3" x14ac:dyDescent="0.3">
      <c r="C68"/>
    </row>
    <row r="69" spans="3:3" x14ac:dyDescent="0.3">
      <c r="C69"/>
    </row>
    <row r="70" spans="3:3" x14ac:dyDescent="0.3">
      <c r="C70"/>
    </row>
    <row r="71" spans="3:3" x14ac:dyDescent="0.3">
      <c r="C71"/>
    </row>
    <row r="72" spans="3:3" x14ac:dyDescent="0.3">
      <c r="C72"/>
    </row>
    <row r="73" spans="3:3" x14ac:dyDescent="0.3">
      <c r="C73"/>
    </row>
    <row r="74" spans="3:3" x14ac:dyDescent="0.3">
      <c r="C74"/>
    </row>
    <row r="75" spans="3:3" x14ac:dyDescent="0.3">
      <c r="C75"/>
    </row>
    <row r="76" spans="3:3" x14ac:dyDescent="0.3">
      <c r="C76"/>
    </row>
    <row r="77" spans="3:3" x14ac:dyDescent="0.3">
      <c r="C77"/>
    </row>
    <row r="78" spans="3:3" x14ac:dyDescent="0.3">
      <c r="C78"/>
    </row>
    <row r="79" spans="3:3" x14ac:dyDescent="0.3">
      <c r="C79"/>
    </row>
    <row r="80" spans="3:3" x14ac:dyDescent="0.3">
      <c r="C80"/>
    </row>
    <row r="81" spans="3:3" x14ac:dyDescent="0.3">
      <c r="C81"/>
    </row>
    <row r="82" spans="3:3" x14ac:dyDescent="0.3">
      <c r="C82"/>
    </row>
    <row r="83" spans="3:3" x14ac:dyDescent="0.3">
      <c r="C83"/>
    </row>
    <row r="84" spans="3:3" x14ac:dyDescent="0.3">
      <c r="C84"/>
    </row>
    <row r="85" spans="3:3" x14ac:dyDescent="0.3">
      <c r="C85"/>
    </row>
    <row r="86" spans="3:3" x14ac:dyDescent="0.3">
      <c r="C86"/>
    </row>
    <row r="87" spans="3:3" x14ac:dyDescent="0.3">
      <c r="C87"/>
    </row>
    <row r="88" spans="3:3" x14ac:dyDescent="0.3">
      <c r="C88"/>
    </row>
    <row r="89" spans="3:3" x14ac:dyDescent="0.3">
      <c r="C89"/>
    </row>
    <row r="90" spans="3:3" x14ac:dyDescent="0.3">
      <c r="C90"/>
    </row>
    <row r="91" spans="3:3" x14ac:dyDescent="0.3">
      <c r="C91"/>
    </row>
    <row r="92" spans="3:3" x14ac:dyDescent="0.3">
      <c r="C92"/>
    </row>
    <row r="93" spans="3:3" x14ac:dyDescent="0.3">
      <c r="C93"/>
    </row>
    <row r="94" spans="3:3" x14ac:dyDescent="0.3">
      <c r="C94"/>
    </row>
    <row r="95" spans="3:3" x14ac:dyDescent="0.3">
      <c r="C95"/>
    </row>
    <row r="96" spans="3:3" x14ac:dyDescent="0.3">
      <c r="C96"/>
    </row>
    <row r="97" spans="3:3" x14ac:dyDescent="0.3">
      <c r="C97"/>
    </row>
    <row r="98" spans="3:3" x14ac:dyDescent="0.3">
      <c r="C98"/>
    </row>
    <row r="99" spans="3:3" x14ac:dyDescent="0.3">
      <c r="C99"/>
    </row>
    <row r="100" spans="3:3" x14ac:dyDescent="0.3">
      <c r="C100"/>
    </row>
    <row r="101" spans="3:3" x14ac:dyDescent="0.3">
      <c r="C101"/>
    </row>
    <row r="102" spans="3:3" x14ac:dyDescent="0.3">
      <c r="C102"/>
    </row>
    <row r="103" spans="3:3" x14ac:dyDescent="0.3">
      <c r="C103"/>
    </row>
    <row r="104" spans="3:3" x14ac:dyDescent="0.3">
      <c r="C104"/>
    </row>
    <row r="105" spans="3:3" x14ac:dyDescent="0.3">
      <c r="C105"/>
    </row>
    <row r="106" spans="3:3" x14ac:dyDescent="0.3">
      <c r="C106"/>
    </row>
    <row r="107" spans="3:3" x14ac:dyDescent="0.3">
      <c r="C107"/>
    </row>
    <row r="108" spans="3:3" x14ac:dyDescent="0.3">
      <c r="C108"/>
    </row>
    <row r="109" spans="3:3" x14ac:dyDescent="0.3">
      <c r="C109"/>
    </row>
    <row r="110" spans="3:3" x14ac:dyDescent="0.3">
      <c r="C110"/>
    </row>
    <row r="111" spans="3:3" x14ac:dyDescent="0.3">
      <c r="C111"/>
    </row>
    <row r="112" spans="3:3" x14ac:dyDescent="0.3">
      <c r="C112"/>
    </row>
    <row r="113" spans="3:3" x14ac:dyDescent="0.3">
      <c r="C113"/>
    </row>
    <row r="114" spans="3:3" x14ac:dyDescent="0.3">
      <c r="C114"/>
    </row>
    <row r="115" spans="3:3" x14ac:dyDescent="0.3">
      <c r="C115"/>
    </row>
    <row r="116" spans="3:3" x14ac:dyDescent="0.3">
      <c r="C116"/>
    </row>
    <row r="117" spans="3:3" x14ac:dyDescent="0.3">
      <c r="C117"/>
    </row>
    <row r="118" spans="3:3" x14ac:dyDescent="0.3">
      <c r="C118"/>
    </row>
    <row r="119" spans="3:3" x14ac:dyDescent="0.3">
      <c r="C119"/>
    </row>
    <row r="120" spans="3:3" x14ac:dyDescent="0.3">
      <c r="C120"/>
    </row>
    <row r="121" spans="3:3" x14ac:dyDescent="0.3">
      <c r="C121"/>
    </row>
    <row r="122" spans="3:3" x14ac:dyDescent="0.3">
      <c r="C122"/>
    </row>
    <row r="123" spans="3:3" x14ac:dyDescent="0.3">
      <c r="C123"/>
    </row>
    <row r="124" spans="3:3" x14ac:dyDescent="0.3">
      <c r="C124"/>
    </row>
    <row r="125" spans="3:3" x14ac:dyDescent="0.3">
      <c r="C125"/>
    </row>
    <row r="126" spans="3:3" x14ac:dyDescent="0.3">
      <c r="C126"/>
    </row>
    <row r="127" spans="3:3" x14ac:dyDescent="0.3">
      <c r="C127"/>
    </row>
    <row r="128" spans="3:3" x14ac:dyDescent="0.3">
      <c r="C128"/>
    </row>
    <row r="129" spans="3:3" x14ac:dyDescent="0.3">
      <c r="C129"/>
    </row>
    <row r="130" spans="3:3" x14ac:dyDescent="0.3">
      <c r="C130"/>
    </row>
    <row r="131" spans="3:3" x14ac:dyDescent="0.3">
      <c r="C131"/>
    </row>
    <row r="132" spans="3:3" x14ac:dyDescent="0.3">
      <c r="C132"/>
    </row>
    <row r="133" spans="3:3" x14ac:dyDescent="0.3">
      <c r="C133"/>
    </row>
    <row r="134" spans="3:3" x14ac:dyDescent="0.3">
      <c r="C134"/>
    </row>
    <row r="135" spans="3:3" x14ac:dyDescent="0.3">
      <c r="C135"/>
    </row>
    <row r="136" spans="3:3" x14ac:dyDescent="0.3">
      <c r="C136"/>
    </row>
    <row r="137" spans="3:3" x14ac:dyDescent="0.3">
      <c r="C137"/>
    </row>
    <row r="138" spans="3:3" x14ac:dyDescent="0.3">
      <c r="C138"/>
    </row>
    <row r="139" spans="3:3" x14ac:dyDescent="0.3">
      <c r="C139"/>
    </row>
    <row r="140" spans="3:3" x14ac:dyDescent="0.3">
      <c r="C140"/>
    </row>
    <row r="141" spans="3:3" x14ac:dyDescent="0.3">
      <c r="C141"/>
    </row>
    <row r="142" spans="3:3" x14ac:dyDescent="0.3">
      <c r="C142"/>
    </row>
    <row r="143" spans="3:3" x14ac:dyDescent="0.3">
      <c r="C143"/>
    </row>
    <row r="144" spans="3:3" x14ac:dyDescent="0.3">
      <c r="C144"/>
    </row>
    <row r="145" spans="3:3" x14ac:dyDescent="0.3">
      <c r="C145"/>
    </row>
    <row r="146" spans="3:3" x14ac:dyDescent="0.3">
      <c r="C146"/>
    </row>
    <row r="147" spans="3:3" x14ac:dyDescent="0.3">
      <c r="C147"/>
    </row>
    <row r="148" spans="3:3" x14ac:dyDescent="0.3">
      <c r="C148"/>
    </row>
    <row r="149" spans="3:3" x14ac:dyDescent="0.3">
      <c r="C149"/>
    </row>
    <row r="150" spans="3:3" x14ac:dyDescent="0.3">
      <c r="C150"/>
    </row>
    <row r="151" spans="3:3" x14ac:dyDescent="0.3">
      <c r="C151"/>
    </row>
    <row r="152" spans="3:3" x14ac:dyDescent="0.3">
      <c r="C152"/>
    </row>
    <row r="153" spans="3:3" x14ac:dyDescent="0.3">
      <c r="C153"/>
    </row>
    <row r="154" spans="3:3" x14ac:dyDescent="0.3">
      <c r="C154"/>
    </row>
    <row r="155" spans="3:3" x14ac:dyDescent="0.3">
      <c r="C155"/>
    </row>
    <row r="156" spans="3:3" x14ac:dyDescent="0.3">
      <c r="C156"/>
    </row>
    <row r="157" spans="3:3" x14ac:dyDescent="0.3">
      <c r="C157"/>
    </row>
    <row r="158" spans="3:3" x14ac:dyDescent="0.3">
      <c r="C158"/>
    </row>
    <row r="159" spans="3:3" x14ac:dyDescent="0.3">
      <c r="C159"/>
    </row>
    <row r="160" spans="3:3" x14ac:dyDescent="0.3">
      <c r="C160"/>
    </row>
    <row r="161" spans="3:3" x14ac:dyDescent="0.3">
      <c r="C161"/>
    </row>
    <row r="162" spans="3:3" x14ac:dyDescent="0.3">
      <c r="C162"/>
    </row>
    <row r="163" spans="3:3" x14ac:dyDescent="0.3">
      <c r="C163"/>
    </row>
    <row r="164" spans="3:3" x14ac:dyDescent="0.3">
      <c r="C164"/>
    </row>
    <row r="165" spans="3:3" x14ac:dyDescent="0.3">
      <c r="C165"/>
    </row>
    <row r="166" spans="3:3" x14ac:dyDescent="0.3">
      <c r="C166"/>
    </row>
    <row r="167" spans="3:3" x14ac:dyDescent="0.3">
      <c r="C167"/>
    </row>
    <row r="168" spans="3:3" x14ac:dyDescent="0.3">
      <c r="C168"/>
    </row>
    <row r="169" spans="3:3" x14ac:dyDescent="0.3">
      <c r="C169"/>
    </row>
    <row r="170" spans="3:3" x14ac:dyDescent="0.3">
      <c r="C170"/>
    </row>
    <row r="171" spans="3:3" x14ac:dyDescent="0.3">
      <c r="C171"/>
    </row>
    <row r="172" spans="3:3" x14ac:dyDescent="0.3">
      <c r="C172"/>
    </row>
    <row r="173" spans="3:3" x14ac:dyDescent="0.3">
      <c r="C173"/>
    </row>
    <row r="174" spans="3:3" x14ac:dyDescent="0.3">
      <c r="C174"/>
    </row>
    <row r="175" spans="3:3" x14ac:dyDescent="0.3">
      <c r="C175"/>
    </row>
    <row r="176" spans="3:3" x14ac:dyDescent="0.3">
      <c r="C176"/>
    </row>
    <row r="177" spans="3:3" x14ac:dyDescent="0.3">
      <c r="C177"/>
    </row>
    <row r="178" spans="3:3" x14ac:dyDescent="0.3">
      <c r="C178"/>
    </row>
  </sheetData>
  <mergeCells count="4">
    <mergeCell ref="A4:A7"/>
    <mergeCell ref="A8:A21"/>
    <mergeCell ref="A22:A29"/>
    <mergeCell ref="A30:A58"/>
  </mergeCells>
  <phoneticPr fontId="5" type="noConversion"/>
  <pageMargins left="0.7" right="0.7" top="0.75" bottom="0.75" header="0.3" footer="0.3"/>
  <pageSetup orientation="portrait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G33"/>
  <sheetViews>
    <sheetView workbookViewId="0">
      <selection activeCell="C7" sqref="C7"/>
    </sheetView>
  </sheetViews>
  <sheetFormatPr defaultRowHeight="14" x14ac:dyDescent="0.3"/>
  <cols>
    <col min="2" max="2" width="11.08203125" customWidth="1"/>
  </cols>
  <sheetData>
    <row r="1" spans="1:3" x14ac:dyDescent="0.3">
      <c r="B1" t="s">
        <v>87</v>
      </c>
      <c r="C1">
        <f>Sheet2!C35</f>
        <v>88.2</v>
      </c>
    </row>
    <row r="2" spans="1:3" x14ac:dyDescent="0.3">
      <c r="A2" s="68" t="s">
        <v>88</v>
      </c>
      <c r="B2" t="s">
        <v>89</v>
      </c>
      <c r="C2">
        <f>Sheet2!C27-Sheet2!C28</f>
        <v>0.42100000000000026</v>
      </c>
    </row>
    <row r="3" spans="1:3" x14ac:dyDescent="0.3">
      <c r="A3" s="68"/>
      <c r="B3" t="s">
        <v>90</v>
      </c>
      <c r="C3">
        <f>Sheet2!C28-Sheet2!C29</f>
        <v>3.1709999999999998</v>
      </c>
    </row>
    <row r="4" spans="1:3" x14ac:dyDescent="0.3">
      <c r="A4" s="68"/>
      <c r="B4" t="s">
        <v>91</v>
      </c>
      <c r="C4">
        <f>Sheet2!C29-Sheet2!C22</f>
        <v>-2.86</v>
      </c>
    </row>
    <row r="5" spans="1:3" x14ac:dyDescent="0.3">
      <c r="A5" s="68"/>
      <c r="B5" t="s">
        <v>110</v>
      </c>
      <c r="C5">
        <f>Sheet2!C23-Sheet2!C24</f>
        <v>-2.5000000000000355E-2</v>
      </c>
    </row>
    <row r="6" spans="1:3" x14ac:dyDescent="0.3">
      <c r="A6" s="68"/>
      <c r="B6" t="s">
        <v>111</v>
      </c>
      <c r="C6">
        <f>Sheet2!C24-Sheet2!C25</f>
        <v>9.7000000000000419E-2</v>
      </c>
    </row>
    <row r="7" spans="1:3" x14ac:dyDescent="0.3">
      <c r="A7" s="14"/>
    </row>
    <row r="28" spans="1:7" x14ac:dyDescent="0.3">
      <c r="A28" s="69" t="s">
        <v>95</v>
      </c>
      <c r="B28" s="69" t="s">
        <v>92</v>
      </c>
      <c r="C28" s="69"/>
      <c r="D28" s="69" t="s">
        <v>93</v>
      </c>
      <c r="E28" s="69"/>
      <c r="F28" s="69" t="s">
        <v>94</v>
      </c>
      <c r="G28" s="69"/>
    </row>
    <row r="29" spans="1:7" x14ac:dyDescent="0.3">
      <c r="A29" s="69"/>
      <c r="B29" s="15" t="s">
        <v>97</v>
      </c>
      <c r="C29" s="15" t="s">
        <v>88</v>
      </c>
      <c r="D29" s="15" t="s">
        <v>96</v>
      </c>
      <c r="E29" s="15" t="s">
        <v>88</v>
      </c>
      <c r="F29" s="15" t="s">
        <v>97</v>
      </c>
      <c r="G29" s="15" t="s">
        <v>88</v>
      </c>
    </row>
    <row r="30" spans="1:7" x14ac:dyDescent="0.3">
      <c r="A30" s="69"/>
      <c r="B30" s="15"/>
      <c r="C30" s="15"/>
      <c r="D30" s="15">
        <v>100.3</v>
      </c>
      <c r="E30" s="15">
        <v>0.29199999999999982</v>
      </c>
      <c r="F30" s="15"/>
      <c r="G30" s="15"/>
    </row>
    <row r="31" spans="1:7" x14ac:dyDescent="0.3">
      <c r="A31" s="69"/>
      <c r="B31" s="15">
        <v>99</v>
      </c>
      <c r="C31" s="15">
        <v>0.53900000000000015</v>
      </c>
      <c r="D31" s="15">
        <v>104.7</v>
      </c>
      <c r="E31" s="15">
        <v>0.32200000000000006</v>
      </c>
      <c r="F31" s="15"/>
      <c r="G31" s="15"/>
    </row>
    <row r="32" spans="1:7" x14ac:dyDescent="0.3">
      <c r="A32" s="69"/>
      <c r="B32" s="15">
        <v>105.2</v>
      </c>
      <c r="C32" s="15">
        <v>0.5950000000000002</v>
      </c>
      <c r="D32" s="15">
        <v>106.3</v>
      </c>
      <c r="E32" s="15">
        <v>0.33599999999999985</v>
      </c>
      <c r="F32" s="15">
        <v>106.19</v>
      </c>
      <c r="G32" s="15">
        <v>0.26400000000000001</v>
      </c>
    </row>
    <row r="33" spans="1:7" x14ac:dyDescent="0.3">
      <c r="A33" s="69"/>
      <c r="B33" s="15">
        <v>128.1</v>
      </c>
      <c r="C33" s="15">
        <v>0.82499999999999973</v>
      </c>
      <c r="D33" s="15">
        <v>131.19999999999999</v>
      </c>
      <c r="E33" s="15">
        <v>0.5089999999999999</v>
      </c>
      <c r="F33" s="15">
        <v>118.92</v>
      </c>
      <c r="G33" s="15">
        <v>0.32400000000000001</v>
      </c>
    </row>
  </sheetData>
  <mergeCells count="5">
    <mergeCell ref="A2:A6"/>
    <mergeCell ref="B28:C28"/>
    <mergeCell ref="D28:E28"/>
    <mergeCell ref="F28:G28"/>
    <mergeCell ref="A28:A33"/>
  </mergeCells>
  <phoneticPr fontId="5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N9"/>
  <sheetViews>
    <sheetView zoomScale="130" zoomScaleNormal="130" workbookViewId="0">
      <selection activeCell="B1" sqref="B1:L6"/>
    </sheetView>
  </sheetViews>
  <sheetFormatPr defaultRowHeight="14" x14ac:dyDescent="0.3"/>
  <sheetData>
    <row r="1" spans="2:14" x14ac:dyDescent="0.3">
      <c r="B1" s="71" t="s">
        <v>98</v>
      </c>
      <c r="C1" s="72"/>
      <c r="D1" s="72"/>
      <c r="E1" s="73"/>
      <c r="F1" s="70" t="s">
        <v>102</v>
      </c>
      <c r="G1" s="70"/>
      <c r="H1" s="70"/>
      <c r="I1" s="70"/>
      <c r="J1" s="71" t="s">
        <v>103</v>
      </c>
      <c r="K1" s="72"/>
      <c r="L1" s="73"/>
      <c r="M1" s="16"/>
      <c r="N1" s="12"/>
    </row>
    <row r="2" spans="2:14" x14ac:dyDescent="0.3">
      <c r="B2" s="15" t="s">
        <v>99</v>
      </c>
      <c r="C2" s="15" t="s">
        <v>104</v>
      </c>
      <c r="D2" s="15" t="s">
        <v>100</v>
      </c>
      <c r="E2" s="15" t="s">
        <v>101</v>
      </c>
      <c r="F2" s="9" t="s">
        <v>99</v>
      </c>
      <c r="G2" s="9" t="s">
        <v>105</v>
      </c>
      <c r="H2" s="9" t="s">
        <v>100</v>
      </c>
      <c r="I2" s="9" t="s">
        <v>101</v>
      </c>
      <c r="J2" s="15" t="s">
        <v>99</v>
      </c>
      <c r="K2" s="15" t="s">
        <v>106</v>
      </c>
      <c r="L2" s="15" t="s">
        <v>100</v>
      </c>
      <c r="M2" s="12"/>
    </row>
    <row r="3" spans="2:14" x14ac:dyDescent="0.3">
      <c r="B3" s="15">
        <v>302.07900000000001</v>
      </c>
      <c r="C3" s="15">
        <v>113</v>
      </c>
      <c r="D3" s="15">
        <v>2632.99</v>
      </c>
      <c r="E3" s="15">
        <v>0.61547218326320707</v>
      </c>
      <c r="F3" s="9">
        <v>297.30399999999997</v>
      </c>
      <c r="G3" s="9">
        <v>100.3</v>
      </c>
      <c r="H3" s="9">
        <v>3564.06</v>
      </c>
      <c r="I3" s="9">
        <v>1.2753837895866882</v>
      </c>
      <c r="J3" s="15">
        <v>200</v>
      </c>
      <c r="K3" s="15">
        <v>57.11</v>
      </c>
      <c r="L3" s="15">
        <v>2405</v>
      </c>
      <c r="M3" s="12"/>
    </row>
    <row r="4" spans="2:14" x14ac:dyDescent="0.3">
      <c r="B4" s="15">
        <v>420.173</v>
      </c>
      <c r="C4" s="15">
        <v>129.30000000000001</v>
      </c>
      <c r="D4" s="15">
        <v>4043.3</v>
      </c>
      <c r="E4" s="15">
        <v>1.0752046270442759</v>
      </c>
      <c r="F4" s="9">
        <v>421.09699999999998</v>
      </c>
      <c r="G4" s="9">
        <v>104.7</v>
      </c>
      <c r="H4" s="9">
        <v>4124.63</v>
      </c>
      <c r="I4" s="9">
        <v>1.4065234441602728</v>
      </c>
      <c r="J4" s="15">
        <v>340</v>
      </c>
      <c r="K4" s="15">
        <v>89.37</v>
      </c>
      <c r="L4" s="15">
        <v>3870</v>
      </c>
      <c r="M4" s="12"/>
    </row>
    <row r="5" spans="2:14" x14ac:dyDescent="0.3">
      <c r="B5" s="15">
        <v>420.57100000000003</v>
      </c>
      <c r="C5" s="15">
        <v>113.6</v>
      </c>
      <c r="D5" s="15">
        <v>3815.0230000000001</v>
      </c>
      <c r="E5" s="15">
        <v>1.3009456095481671</v>
      </c>
      <c r="F5" s="9">
        <v>503.90300000000002</v>
      </c>
      <c r="G5" s="9">
        <v>106.3</v>
      </c>
      <c r="H5" s="9">
        <v>4380.3999999999996</v>
      </c>
      <c r="I5" s="9">
        <v>1.4763734411863834</v>
      </c>
      <c r="J5" s="15">
        <v>420</v>
      </c>
      <c r="K5" s="15">
        <v>106.19</v>
      </c>
      <c r="L5" s="15">
        <v>4585</v>
      </c>
      <c r="M5" s="12"/>
    </row>
    <row r="6" spans="2:14" x14ac:dyDescent="0.3">
      <c r="B6" s="15"/>
      <c r="C6" s="15"/>
      <c r="D6" s="15"/>
      <c r="E6" s="15"/>
      <c r="F6" s="9">
        <v>505.52</v>
      </c>
      <c r="G6" s="9">
        <v>131.19999999999999</v>
      </c>
      <c r="H6" s="9">
        <v>5018.8</v>
      </c>
      <c r="I6" s="9">
        <v>1.3105627366496932</v>
      </c>
      <c r="J6" s="15">
        <v>500</v>
      </c>
      <c r="K6" s="15">
        <v>118.92</v>
      </c>
      <c r="L6" s="15">
        <v>5159</v>
      </c>
      <c r="M6" s="12"/>
    </row>
    <row r="7" spans="2:14" x14ac:dyDescent="0.3">
      <c r="B7" s="12"/>
      <c r="C7" s="12"/>
      <c r="D7" s="12"/>
      <c r="E7" s="12"/>
      <c r="F7" s="12"/>
      <c r="G7" s="12"/>
      <c r="I7" s="12"/>
      <c r="J7" s="12"/>
      <c r="L7" s="12"/>
      <c r="M7" s="12"/>
      <c r="N7" s="12"/>
    </row>
    <row r="8" spans="2:14" x14ac:dyDescent="0.3">
      <c r="B8" s="12"/>
      <c r="C8" s="12"/>
      <c r="D8" s="12"/>
      <c r="E8" s="12"/>
      <c r="F8" s="12"/>
      <c r="G8" s="12"/>
      <c r="I8" s="12"/>
      <c r="J8" s="12"/>
      <c r="L8" s="12"/>
      <c r="M8" s="12"/>
      <c r="N8" s="12"/>
    </row>
    <row r="9" spans="2:14" x14ac:dyDescent="0.3">
      <c r="B9" s="12"/>
      <c r="C9" s="12"/>
      <c r="D9" s="12"/>
      <c r="E9" s="12"/>
      <c r="F9" s="12"/>
      <c r="G9" s="12"/>
      <c r="I9" s="12"/>
      <c r="J9" s="12"/>
      <c r="L9" s="12"/>
      <c r="M9" s="12"/>
      <c r="N9" s="12"/>
    </row>
  </sheetData>
  <mergeCells count="3">
    <mergeCell ref="F1:I1"/>
    <mergeCell ref="B1:E1"/>
    <mergeCell ref="J1:L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压降分析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方健珉</dc:creator>
  <cp:lastModifiedBy>Wang Anci</cp:lastModifiedBy>
  <dcterms:created xsi:type="dcterms:W3CDTF">2019-03-22T02:59:42Z</dcterms:created>
  <dcterms:modified xsi:type="dcterms:W3CDTF">2022-03-31T18:53:52Z</dcterms:modified>
</cp:coreProperties>
</file>