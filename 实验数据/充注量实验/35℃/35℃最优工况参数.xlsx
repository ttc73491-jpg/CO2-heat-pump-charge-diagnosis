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https://d.docs.live.net/373666be62db9b3f/哈哈的文件/科研相关/项目相关/东风项目/实验相关内容/第二阶段实验20191021/充注量实验/35℃/"/>
    </mc:Choice>
  </mc:AlternateContent>
  <xr:revisionPtr revIDLastSave="128" documentId="11_AD4DA82427541F7ACA7EB848404C08F06AE8DE09" xr6:coauthVersionLast="47" xr6:coauthVersionMax="47" xr10:uidLastSave="{5AEE2758-F36B-4FFD-B745-8C53B4E1D6A7}"/>
  <bookViews>
    <workbookView xWindow="-110" yWindow="-110" windowWidth="19420" windowHeight="1176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8" i="1" l="1"/>
  <c r="E68" i="1"/>
  <c r="E71" i="1"/>
  <c r="E69" i="1"/>
  <c r="E67" i="1"/>
  <c r="E66" i="1"/>
  <c r="E65" i="1"/>
  <c r="E74" i="1"/>
  <c r="E75" i="1"/>
  <c r="E73" i="1"/>
  <c r="E72" i="1"/>
  <c r="E70" i="1"/>
  <c r="D61" i="1" a="1"/>
  <c r="H61" i="1" a="1"/>
  <c r="L61" i="1" a="1"/>
  <c r="I61" i="1" a="1"/>
  <c r="Q61" i="1" a="1"/>
  <c r="K61" i="1" a="1"/>
  <c r="E61" i="1" a="1"/>
  <c r="M61" i="1" a="1"/>
  <c r="P61" i="1" a="1"/>
  <c r="J61" i="1" a="1"/>
  <c r="O61" i="1" a="1"/>
  <c r="F61" i="1" a="1"/>
  <c r="N61" i="1" a="1"/>
  <c r="G61" i="1" a="1"/>
  <c r="C61" i="1" a="1"/>
  <c r="D60" i="1" a="1"/>
  <c r="H60" i="1" a="1"/>
  <c r="L60" i="1" a="1"/>
  <c r="P60" i="1" a="1"/>
  <c r="I60" i="1" a="1"/>
  <c r="E60" i="1" a="1"/>
  <c r="M60" i="1" a="1"/>
  <c r="Q60" i="1" a="1"/>
  <c r="F60" i="1" a="1"/>
  <c r="N60" i="1" a="1"/>
  <c r="K60" i="1" a="1"/>
  <c r="J60" i="1" a="1"/>
  <c r="O60" i="1" a="1"/>
  <c r="G60" i="1" a="1"/>
  <c r="C60" i="1" a="1"/>
  <c r="M51" i="1" a="1"/>
  <c r="M38" i="1" a="1"/>
  <c r="M50" i="1" a="1"/>
  <c r="M55" i="1" a="1"/>
  <c r="G61" i="1" l="1"/>
  <c r="N61" i="1"/>
  <c r="F61" i="1"/>
  <c r="O61" i="1"/>
  <c r="J61" i="1"/>
  <c r="P61" i="1"/>
  <c r="M61" i="1"/>
  <c r="E61" i="1"/>
  <c r="K61" i="1"/>
  <c r="Q61" i="1"/>
  <c r="I61" i="1"/>
  <c r="L61" i="1"/>
  <c r="H61" i="1"/>
  <c r="D61" i="1"/>
  <c r="C61" i="1"/>
  <c r="G60" i="1"/>
  <c r="O60" i="1"/>
  <c r="J60" i="1"/>
  <c r="K60" i="1"/>
  <c r="N60" i="1"/>
  <c r="F60" i="1"/>
  <c r="Q60" i="1"/>
  <c r="M60" i="1"/>
  <c r="E60" i="1"/>
  <c r="I60" i="1"/>
  <c r="P60" i="1"/>
  <c r="L60" i="1"/>
  <c r="H60" i="1"/>
  <c r="D60" i="1"/>
  <c r="C60" i="1"/>
  <c r="M55" i="1"/>
  <c r="M51" i="1"/>
  <c r="M50" i="1"/>
  <c r="M38" i="1"/>
  <c r="M52" i="1"/>
  <c r="M40" i="1"/>
  <c r="M42" i="1" s="1"/>
  <c r="P57" i="1"/>
  <c r="M57" i="1"/>
  <c r="P59" i="1"/>
  <c r="Q57" i="1"/>
  <c r="N57" i="1"/>
  <c r="P58" i="1" a="1"/>
  <c r="P58" i="1" l="1"/>
  <c r="M53" i="1"/>
  <c r="M54" i="1"/>
  <c r="M49" i="1"/>
  <c r="M43" i="1"/>
  <c r="M5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<sst xmlns="http://schemas.openxmlformats.org/spreadsheetml/2006/main" count="140" uniqueCount="77">
  <si>
    <t>日期</t>
    <phoneticPr fontId="7" type="noConversion"/>
  </si>
  <si>
    <t>全回热</t>
    <phoneticPr fontId="7" type="noConversion"/>
  </si>
  <si>
    <t>类别</t>
    <phoneticPr fontId="7" type="noConversion"/>
  </si>
  <si>
    <t>项目</t>
    <phoneticPr fontId="7" type="noConversion"/>
  </si>
  <si>
    <t>组1</t>
    <phoneticPr fontId="7" type="noConversion"/>
  </si>
  <si>
    <t>环境参数</t>
    <phoneticPr fontId="7" type="noConversion"/>
  </si>
  <si>
    <t>室内干球</t>
    <phoneticPr fontId="7" type="noConversion"/>
  </si>
  <si>
    <t>室内湿球</t>
    <phoneticPr fontId="7" type="noConversion"/>
  </si>
  <si>
    <t>室外干球</t>
    <phoneticPr fontId="7" type="noConversion"/>
  </si>
  <si>
    <t>室外湿球</t>
    <phoneticPr fontId="7" type="noConversion"/>
  </si>
  <si>
    <t>温度/℃</t>
    <phoneticPr fontId="7" type="noConversion"/>
  </si>
  <si>
    <t>吸气温度</t>
    <phoneticPr fontId="7" type="noConversion"/>
  </si>
  <si>
    <t>排气温度</t>
    <phoneticPr fontId="7" type="noConversion"/>
  </si>
  <si>
    <t>室外换热进口</t>
    <phoneticPr fontId="7" type="noConversion"/>
  </si>
  <si>
    <t>室外换热出口</t>
    <phoneticPr fontId="7" type="noConversion"/>
  </si>
  <si>
    <t>回热器高压进口</t>
    <phoneticPr fontId="7" type="noConversion"/>
  </si>
  <si>
    <t>回热器高压出口</t>
    <phoneticPr fontId="7" type="noConversion"/>
  </si>
  <si>
    <t>阀前温度</t>
    <phoneticPr fontId="7" type="noConversion"/>
  </si>
  <si>
    <t>阀后温度</t>
    <phoneticPr fontId="7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</si>
  <si>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进</t>
    </r>
    <r>
      <rPr>
        <sz val="11"/>
        <color rgb="FF9C6500"/>
        <rFont val="等线"/>
        <family val="2"/>
        <charset val="134"/>
        <scheme val="minor"/>
      </rPr>
      <t>口</t>
    </r>
    <phoneticPr fontId="7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</si>
  <si>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出</t>
    </r>
    <r>
      <rPr>
        <sz val="11"/>
        <color rgb="FF9C6500"/>
        <rFont val="等线"/>
        <family val="2"/>
        <charset val="134"/>
        <scheme val="minor"/>
      </rPr>
      <t>口</t>
    </r>
    <phoneticPr fontId="7" type="noConversion"/>
  </si>
  <si>
    <t>储液器进口</t>
    <phoneticPr fontId="7" type="noConversion"/>
  </si>
  <si>
    <t>储液器出口</t>
    <phoneticPr fontId="7" type="noConversion"/>
  </si>
  <si>
    <t>回热器低压进口</t>
    <phoneticPr fontId="7" type="noConversion"/>
  </si>
  <si>
    <t>回热器低压出口</t>
    <phoneticPr fontId="7" type="noConversion"/>
  </si>
  <si>
    <t>压力/Mpa</t>
    <phoneticPr fontId="7" type="noConversion"/>
  </si>
  <si>
    <t>吸气压力</t>
    <phoneticPr fontId="7" type="noConversion"/>
  </si>
  <si>
    <t>排气压力</t>
    <phoneticPr fontId="7" type="noConversion"/>
  </si>
  <si>
    <t>气冷进口</t>
    <phoneticPr fontId="7" type="noConversion"/>
  </si>
  <si>
    <t>气冷出口</t>
    <phoneticPr fontId="7" type="noConversion"/>
  </si>
  <si>
    <t>阀前压力</t>
    <phoneticPr fontId="7" type="noConversion"/>
  </si>
  <si>
    <t>主换热器进口</t>
    <phoneticPr fontId="7" type="noConversion"/>
  </si>
  <si>
    <t>主换热器出口</t>
    <phoneticPr fontId="7" type="noConversion"/>
  </si>
  <si>
    <t>性能</t>
    <phoneticPr fontId="7" type="noConversion"/>
  </si>
  <si>
    <t>电压/V</t>
    <phoneticPr fontId="7" type="noConversion"/>
  </si>
  <si>
    <t>电流/A</t>
    <phoneticPr fontId="7" type="noConversion"/>
  </si>
  <si>
    <t>充注量/g</t>
    <phoneticPr fontId="7" type="noConversion"/>
  </si>
  <si>
    <t>压缩机转速/rpm</t>
    <phoneticPr fontId="7" type="noConversion"/>
  </si>
  <si>
    <t>膨胀阀开度</t>
    <phoneticPr fontId="7" type="noConversion"/>
  </si>
  <si>
    <r>
      <t>制冷剂流量/kg·h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7" type="noConversion"/>
  </si>
  <si>
    <r>
      <t>室内侧风量/m</t>
    </r>
    <r>
      <rPr>
        <vertAlign val="superscript"/>
        <sz val="11"/>
        <color rgb="FF3F3F76"/>
        <rFont val="等线"/>
        <family val="3"/>
        <charset val="134"/>
        <scheme val="minor"/>
      </rPr>
      <t>3</t>
    </r>
    <r>
      <rPr>
        <sz val="11"/>
        <color rgb="FF3F3F76"/>
        <rFont val="等线"/>
        <family val="2"/>
        <charset val="134"/>
        <scheme val="minor"/>
      </rPr>
      <t>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7" type="noConversion"/>
  </si>
  <si>
    <t>室外侧风量/m3·h-1</t>
    <phoneticPr fontId="7" type="noConversion"/>
  </si>
  <si>
    <t>室内侧换热量//蒸发器/W</t>
    <phoneticPr fontId="7" type="noConversion"/>
  </si>
  <si>
    <t>室内侧换热量/制冷剂/W</t>
    <phoneticPr fontId="7" type="noConversion"/>
  </si>
  <si>
    <t>室外侧换热量//冷凝器/W</t>
    <phoneticPr fontId="7" type="noConversion"/>
  </si>
  <si>
    <t>压缩机功率/W</t>
    <phoneticPr fontId="7" type="noConversion"/>
  </si>
  <si>
    <t>压缩机功率WT500</t>
    <phoneticPr fontId="7" type="noConversion"/>
  </si>
  <si>
    <t>室内侧COP</t>
    <phoneticPr fontId="7" type="noConversion"/>
  </si>
  <si>
    <t>室内侧COP/制冷剂</t>
    <phoneticPr fontId="7" type="noConversion"/>
  </si>
  <si>
    <t>室外侧COP</t>
    <phoneticPr fontId="7" type="noConversion"/>
  </si>
  <si>
    <t>室内出风干球/℃</t>
    <phoneticPr fontId="7" type="noConversion"/>
  </si>
  <si>
    <t>室内出风湿球/℃</t>
    <phoneticPr fontId="7" type="noConversion"/>
  </si>
  <si>
    <t>室外出风干球/℃</t>
    <phoneticPr fontId="7" type="noConversion"/>
  </si>
  <si>
    <t>室外出风湿球/℃</t>
    <phoneticPr fontId="7" type="noConversion"/>
  </si>
  <si>
    <t>a/r</t>
    <phoneticPr fontId="7" type="noConversion"/>
  </si>
  <si>
    <t>压缩功/W</t>
    <phoneticPr fontId="7" type="noConversion"/>
  </si>
  <si>
    <t>等熵压缩功/W</t>
    <phoneticPr fontId="7" type="noConversion"/>
  </si>
  <si>
    <t>压比</t>
    <phoneticPr fontId="7" type="noConversion"/>
  </si>
  <si>
    <t>机械效率</t>
    <phoneticPr fontId="7" type="noConversion"/>
  </si>
  <si>
    <t>等熵效率</t>
    <phoneticPr fontId="7" type="noConversion"/>
  </si>
  <si>
    <t>容积效率</t>
    <phoneticPr fontId="7" type="noConversion"/>
  </si>
  <si>
    <t>总效率</t>
    <phoneticPr fontId="7" type="noConversion"/>
  </si>
  <si>
    <t>组5</t>
    <phoneticPr fontId="7" type="noConversion"/>
  </si>
  <si>
    <t>组10</t>
    <phoneticPr fontId="7" type="noConversion"/>
  </si>
  <si>
    <t>组20</t>
    <phoneticPr fontId="7" type="noConversion"/>
  </si>
  <si>
    <t>组23</t>
    <phoneticPr fontId="7" type="noConversion"/>
  </si>
  <si>
    <t>组26</t>
    <phoneticPr fontId="7" type="noConversion"/>
  </si>
  <si>
    <t>组30</t>
    <phoneticPr fontId="7" type="noConversion"/>
  </si>
  <si>
    <t>无回热</t>
    <phoneticPr fontId="7" type="noConversion"/>
  </si>
  <si>
    <t>组4</t>
    <phoneticPr fontId="7" type="noConversion"/>
  </si>
  <si>
    <t>组15</t>
  </si>
  <si>
    <t>组17</t>
  </si>
  <si>
    <t>组2</t>
    <phoneticPr fontId="7" type="noConversion"/>
  </si>
  <si>
    <t>节流后（蒸发前）的焓值</t>
    <phoneticPr fontId="7" type="noConversion"/>
  </si>
  <si>
    <t>蒸发器进口的干度</t>
    <phoneticPr fontId="6" type="noConversion"/>
  </si>
  <si>
    <t>蒸发器出口的过热度</t>
    <phoneticPr fontId="6" type="noConversion"/>
  </si>
  <si>
    <t>压比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</si>
</sst>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vertAlign val="superscript"/>
      <sz val="11"/>
      <color rgb="FF3F3F76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3F3F3F"/>
      </bottom>
      <diagonal/>
    </border>
    <border>
      <left/>
      <right/>
      <top style="thin">
        <color rgb="FF3F3F3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" fillId="5" borderId="2" applyNumberFormat="0" applyFont="0" applyAlignment="0" applyProtection="0">
      <alignment vertical="center"/>
    </xf>
  </cellStyleXfs>
  <cellXfs count="4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1" xfId="3" applyAlignment="1">
      <alignment horizontal="center" vertical="center"/>
    </xf>
    <xf numFmtId="0" fontId="4" fillId="6" borderId="1" xfId="3" applyFill="1" applyAlignment="1">
      <alignment horizontal="center" vertical="center"/>
    </xf>
    <xf numFmtId="9" fontId="0" fillId="5" borderId="2" xfId="4" applyNumberFormat="1" applyFont="1" applyAlignment="1">
      <alignment horizontal="center" vertical="center"/>
    </xf>
    <xf numFmtId="0" fontId="0" fillId="5" borderId="2" xfId="4" applyNumberFormat="1" applyFont="1" applyAlignment="1">
      <alignment horizontal="center" vertical="center"/>
    </xf>
    <xf numFmtId="0" fontId="3" fillId="3" borderId="1" xfId="2" applyAlignment="1">
      <alignment horizontal="center" vertical="center"/>
    </xf>
    <xf numFmtId="0" fontId="3" fillId="8" borderId="1" xfId="2" applyFill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4" fillId="4" borderId="3" xfId="3" applyBorder="1" applyAlignment="1">
      <alignment horizontal="center" vertical="center"/>
    </xf>
    <xf numFmtId="9" fontId="0" fillId="5" borderId="12" xfId="4" applyNumberFormat="1" applyFont="1" applyBorder="1" applyAlignment="1">
      <alignment horizontal="center" vertical="center"/>
    </xf>
    <xf numFmtId="0" fontId="2" fillId="2" borderId="8" xfId="1" applyBorder="1" applyAlignment="1">
      <alignment horizontal="center" vertical="center"/>
    </xf>
    <xf numFmtId="0" fontId="2" fillId="7" borderId="8" xfId="1" applyFill="1" applyBorder="1" applyAlignment="1">
      <alignment horizontal="center" vertical="center"/>
    </xf>
    <xf numFmtId="0" fontId="4" fillId="6" borderId="3" xfId="3" applyFill="1" applyBorder="1" applyAlignment="1">
      <alignment horizontal="center" vertical="center"/>
    </xf>
    <xf numFmtId="0" fontId="0" fillId="5" borderId="12" xfId="4" applyNumberFormat="1" applyFont="1" applyBorder="1" applyAlignment="1">
      <alignment horizontal="center" vertical="center"/>
    </xf>
    <xf numFmtId="0" fontId="5" fillId="2" borderId="8" xfId="1" applyFont="1" applyBorder="1" applyAlignment="1">
      <alignment horizontal="center" vertical="center"/>
    </xf>
    <xf numFmtId="0" fontId="3" fillId="9" borderId="1" xfId="2" applyFill="1" applyAlignment="1">
      <alignment horizontal="center" vertical="center"/>
    </xf>
    <xf numFmtId="0" fontId="0" fillId="0" borderId="0" xfId="0" applyAlignment="1">
      <alignment horizontal="center"/>
    </xf>
    <xf numFmtId="0" fontId="4" fillId="10" borderId="1" xfId="3" applyFill="1" applyAlignment="1">
      <alignment horizontal="center" vertical="center"/>
    </xf>
    <xf numFmtId="0" fontId="8" fillId="11" borderId="13" xfId="1" applyFont="1" applyFill="1" applyBorder="1" applyAlignment="1">
      <alignment horizontal="center" vertical="center"/>
    </xf>
    <xf numFmtId="0" fontId="0" fillId="10" borderId="2" xfId="4" applyNumberFormat="1" applyFont="1" applyFill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0" fillId="8" borderId="12" xfId="4" applyNumberFormat="1" applyFont="1" applyFill="1" applyBorder="1" applyAlignment="1">
      <alignment horizontal="center" vertical="center"/>
    </xf>
    <xf numFmtId="0" fontId="0" fillId="8" borderId="2" xfId="4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4" fillId="4" borderId="5" xfId="3" applyBorder="1" applyAlignment="1">
      <alignment horizontal="center" vertical="center"/>
    </xf>
    <xf numFmtId="0" fontId="2" fillId="2" borderId="9" xfId="1" applyBorder="1" applyAlignment="1">
      <alignment horizontal="center" vertical="center"/>
    </xf>
    <xf numFmtId="0" fontId="2" fillId="2" borderId="10" xfId="1" applyBorder="1" applyAlignment="1">
      <alignment horizontal="center" vertical="center"/>
    </xf>
    <xf numFmtId="0" fontId="2" fillId="2" borderId="11" xfId="1" applyBorder="1" applyAlignment="1">
      <alignment horizontal="center" vertical="center"/>
    </xf>
    <xf numFmtId="0" fontId="0" fillId="5" borderId="6" xfId="4" applyFont="1" applyBorder="1" applyAlignment="1">
      <alignment horizontal="center" vertical="center"/>
    </xf>
    <xf numFmtId="0" fontId="0" fillId="5" borderId="0" xfId="4" applyFont="1" applyBorder="1" applyAlignment="1">
      <alignment horizontal="center" vertical="center"/>
    </xf>
    <xf numFmtId="0" fontId="3" fillId="3" borderId="7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4" fillId="9" borderId="1" xfId="3" applyFill="1" applyAlignment="1">
      <alignment horizontal="center" vertical="center"/>
    </xf>
    <xf numFmtId="0" fontId="4" fillId="9" borderId="3" xfId="3" applyFill="1" applyBorder="1" applyAlignment="1">
      <alignment horizontal="center" vertical="center"/>
    </xf>
    <xf numFmtId="0" fontId="2" fillId="9" borderId="8" xfId="1" applyFill="1" applyBorder="1" applyAlignment="1">
      <alignment horizontal="center" vertical="center"/>
    </xf>
    <xf numFmtId="0" fontId="0" fillId="9" borderId="12" xfId="4" applyNumberFormat="1" applyFont="1" applyFill="1" applyBorder="1" applyAlignment="1">
      <alignment horizontal="center" vertical="center"/>
    </xf>
    <xf numFmtId="0" fontId="0" fillId="9" borderId="2" xfId="4" applyNumberFormat="1" applyFont="1" applyFill="1" applyAlignment="1">
      <alignment horizontal="center" vertical="center"/>
    </xf>
    <xf numFmtId="0" fontId="0" fillId="9" borderId="0" xfId="0" applyFill="1"/>
  </cellXfs>
  <cellStyles count="5">
    <cellStyle name="常规" xfId="0" builtinId="0"/>
    <cellStyle name="计算" xfId="3" builtinId="22"/>
    <cellStyle name="适中" xfId="1" builtinId="28"/>
    <cellStyle name="输入" xfId="2" builtinId="20"/>
    <cellStyle name="注释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77537182852145E-2"/>
          <c:y val="7.8368183548750747E-2"/>
          <c:w val="0.88073862642169731"/>
          <c:h val="0.8416746864975212"/>
        </c:manualLayout>
      </c:layout>
      <c:scatterChart>
        <c:scatterStyle val="smoothMarker"/>
        <c:varyColors val="0"/>
        <c:ser>
          <c:idx val="0"/>
          <c:order val="0"/>
          <c:tx>
            <c:v>等熵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8466601049868767"/>
                  <c:y val="5.77569539822972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Sheet1!$E$65:$E$75</c:f>
              <c:numCache>
                <c:formatCode>General</c:formatCode>
                <c:ptCount val="11"/>
                <c:pt idx="0">
                  <c:v>2.6160458452722062</c:v>
                </c:pt>
                <c:pt idx="1">
                  <c:v>2.6598837209302326</c:v>
                </c:pt>
                <c:pt idx="2">
                  <c:v>2.7155425219941347</c:v>
                </c:pt>
                <c:pt idx="3">
                  <c:v>2.7165109034267916</c:v>
                </c:pt>
                <c:pt idx="4">
                  <c:v>2.7205882352941178</c:v>
                </c:pt>
                <c:pt idx="5">
                  <c:v>2.7412587412587412</c:v>
                </c:pt>
                <c:pt idx="6">
                  <c:v>2.8083832335329344</c:v>
                </c:pt>
                <c:pt idx="7">
                  <c:v>3.0898203592814375</c:v>
                </c:pt>
                <c:pt idx="8">
                  <c:v>3.1498470948012236</c:v>
                </c:pt>
                <c:pt idx="9">
                  <c:v>3.2039215686274511</c:v>
                </c:pt>
                <c:pt idx="10">
                  <c:v>3.246478873239437</c:v>
                </c:pt>
              </c:numCache>
            </c:numRef>
          </c:xVal>
          <c:yVal>
            <c:numRef>
              <c:f>Sheet1!$C$65:$C$75</c:f>
              <c:numCache>
                <c:formatCode>General</c:formatCode>
                <c:ptCount val="11"/>
                <c:pt idx="0">
                  <c:v>0.69649086965868834</c:v>
                </c:pt>
                <c:pt idx="1">
                  <c:v>0.6958663305919649</c:v>
                </c:pt>
                <c:pt idx="2">
                  <c:v>0.69713896161776201</c:v>
                </c:pt>
                <c:pt idx="3">
                  <c:v>0.71450991139905085</c:v>
                </c:pt>
                <c:pt idx="4">
                  <c:v>0.71420428409316516</c:v>
                </c:pt>
                <c:pt idx="5">
                  <c:v>0.72620248621792283</c:v>
                </c:pt>
                <c:pt idx="6">
                  <c:v>0.72588544692126511</c:v>
                </c:pt>
                <c:pt idx="7">
                  <c:v>0.76572789435298039</c:v>
                </c:pt>
                <c:pt idx="8">
                  <c:v>0.6897595533434896</c:v>
                </c:pt>
                <c:pt idx="9">
                  <c:v>0.68799999999999994</c:v>
                </c:pt>
                <c:pt idx="10">
                  <c:v>0.67723671636634653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82-41F4-9780-05AAABA1C840}"/>
            </c:ext>
          </c:extLst>
        </c:ser>
        <c:ser>
          <c:idx val="1"/>
          <c:order val="1"/>
          <c:tx>
            <c:v>容积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0777121609798779E-2"/>
                  <c:y val="-7.8194727057927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Sheet1!$E$65:$E$75</c:f>
              <c:numCache>
                <c:formatCode>General</c:formatCode>
                <c:ptCount val="11"/>
                <c:pt idx="0">
                  <c:v>2.6160458452722062</c:v>
                </c:pt>
                <c:pt idx="1">
                  <c:v>2.6598837209302326</c:v>
                </c:pt>
                <c:pt idx="2">
                  <c:v>2.7155425219941347</c:v>
                </c:pt>
                <c:pt idx="3">
                  <c:v>2.7165109034267916</c:v>
                </c:pt>
                <c:pt idx="4">
                  <c:v>2.7205882352941178</c:v>
                </c:pt>
                <c:pt idx="5">
                  <c:v>2.7412587412587412</c:v>
                </c:pt>
                <c:pt idx="6">
                  <c:v>2.8083832335329344</c:v>
                </c:pt>
                <c:pt idx="7">
                  <c:v>3.0898203592814375</c:v>
                </c:pt>
                <c:pt idx="8">
                  <c:v>3.1498470948012236</c:v>
                </c:pt>
                <c:pt idx="9">
                  <c:v>3.2039215686274511</c:v>
                </c:pt>
                <c:pt idx="10">
                  <c:v>3.246478873239437</c:v>
                </c:pt>
              </c:numCache>
            </c:numRef>
          </c:xVal>
          <c:yVal>
            <c:numRef>
              <c:f>Sheet1!$D$65:$D$75</c:f>
              <c:numCache>
                <c:formatCode>General</c:formatCode>
                <c:ptCount val="11"/>
                <c:pt idx="0">
                  <c:v>0.90035616543043329</c:v>
                </c:pt>
                <c:pt idx="1">
                  <c:v>0.89775632400330163</c:v>
                </c:pt>
                <c:pt idx="2">
                  <c:v>0.88945551542006751</c:v>
                </c:pt>
                <c:pt idx="3">
                  <c:v>0.90049315895779158</c:v>
                </c:pt>
                <c:pt idx="4">
                  <c:v>0.90588460357485612</c:v>
                </c:pt>
                <c:pt idx="5">
                  <c:v>0.88779598787005176</c:v>
                </c:pt>
                <c:pt idx="6">
                  <c:v>0.90500773293854619</c:v>
                </c:pt>
                <c:pt idx="7">
                  <c:v>0.87513303232631379</c:v>
                </c:pt>
                <c:pt idx="8">
                  <c:v>0.85621107149714004</c:v>
                </c:pt>
                <c:pt idx="9">
                  <c:v>0.83399999999999996</c:v>
                </c:pt>
                <c:pt idx="10">
                  <c:v>0.84953181663847455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82-41F4-9780-05AAABA1C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812592"/>
        <c:axId val="1498264896"/>
      </c:scatterChart>
      <c:valAx>
        <c:axId val="1695812592"/>
        <c:scaling>
          <c:orientation val="minMax"/>
          <c:min val="2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8264896"/>
        <c:crosses val="autoZero"/>
        <c:crossBetween val="midCat"/>
      </c:valAx>
      <c:valAx>
        <c:axId val="149826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581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0266841644792"/>
          <c:y val="0.40472234450961181"/>
          <c:w val="0.22498622047244091"/>
          <c:h val="0.362321192731462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54768</xdr:colOff>
      <xdr:row>64</xdr:row>
      <xdr:rowOff>57148</xdr:rowOff>
    </xdr:from>
    <xdr:to>
      <xdr:col>15</xdr:col>
      <xdr:colOff>421481</xdr:colOff>
      <xdr:row>81</xdr:row>
      <xdr:rowOff>19049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6C17018-CA80-4A8B-A298-613830B49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\REFPROP\REFPROP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hr\AppData\Roaming\Microsoft\AddIns\REF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FPROP"/>
    </sheetNames>
    <definedNames>
      <definedName name="Density"/>
      <definedName name="Enthalpy"/>
      <definedName name="Entropy"/>
      <definedName name="Quality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UserInformation"/>
      <sheetName val="Examples"/>
      <sheetName val="Mixture Examples"/>
      <sheetName val="CheckSum"/>
      <sheetName val="REFPROP"/>
    </sheetNames>
    <definedNames>
      <definedName name="Enthalpy"/>
      <definedName name="Temperature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5"/>
  <sheetViews>
    <sheetView tabSelected="1" topLeftCell="A4" workbookViewId="0">
      <selection activeCell="B36" sqref="B36"/>
    </sheetView>
  </sheetViews>
  <sheetFormatPr defaultRowHeight="14" x14ac:dyDescent="0.3"/>
  <cols>
    <col min="2" max="2" width="22.58203125" customWidth="1"/>
    <col min="4" max="6" width="9.08203125" style="9"/>
    <col min="7" max="7" width="9.08203125" style="45"/>
    <col min="8" max="9" width="9.08203125" style="9"/>
    <col min="15" max="15" width="22.58203125" customWidth="1"/>
  </cols>
  <sheetData>
    <row r="1" spans="1:17" x14ac:dyDescent="0.3">
      <c r="A1" s="1"/>
      <c r="B1" s="2" t="s">
        <v>0</v>
      </c>
      <c r="C1" s="38" t="s">
        <v>1</v>
      </c>
      <c r="D1" s="38"/>
      <c r="E1" s="38"/>
      <c r="F1" s="38"/>
      <c r="G1" s="38"/>
      <c r="H1" s="38"/>
      <c r="I1" s="38"/>
      <c r="M1" s="28" t="s">
        <v>68</v>
      </c>
      <c r="N1" s="28"/>
      <c r="O1" s="28"/>
      <c r="P1" s="28"/>
      <c r="Q1" s="28"/>
    </row>
    <row r="2" spans="1:17" x14ac:dyDescent="0.3">
      <c r="A2" s="1" t="s">
        <v>2</v>
      </c>
      <c r="B2" s="2" t="s">
        <v>3</v>
      </c>
      <c r="C2" s="2" t="s">
        <v>4</v>
      </c>
      <c r="D2" s="2" t="s">
        <v>62</v>
      </c>
      <c r="E2" s="2" t="s">
        <v>63</v>
      </c>
      <c r="F2" s="2" t="s">
        <v>64</v>
      </c>
      <c r="G2" s="39" t="s">
        <v>65</v>
      </c>
      <c r="H2" s="2" t="s">
        <v>66</v>
      </c>
      <c r="I2" s="2" t="s">
        <v>67</v>
      </c>
      <c r="M2" s="19" t="s">
        <v>72</v>
      </c>
      <c r="N2" s="19" t="s">
        <v>69</v>
      </c>
      <c r="O2" s="24" t="s">
        <v>3</v>
      </c>
      <c r="P2" s="19" t="s">
        <v>70</v>
      </c>
      <c r="Q2" s="19" t="s">
        <v>71</v>
      </c>
    </row>
    <row r="3" spans="1:17" x14ac:dyDescent="0.3">
      <c r="A3" s="29" t="s">
        <v>5</v>
      </c>
      <c r="B3" s="3" t="s">
        <v>6</v>
      </c>
      <c r="C3" s="4">
        <v>27.2</v>
      </c>
      <c r="D3" s="4">
        <v>27</v>
      </c>
      <c r="E3" s="4">
        <v>27</v>
      </c>
      <c r="F3" s="4">
        <v>27</v>
      </c>
      <c r="G3" s="40">
        <v>27</v>
      </c>
      <c r="H3" s="4">
        <v>27</v>
      </c>
      <c r="I3" s="4">
        <v>27</v>
      </c>
      <c r="M3" s="20">
        <v>27</v>
      </c>
      <c r="N3" s="20">
        <v>27</v>
      </c>
      <c r="O3" s="3" t="s">
        <v>6</v>
      </c>
      <c r="P3" s="20">
        <v>27</v>
      </c>
      <c r="Q3" s="20">
        <v>27</v>
      </c>
    </row>
    <row r="4" spans="1:17" x14ac:dyDescent="0.3">
      <c r="A4" s="30"/>
      <c r="B4" s="3" t="s">
        <v>7</v>
      </c>
      <c r="C4" s="4">
        <v>19.7</v>
      </c>
      <c r="D4" s="4">
        <v>19.5</v>
      </c>
      <c r="E4" s="4">
        <v>19.5</v>
      </c>
      <c r="F4" s="4">
        <v>19.5</v>
      </c>
      <c r="G4" s="40">
        <v>19.5</v>
      </c>
      <c r="H4" s="4">
        <v>19.5</v>
      </c>
      <c r="I4" s="4">
        <v>19.5</v>
      </c>
      <c r="M4" s="20">
        <v>19.5</v>
      </c>
      <c r="N4" s="20">
        <v>19.5</v>
      </c>
      <c r="O4" s="3" t="s">
        <v>7</v>
      </c>
      <c r="P4" s="20">
        <v>19.5</v>
      </c>
      <c r="Q4" s="20">
        <v>19.5</v>
      </c>
    </row>
    <row r="5" spans="1:17" x14ac:dyDescent="0.3">
      <c r="A5" s="30"/>
      <c r="B5" s="3" t="s">
        <v>8</v>
      </c>
      <c r="C5" s="4">
        <v>35.299999999999997</v>
      </c>
      <c r="D5" s="4">
        <v>35</v>
      </c>
      <c r="E5" s="4">
        <v>35</v>
      </c>
      <c r="F5" s="4">
        <v>35</v>
      </c>
      <c r="G5" s="40">
        <v>35</v>
      </c>
      <c r="H5" s="4">
        <v>35</v>
      </c>
      <c r="I5" s="4">
        <v>35</v>
      </c>
      <c r="M5" s="20">
        <v>35</v>
      </c>
      <c r="N5" s="20">
        <v>34.799999999999997</v>
      </c>
      <c r="O5" s="3" t="s">
        <v>8</v>
      </c>
      <c r="P5" s="20">
        <v>35</v>
      </c>
      <c r="Q5" s="20">
        <v>35</v>
      </c>
    </row>
    <row r="6" spans="1:17" x14ac:dyDescent="0.3">
      <c r="A6" s="31"/>
      <c r="B6" s="11" t="s">
        <v>9</v>
      </c>
      <c r="C6" s="15">
        <v>26.1</v>
      </c>
      <c r="D6" s="15">
        <v>27.3</v>
      </c>
      <c r="E6" s="15">
        <v>27.4</v>
      </c>
      <c r="F6" s="15">
        <v>26</v>
      </c>
      <c r="G6" s="41">
        <v>26.1</v>
      </c>
      <c r="H6" s="15">
        <v>26.1</v>
      </c>
      <c r="I6" s="15">
        <v>26.1</v>
      </c>
      <c r="M6" s="20">
        <v>26.1</v>
      </c>
      <c r="N6" s="20">
        <v>27.8</v>
      </c>
      <c r="O6" s="23" t="s">
        <v>9</v>
      </c>
      <c r="P6" s="20">
        <v>27</v>
      </c>
      <c r="Q6" s="20">
        <v>26.8</v>
      </c>
    </row>
    <row r="7" spans="1:17" x14ac:dyDescent="0.3">
      <c r="A7" s="32" t="s">
        <v>10</v>
      </c>
      <c r="B7" s="13" t="s">
        <v>11</v>
      </c>
      <c r="C7" s="13">
        <v>35.159999999999997</v>
      </c>
      <c r="D7" s="14">
        <v>35.729999999999997</v>
      </c>
      <c r="E7" s="14">
        <v>31.79</v>
      </c>
      <c r="F7" s="14">
        <v>31.22</v>
      </c>
      <c r="G7" s="42">
        <v>31.01</v>
      </c>
      <c r="H7" s="14">
        <v>31.15</v>
      </c>
      <c r="I7" s="14">
        <v>26.86</v>
      </c>
      <c r="M7" s="21">
        <v>19.43</v>
      </c>
      <c r="N7" s="21">
        <v>17.8</v>
      </c>
      <c r="O7" s="13" t="s">
        <v>11</v>
      </c>
      <c r="P7" s="21">
        <v>2.85</v>
      </c>
      <c r="Q7" s="21">
        <v>-1.06</v>
      </c>
    </row>
    <row r="8" spans="1:17" x14ac:dyDescent="0.3">
      <c r="A8" s="33"/>
      <c r="B8" s="13" t="s">
        <v>12</v>
      </c>
      <c r="C8" s="13">
        <v>135.24</v>
      </c>
      <c r="D8" s="14">
        <v>135.72</v>
      </c>
      <c r="E8" s="14">
        <v>133.12</v>
      </c>
      <c r="F8" s="14">
        <v>129.86000000000001</v>
      </c>
      <c r="G8" s="42">
        <v>130.85</v>
      </c>
      <c r="H8" s="14">
        <v>128.78</v>
      </c>
      <c r="I8" s="14">
        <v>121.21</v>
      </c>
      <c r="M8" s="21">
        <v>135.71</v>
      </c>
      <c r="N8" s="21">
        <v>135.44999999999999</v>
      </c>
      <c r="O8" s="13" t="s">
        <v>12</v>
      </c>
      <c r="P8" s="21">
        <v>107.69</v>
      </c>
      <c r="Q8" s="21">
        <v>94.86</v>
      </c>
    </row>
    <row r="9" spans="1:17" x14ac:dyDescent="0.3">
      <c r="A9" s="33"/>
      <c r="B9" s="13" t="s">
        <v>13</v>
      </c>
      <c r="C9" s="13">
        <v>129.27000000000001</v>
      </c>
      <c r="D9" s="14">
        <v>130.24</v>
      </c>
      <c r="E9" s="14">
        <v>128.22</v>
      </c>
      <c r="F9" s="14">
        <v>124.98</v>
      </c>
      <c r="G9" s="42">
        <v>125.83</v>
      </c>
      <c r="H9" s="14">
        <v>123.8</v>
      </c>
      <c r="I9" s="14">
        <v>116.83</v>
      </c>
      <c r="M9" s="21">
        <v>129.66</v>
      </c>
      <c r="N9" s="21">
        <v>129.83000000000001</v>
      </c>
      <c r="O9" s="13" t="s">
        <v>13</v>
      </c>
      <c r="P9" s="21">
        <v>104.21</v>
      </c>
      <c r="Q9" s="21">
        <v>92.16</v>
      </c>
    </row>
    <row r="10" spans="1:17" x14ac:dyDescent="0.3">
      <c r="A10" s="33"/>
      <c r="B10" s="13" t="s">
        <v>14</v>
      </c>
      <c r="C10" s="17">
        <v>36.9</v>
      </c>
      <c r="D10" s="14">
        <v>37.93</v>
      </c>
      <c r="E10" s="14">
        <v>38.58</v>
      </c>
      <c r="F10" s="14">
        <v>38.61</v>
      </c>
      <c r="G10" s="42">
        <v>38.5</v>
      </c>
      <c r="H10" s="14">
        <v>38.51</v>
      </c>
      <c r="I10" s="14">
        <v>38.5</v>
      </c>
      <c r="M10" s="21">
        <v>36.97</v>
      </c>
      <c r="N10" s="21">
        <v>37.76</v>
      </c>
      <c r="O10" s="13" t="s">
        <v>14</v>
      </c>
      <c r="P10" s="21">
        <v>38.21</v>
      </c>
      <c r="Q10" s="21">
        <v>38.380000000000003</v>
      </c>
    </row>
    <row r="11" spans="1:17" x14ac:dyDescent="0.3">
      <c r="A11" s="33"/>
      <c r="B11" s="13" t="s">
        <v>15</v>
      </c>
      <c r="C11" s="13">
        <v>36.69</v>
      </c>
      <c r="D11" s="14">
        <v>37.81</v>
      </c>
      <c r="E11" s="14">
        <v>38.46</v>
      </c>
      <c r="F11" s="14">
        <v>38.479999999999997</v>
      </c>
      <c r="G11" s="42">
        <v>38.369999999999997</v>
      </c>
      <c r="H11" s="14">
        <v>38.380000000000003</v>
      </c>
      <c r="I11" s="14">
        <v>38.36</v>
      </c>
      <c r="M11" s="21">
        <v>36.89</v>
      </c>
      <c r="N11" s="21">
        <v>37.71</v>
      </c>
      <c r="O11" s="13" t="s">
        <v>15</v>
      </c>
      <c r="P11" s="21">
        <v>38.159999999999997</v>
      </c>
      <c r="Q11" s="21">
        <v>38.32</v>
      </c>
    </row>
    <row r="12" spans="1:17" x14ac:dyDescent="0.3">
      <c r="A12" s="33"/>
      <c r="B12" s="13" t="s">
        <v>16</v>
      </c>
      <c r="C12" s="13">
        <v>33.81</v>
      </c>
      <c r="D12" s="14">
        <v>35.64</v>
      </c>
      <c r="E12" s="14">
        <v>28.78</v>
      </c>
      <c r="F12" s="14">
        <v>27.83</v>
      </c>
      <c r="G12" s="42">
        <v>26.82</v>
      </c>
      <c r="H12" s="14">
        <v>27.51</v>
      </c>
      <c r="I12" s="14">
        <v>24.31</v>
      </c>
      <c r="M12" s="21">
        <v>36.32</v>
      </c>
      <c r="N12" s="21">
        <v>37.46</v>
      </c>
      <c r="O12" s="13" t="s">
        <v>16</v>
      </c>
      <c r="P12" s="21">
        <v>37.86</v>
      </c>
      <c r="Q12" s="21">
        <v>37.97</v>
      </c>
    </row>
    <row r="13" spans="1:17" x14ac:dyDescent="0.3">
      <c r="A13" s="33"/>
      <c r="B13" s="14" t="s">
        <v>17</v>
      </c>
      <c r="C13" s="14">
        <v>33.33</v>
      </c>
      <c r="D13" s="14">
        <v>35.409999999999997</v>
      </c>
      <c r="E13" s="14">
        <v>28.37</v>
      </c>
      <c r="F13" s="14">
        <v>27.5</v>
      </c>
      <c r="G13" s="42">
        <v>26.61</v>
      </c>
      <c r="H13" s="14">
        <v>27.48</v>
      </c>
      <c r="I13" s="14">
        <v>24.37</v>
      </c>
      <c r="M13" s="21">
        <v>35.74</v>
      </c>
      <c r="N13" s="21">
        <v>36.76</v>
      </c>
      <c r="O13" s="14" t="s">
        <v>17</v>
      </c>
      <c r="P13" s="21">
        <v>37.159999999999997</v>
      </c>
      <c r="Q13" s="21">
        <v>37.369999999999997</v>
      </c>
    </row>
    <row r="14" spans="1:17" x14ac:dyDescent="0.3">
      <c r="A14" s="33"/>
      <c r="B14" s="13" t="s">
        <v>18</v>
      </c>
      <c r="C14" s="13">
        <v>2.0499999999999998</v>
      </c>
      <c r="D14" s="14">
        <v>4.8</v>
      </c>
      <c r="E14" s="14">
        <v>4.71</v>
      </c>
      <c r="F14" s="14">
        <v>4.8899999999999997</v>
      </c>
      <c r="G14" s="42">
        <v>4.6399999999999997</v>
      </c>
      <c r="H14" s="14">
        <v>5.04</v>
      </c>
      <c r="I14" s="14">
        <v>5.31</v>
      </c>
      <c r="M14" s="21">
        <v>-1.53</v>
      </c>
      <c r="N14" s="21">
        <v>1.49</v>
      </c>
      <c r="O14" s="13" t="s">
        <v>18</v>
      </c>
      <c r="P14" s="21">
        <v>6.02</v>
      </c>
      <c r="Q14" s="21">
        <v>7.07</v>
      </c>
    </row>
    <row r="15" spans="1:17" x14ac:dyDescent="0.3">
      <c r="A15" s="33"/>
      <c r="B15" s="13" t="s">
        <v>19</v>
      </c>
      <c r="C15" s="13">
        <v>1.66</v>
      </c>
      <c r="D15" s="14">
        <v>4.76</v>
      </c>
      <c r="E15" s="14">
        <v>4.72</v>
      </c>
      <c r="F15" s="14">
        <v>4.91</v>
      </c>
      <c r="G15" s="42">
        <v>4.6900000000000004</v>
      </c>
      <c r="H15" s="14">
        <v>5.01</v>
      </c>
      <c r="I15" s="14">
        <v>5.28</v>
      </c>
      <c r="M15" s="21">
        <v>-1.73</v>
      </c>
      <c r="N15" s="21">
        <v>1.44</v>
      </c>
      <c r="O15" s="13" t="s">
        <v>19</v>
      </c>
      <c r="P15" s="21">
        <v>6.0030000000000001</v>
      </c>
      <c r="Q15" s="21">
        <v>6.79</v>
      </c>
    </row>
    <row r="16" spans="1:17" x14ac:dyDescent="0.3">
      <c r="A16" s="33"/>
      <c r="B16" s="13" t="s">
        <v>20</v>
      </c>
      <c r="C16" s="13">
        <v>20.21</v>
      </c>
      <c r="D16" s="14">
        <v>16.78</v>
      </c>
      <c r="E16" s="14">
        <v>2.15</v>
      </c>
      <c r="F16" s="14">
        <v>2.5299999999999998</v>
      </c>
      <c r="G16" s="42">
        <v>2.5</v>
      </c>
      <c r="H16" s="14">
        <v>2.86</v>
      </c>
      <c r="I16" s="14">
        <v>3.31</v>
      </c>
      <c r="M16" s="21">
        <v>19.57</v>
      </c>
      <c r="N16" s="21">
        <v>18.489999999999998</v>
      </c>
      <c r="O16" s="13" t="s">
        <v>20</v>
      </c>
      <c r="P16" s="21">
        <v>5.1509999999999998</v>
      </c>
      <c r="Q16" s="21">
        <v>2.66</v>
      </c>
    </row>
    <row r="17" spans="1:31" x14ac:dyDescent="0.3">
      <c r="A17" s="33"/>
      <c r="B17" s="13" t="s">
        <v>21</v>
      </c>
      <c r="C17" s="13">
        <v>19.350000000000001</v>
      </c>
      <c r="D17" s="14">
        <v>15.74</v>
      </c>
      <c r="E17" s="14">
        <v>1.41</v>
      </c>
      <c r="F17" s="14">
        <v>1.85</v>
      </c>
      <c r="G17" s="42">
        <v>1.9</v>
      </c>
      <c r="H17" s="14">
        <v>2.25</v>
      </c>
      <c r="I17" s="14">
        <v>2.72</v>
      </c>
      <c r="M17" s="21">
        <v>18.75</v>
      </c>
      <c r="N17" s="21">
        <v>17.420000000000002</v>
      </c>
      <c r="O17" s="13" t="s">
        <v>21</v>
      </c>
      <c r="P17" s="21">
        <v>3.98</v>
      </c>
      <c r="Q17" s="21">
        <v>1.57</v>
      </c>
    </row>
    <row r="18" spans="1:31" x14ac:dyDescent="0.3">
      <c r="A18" s="33"/>
      <c r="B18" s="13" t="s">
        <v>22</v>
      </c>
      <c r="C18" s="13">
        <v>20.04</v>
      </c>
      <c r="D18" s="14">
        <v>16.37</v>
      </c>
      <c r="E18" s="14">
        <v>1.53</v>
      </c>
      <c r="F18" s="14">
        <v>1.5</v>
      </c>
      <c r="G18" s="42">
        <v>1.5</v>
      </c>
      <c r="H18" s="14">
        <v>1.95</v>
      </c>
      <c r="I18" s="14">
        <v>2.39</v>
      </c>
      <c r="M18" s="21">
        <v>19.39</v>
      </c>
      <c r="N18" s="21">
        <v>18.16</v>
      </c>
      <c r="O18" s="13" t="s">
        <v>22</v>
      </c>
      <c r="P18" s="21">
        <v>4.2</v>
      </c>
      <c r="Q18" s="21">
        <v>1.1100000000000001</v>
      </c>
    </row>
    <row r="19" spans="1:31" x14ac:dyDescent="0.3">
      <c r="A19" s="33"/>
      <c r="B19" s="13" t="s">
        <v>23</v>
      </c>
      <c r="C19" s="13">
        <v>19.12</v>
      </c>
      <c r="D19" s="14">
        <v>15.43</v>
      </c>
      <c r="E19" s="14">
        <v>0.55000000000000004</v>
      </c>
      <c r="F19" s="14">
        <v>-0.08</v>
      </c>
      <c r="G19" s="42">
        <v>0.02</v>
      </c>
      <c r="H19" s="14">
        <v>0.37</v>
      </c>
      <c r="I19" s="14">
        <v>0.77</v>
      </c>
      <c r="M19" s="21">
        <v>35.17</v>
      </c>
      <c r="N19" s="21">
        <v>36.75</v>
      </c>
      <c r="O19" s="13" t="s">
        <v>23</v>
      </c>
      <c r="P19" s="21">
        <v>36.64</v>
      </c>
      <c r="Q19" s="21">
        <v>36.89</v>
      </c>
    </row>
    <row r="20" spans="1:31" x14ac:dyDescent="0.3">
      <c r="A20" s="34"/>
      <c r="B20" s="13" t="s">
        <v>24</v>
      </c>
      <c r="C20" s="13">
        <v>35.409999999999997</v>
      </c>
      <c r="D20" s="14">
        <v>35.53</v>
      </c>
      <c r="E20" s="14">
        <v>32.909999999999997</v>
      </c>
      <c r="F20" s="14">
        <v>32.26</v>
      </c>
      <c r="G20" s="42">
        <v>32.17</v>
      </c>
      <c r="H20" s="14">
        <v>32.29</v>
      </c>
      <c r="I20" s="14">
        <v>29.01</v>
      </c>
      <c r="M20" s="21">
        <v>35.54</v>
      </c>
      <c r="N20" s="21">
        <v>36.76</v>
      </c>
      <c r="O20" s="13" t="s">
        <v>24</v>
      </c>
      <c r="P20" s="21">
        <v>34.96</v>
      </c>
      <c r="Q20" s="21">
        <v>34.68</v>
      </c>
    </row>
    <row r="21" spans="1:31" x14ac:dyDescent="0.3">
      <c r="A21" s="35" t="s">
        <v>25</v>
      </c>
      <c r="B21" s="12" t="s">
        <v>26</v>
      </c>
      <c r="C21" s="16">
        <v>2.86</v>
      </c>
      <c r="D21" s="16">
        <v>3.21</v>
      </c>
      <c r="E21" s="16">
        <v>3.34</v>
      </c>
      <c r="F21" s="16">
        <v>3.4</v>
      </c>
      <c r="G21" s="43">
        <v>3.41</v>
      </c>
      <c r="H21" s="16">
        <v>3.44</v>
      </c>
      <c r="I21" s="16">
        <v>3.49</v>
      </c>
      <c r="M21" s="22">
        <v>2.5499999999999998</v>
      </c>
      <c r="N21" s="22">
        <v>2.84</v>
      </c>
      <c r="O21" s="12" t="s">
        <v>26</v>
      </c>
      <c r="P21" s="22">
        <v>3.27</v>
      </c>
      <c r="Q21" s="22">
        <v>3.34</v>
      </c>
    </row>
    <row r="22" spans="1:31" x14ac:dyDescent="0.3">
      <c r="A22" s="36"/>
      <c r="B22" s="5" t="s">
        <v>27</v>
      </c>
      <c r="C22" s="6">
        <v>7.84</v>
      </c>
      <c r="D22" s="6">
        <v>8.7200000000000006</v>
      </c>
      <c r="E22" s="6">
        <v>9.3800000000000008</v>
      </c>
      <c r="F22" s="6">
        <v>9.25</v>
      </c>
      <c r="G22" s="44">
        <v>9.26</v>
      </c>
      <c r="H22" s="6">
        <v>9.15</v>
      </c>
      <c r="I22" s="6">
        <v>9.1300000000000008</v>
      </c>
      <c r="M22" s="22">
        <v>8.17</v>
      </c>
      <c r="N22" s="22">
        <v>9.2200000000000006</v>
      </c>
      <c r="O22" s="5" t="s">
        <v>27</v>
      </c>
      <c r="P22" s="22">
        <v>10.3</v>
      </c>
      <c r="Q22" s="22">
        <v>10.32</v>
      </c>
    </row>
    <row r="23" spans="1:31" x14ac:dyDescent="0.3">
      <c r="A23" s="36"/>
      <c r="B23" s="5" t="s">
        <v>28</v>
      </c>
      <c r="C23" s="6">
        <v>7.8650000000000002</v>
      </c>
      <c r="D23" s="6">
        <v>8.7110000000000003</v>
      </c>
      <c r="E23" s="6">
        <v>9.3800000000000008</v>
      </c>
      <c r="F23" s="6">
        <v>9.2469999999999999</v>
      </c>
      <c r="G23" s="44">
        <v>9.266</v>
      </c>
      <c r="H23" s="6">
        <v>9.1609999999999996</v>
      </c>
      <c r="I23" s="6">
        <v>9.1029999999999998</v>
      </c>
      <c r="M23" s="22">
        <v>8.1020000000000003</v>
      </c>
      <c r="N23" s="22">
        <v>9.2219999999999995</v>
      </c>
      <c r="O23" s="5" t="s">
        <v>28</v>
      </c>
      <c r="P23" s="22">
        <v>10.67</v>
      </c>
      <c r="Q23" s="22">
        <v>10.253</v>
      </c>
    </row>
    <row r="24" spans="1:31" x14ac:dyDescent="0.3">
      <c r="A24" s="36"/>
      <c r="B24" s="5" t="s">
        <v>29</v>
      </c>
      <c r="C24" s="6">
        <v>7.7679999999999998</v>
      </c>
      <c r="D24" s="6">
        <v>8.6310000000000002</v>
      </c>
      <c r="E24" s="6">
        <v>9.2520000000000007</v>
      </c>
      <c r="F24" s="6">
        <v>9.1389999999999993</v>
      </c>
      <c r="G24" s="44">
        <v>9.1590000000000007</v>
      </c>
      <c r="H24" s="6">
        <v>9.0419999999999998</v>
      </c>
      <c r="I24" s="6">
        <v>9.0060000000000002</v>
      </c>
      <c r="M24" s="22">
        <v>8.1110000000000007</v>
      </c>
      <c r="N24" s="22">
        <v>9.1609999999999996</v>
      </c>
      <c r="O24" s="5" t="s">
        <v>29</v>
      </c>
      <c r="P24" s="22">
        <v>10.17</v>
      </c>
      <c r="Q24" s="22">
        <v>10.173</v>
      </c>
    </row>
    <row r="25" spans="1:31" x14ac:dyDescent="0.3">
      <c r="A25" s="36"/>
      <c r="B25" s="5" t="s">
        <v>30</v>
      </c>
      <c r="C25" s="6">
        <v>7.6189999999999998</v>
      </c>
      <c r="D25" s="6">
        <v>8.4960000000000004</v>
      </c>
      <c r="E25" s="6">
        <v>9.1549999999999994</v>
      </c>
      <c r="F25" s="6">
        <v>9.0150000000000006</v>
      </c>
      <c r="G25" s="44">
        <v>9.0549999999999997</v>
      </c>
      <c r="H25" s="6">
        <v>8.9280000000000008</v>
      </c>
      <c r="I25" s="6">
        <v>8.8469999999999995</v>
      </c>
      <c r="M25" s="22">
        <v>8.01</v>
      </c>
      <c r="N25" s="22">
        <v>9.0660000000000007</v>
      </c>
      <c r="O25" s="5" t="s">
        <v>30</v>
      </c>
      <c r="P25" s="22">
        <v>10.051</v>
      </c>
      <c r="Q25" s="22">
        <v>10.007999999999999</v>
      </c>
    </row>
    <row r="26" spans="1:31" x14ac:dyDescent="0.3">
      <c r="A26" s="36"/>
      <c r="B26" s="5" t="s">
        <v>31</v>
      </c>
      <c r="C26" s="6">
        <v>3.5920000000000001</v>
      </c>
      <c r="D26" s="6">
        <v>3.9009999999999998</v>
      </c>
      <c r="E26" s="6">
        <v>3.92</v>
      </c>
      <c r="F26" s="6">
        <v>3.9550000000000001</v>
      </c>
      <c r="G26" s="44">
        <v>3.9359999999999999</v>
      </c>
      <c r="H26" s="6">
        <v>3.972</v>
      </c>
      <c r="I26" s="6">
        <v>4.0119999999999996</v>
      </c>
      <c r="M26" s="22">
        <v>3.1720000000000002</v>
      </c>
      <c r="N26" s="22">
        <v>3.581</v>
      </c>
      <c r="O26" s="5" t="s">
        <v>31</v>
      </c>
      <c r="P26" s="22">
        <v>4.048</v>
      </c>
      <c r="Q26" s="22">
        <v>4.1429999999999998</v>
      </c>
    </row>
    <row r="27" spans="1:31" x14ac:dyDescent="0.3">
      <c r="A27" s="36"/>
      <c r="B27" s="5" t="s">
        <v>32</v>
      </c>
      <c r="C27" s="6">
        <v>3.1709999999999998</v>
      </c>
      <c r="D27" s="6">
        <v>3.532</v>
      </c>
      <c r="E27" s="6">
        <v>3.6349999999999998</v>
      </c>
      <c r="F27" s="6">
        <v>3.6869999999999998</v>
      </c>
      <c r="G27" s="44">
        <v>3.6949999999999998</v>
      </c>
      <c r="H27" s="6">
        <v>3.7170000000000001</v>
      </c>
      <c r="I27" s="6">
        <v>3.7789999999999999</v>
      </c>
      <c r="M27" s="22">
        <v>2.8149999999999999</v>
      </c>
      <c r="N27" s="22">
        <v>3.1280000000000001</v>
      </c>
      <c r="O27" s="5" t="s">
        <v>32</v>
      </c>
      <c r="P27" s="22">
        <v>3.613</v>
      </c>
      <c r="Q27" s="22">
        <v>3.6949999999999998</v>
      </c>
    </row>
    <row r="28" spans="1:31" x14ac:dyDescent="0.3">
      <c r="A28" s="36"/>
      <c r="B28" s="6" t="s">
        <v>21</v>
      </c>
      <c r="C28" s="6"/>
      <c r="D28" s="6"/>
      <c r="E28" s="6"/>
      <c r="F28" s="6"/>
      <c r="G28" s="44">
        <f>G26-G27</f>
        <v>0.2410000000000001</v>
      </c>
      <c r="H28" s="6"/>
      <c r="I28" s="6"/>
      <c r="M28" s="22"/>
      <c r="N28" s="22"/>
      <c r="O28" s="6" t="s">
        <v>21</v>
      </c>
      <c r="P28" s="22"/>
      <c r="Q28" s="22"/>
    </row>
    <row r="29" spans="1:31" x14ac:dyDescent="0.3">
      <c r="A29" s="37" t="s">
        <v>33</v>
      </c>
      <c r="B29" s="7" t="s">
        <v>34</v>
      </c>
      <c r="C29" s="7">
        <v>345</v>
      </c>
      <c r="D29" s="7">
        <v>345</v>
      </c>
      <c r="E29" s="7">
        <v>345</v>
      </c>
      <c r="F29" s="7">
        <v>345</v>
      </c>
      <c r="G29" s="18">
        <v>345</v>
      </c>
      <c r="H29" s="7">
        <v>345</v>
      </c>
      <c r="I29" s="7">
        <v>345</v>
      </c>
      <c r="M29" s="18">
        <v>345</v>
      </c>
      <c r="N29" s="18">
        <v>345</v>
      </c>
      <c r="O29" s="7" t="s">
        <v>34</v>
      </c>
      <c r="P29" s="18">
        <v>345</v>
      </c>
      <c r="Q29" s="18">
        <v>345</v>
      </c>
    </row>
    <row r="30" spans="1:31" x14ac:dyDescent="0.3">
      <c r="A30" s="37"/>
      <c r="B30" s="7" t="s">
        <v>35</v>
      </c>
      <c r="C30" s="7">
        <v>6.4</v>
      </c>
      <c r="D30" s="7">
        <v>7.15</v>
      </c>
      <c r="E30" s="7">
        <v>7.7</v>
      </c>
      <c r="F30" s="7">
        <v>7.6</v>
      </c>
      <c r="G30" s="18">
        <v>7.6</v>
      </c>
      <c r="H30" s="7">
        <v>7.5</v>
      </c>
      <c r="I30" s="7">
        <v>7.5</v>
      </c>
      <c r="M30" s="18">
        <v>6.7</v>
      </c>
      <c r="N30" s="18">
        <v>7.6</v>
      </c>
      <c r="O30" s="7" t="s">
        <v>35</v>
      </c>
      <c r="P30" s="18">
        <v>8.6</v>
      </c>
      <c r="Q30" s="18">
        <v>8.6</v>
      </c>
    </row>
    <row r="31" spans="1:31" s="10" customFormat="1" x14ac:dyDescent="0.3">
      <c r="A31" s="37"/>
      <c r="B31" s="8" t="s">
        <v>36</v>
      </c>
      <c r="C31" s="8">
        <v>300</v>
      </c>
      <c r="D31" s="8">
        <v>400</v>
      </c>
      <c r="E31" s="8">
        <v>500</v>
      </c>
      <c r="F31" s="8">
        <v>600</v>
      </c>
      <c r="G31" s="18">
        <v>700</v>
      </c>
      <c r="H31" s="8">
        <v>800</v>
      </c>
      <c r="I31" s="8">
        <v>900</v>
      </c>
      <c r="J31"/>
      <c r="K31"/>
      <c r="L31"/>
      <c r="M31" s="8">
        <v>300</v>
      </c>
      <c r="N31" s="8">
        <v>400</v>
      </c>
      <c r="O31" s="8" t="s">
        <v>36</v>
      </c>
      <c r="P31" s="8">
        <v>500</v>
      </c>
      <c r="Q31" s="8">
        <v>600</v>
      </c>
      <c r="R31"/>
      <c r="S31"/>
      <c r="T31"/>
      <c r="U31"/>
      <c r="V31"/>
      <c r="W31"/>
      <c r="X31"/>
      <c r="Y31"/>
      <c r="Z31"/>
      <c r="AA31"/>
      <c r="AB31"/>
      <c r="AC31"/>
      <c r="AD31"/>
      <c r="AE31"/>
    </row>
    <row r="32" spans="1:31" x14ac:dyDescent="0.3">
      <c r="A32" s="37"/>
      <c r="B32" s="7" t="s">
        <v>37</v>
      </c>
      <c r="C32" s="7">
        <v>5000</v>
      </c>
      <c r="D32" s="7">
        <v>5000</v>
      </c>
      <c r="E32" s="7">
        <v>5000</v>
      </c>
      <c r="F32" s="7">
        <v>5000</v>
      </c>
      <c r="G32" s="18">
        <v>5000</v>
      </c>
      <c r="H32" s="7">
        <v>5000</v>
      </c>
      <c r="I32" s="7">
        <v>5000</v>
      </c>
      <c r="M32" s="18">
        <v>5000</v>
      </c>
      <c r="N32" s="18">
        <v>5000</v>
      </c>
      <c r="O32" s="7" t="s">
        <v>37</v>
      </c>
      <c r="P32" s="18">
        <v>5000</v>
      </c>
      <c r="Q32" s="18">
        <v>5000</v>
      </c>
    </row>
    <row r="33" spans="1:44" x14ac:dyDescent="0.3">
      <c r="A33" s="37"/>
      <c r="B33" s="7" t="s">
        <v>38</v>
      </c>
      <c r="C33" s="7">
        <v>555</v>
      </c>
      <c r="D33" s="7">
        <v>400</v>
      </c>
      <c r="E33" s="7">
        <v>274</v>
      </c>
      <c r="F33" s="7">
        <v>275</v>
      </c>
      <c r="G33" s="18">
        <v>271</v>
      </c>
      <c r="H33" s="7">
        <v>276</v>
      </c>
      <c r="I33" s="7">
        <v>274</v>
      </c>
      <c r="M33" s="18">
        <v>435</v>
      </c>
      <c r="N33" s="18">
        <v>291</v>
      </c>
      <c r="O33" s="7" t="s">
        <v>38</v>
      </c>
      <c r="P33" s="18">
        <v>320</v>
      </c>
      <c r="Q33" s="18">
        <v>385</v>
      </c>
    </row>
    <row r="34" spans="1:44" ht="16.5" x14ac:dyDescent="0.3">
      <c r="A34" s="37"/>
      <c r="B34" s="7" t="s">
        <v>39</v>
      </c>
      <c r="C34" s="7">
        <v>88.2</v>
      </c>
      <c r="D34" s="7">
        <v>102.4</v>
      </c>
      <c r="E34" s="7">
        <v>110.6</v>
      </c>
      <c r="F34" s="7">
        <v>113.6</v>
      </c>
      <c r="G34" s="18">
        <v>112.1</v>
      </c>
      <c r="H34" s="7">
        <v>114.3</v>
      </c>
      <c r="I34" s="7">
        <v>120.1</v>
      </c>
      <c r="M34" s="18">
        <v>78.900000000000006</v>
      </c>
      <c r="N34" s="18">
        <v>92.6</v>
      </c>
      <c r="O34" s="7" t="s">
        <v>39</v>
      </c>
      <c r="P34" s="18">
        <v>127.2</v>
      </c>
      <c r="Q34" s="18">
        <v>140.4</v>
      </c>
    </row>
    <row r="35" spans="1:44" ht="16.5" x14ac:dyDescent="0.3">
      <c r="A35" s="37"/>
      <c r="B35" s="7" t="s">
        <v>40</v>
      </c>
      <c r="C35" s="7">
        <v>485.65</v>
      </c>
      <c r="D35" s="7">
        <v>483.60399999999998</v>
      </c>
      <c r="E35" s="7">
        <v>479.56299999999999</v>
      </c>
      <c r="F35" s="7">
        <v>479.03800000000001</v>
      </c>
      <c r="G35" s="18">
        <v>481.85399999999998</v>
      </c>
      <c r="H35" s="7">
        <v>481.75799999999998</v>
      </c>
      <c r="I35" s="7">
        <v>480.46100000000001</v>
      </c>
      <c r="M35" s="18">
        <v>483.67099999999999</v>
      </c>
      <c r="N35" s="18">
        <v>482.21499999999997</v>
      </c>
      <c r="O35" s="7" t="s">
        <v>40</v>
      </c>
      <c r="P35" s="18">
        <v>482.20400000000001</v>
      </c>
      <c r="Q35" s="18">
        <v>483.82499999999999</v>
      </c>
    </row>
    <row r="36" spans="1:44" x14ac:dyDescent="0.3">
      <c r="A36" s="37"/>
      <c r="B36" s="7" t="s">
        <v>41</v>
      </c>
      <c r="C36" s="7">
        <v>4514.22</v>
      </c>
      <c r="D36" s="7">
        <v>4538.83</v>
      </c>
      <c r="E36" s="7">
        <v>4584.7299999999996</v>
      </c>
      <c r="F36" s="7">
        <v>4534.0600000000004</v>
      </c>
      <c r="G36" s="18">
        <v>4528.3599999999997</v>
      </c>
      <c r="H36" s="7">
        <v>4525.2299999999996</v>
      </c>
      <c r="I36" s="7">
        <v>4530.2299999999996</v>
      </c>
      <c r="M36" s="18">
        <v>4527.32</v>
      </c>
      <c r="N36" s="18">
        <v>4532.43</v>
      </c>
      <c r="O36" s="7" t="s">
        <v>41</v>
      </c>
      <c r="P36" s="18">
        <v>4544.91</v>
      </c>
      <c r="Q36" s="18">
        <v>442.74</v>
      </c>
    </row>
    <row r="37" spans="1:44" s="10" customFormat="1" x14ac:dyDescent="0.3">
      <c r="A37" s="37"/>
      <c r="B37" s="8" t="s">
        <v>42</v>
      </c>
      <c r="C37" s="8">
        <v>1352.36</v>
      </c>
      <c r="D37" s="8">
        <v>3861.15</v>
      </c>
      <c r="E37" s="8">
        <v>4579.6099999999997</v>
      </c>
      <c r="F37" s="8">
        <v>4471.08</v>
      </c>
      <c r="G37" s="18">
        <v>4503.47</v>
      </c>
      <c r="H37" s="8">
        <v>4402.34</v>
      </c>
      <c r="I37" s="8">
        <v>4307</v>
      </c>
      <c r="J37"/>
      <c r="K37"/>
      <c r="L37"/>
      <c r="M37" s="8">
        <v>1688.82</v>
      </c>
      <c r="N37" s="8">
        <v>3703.5</v>
      </c>
      <c r="O37" s="8" t="s">
        <v>42</v>
      </c>
      <c r="P37" s="8">
        <v>4410.21</v>
      </c>
      <c r="Q37" s="8">
        <v>4355.3900000000003</v>
      </c>
      <c r="R37"/>
      <c r="S37"/>
      <c r="T37"/>
      <c r="U37"/>
      <c r="V37"/>
      <c r="W37"/>
      <c r="X37"/>
      <c r="Y37"/>
      <c r="Z37"/>
      <c r="AA37"/>
      <c r="AB37"/>
      <c r="AC37"/>
      <c r="AD37"/>
    </row>
    <row r="38" spans="1:44" x14ac:dyDescent="0.3">
      <c r="A38" s="37"/>
      <c r="B38" s="7" t="s">
        <v>43</v>
      </c>
      <c r="C38" s="7">
        <v>2278.7532887136404</v>
      </c>
      <c r="D38" s="7">
        <v>4078.3218453715094</v>
      </c>
      <c r="E38" s="7">
        <v>4955.6959055447178</v>
      </c>
      <c r="F38" s="7">
        <v>5144.1371305698558</v>
      </c>
      <c r="G38" s="18">
        <v>5164.8186064598767</v>
      </c>
      <c r="H38" s="7">
        <v>5161.0111166368415</v>
      </c>
      <c r="I38" s="7">
        <v>5724.6067699799842</v>
      </c>
      <c r="M38" s="18" cm="1">
        <f t="array" ref="M38">M34/3600*([1]!Enthalpy("carbon dioxide","TP","SI",M16+273.15,M27)-[1]!Enthalpy("carbon dioxide","TP","SI",M13+273.15,M25))*1000</f>
        <v>2263.0296893371592</v>
      </c>
      <c r="N38" s="18">
        <v>4006.6895537068231</v>
      </c>
      <c r="O38" s="7" t="s">
        <v>43</v>
      </c>
      <c r="P38" s="18">
        <v>4901.7602944288665</v>
      </c>
      <c r="Q38" s="18">
        <v>5100.4783029903019</v>
      </c>
    </row>
    <row r="39" spans="1:44" x14ac:dyDescent="0.3">
      <c r="A39" s="37"/>
      <c r="B39" s="7" t="s">
        <v>44</v>
      </c>
      <c r="C39" s="7"/>
      <c r="D39" s="7"/>
      <c r="E39" s="7"/>
      <c r="F39" s="7"/>
      <c r="G39" s="18"/>
      <c r="H39" s="7"/>
      <c r="I39" s="7"/>
      <c r="M39" s="18"/>
      <c r="N39" s="18"/>
      <c r="O39" s="7" t="s">
        <v>44</v>
      </c>
      <c r="P39" s="18"/>
      <c r="Q39" s="18"/>
    </row>
    <row r="40" spans="1:44" x14ac:dyDescent="0.3">
      <c r="A40" s="37"/>
      <c r="B40" s="7" t="s">
        <v>45</v>
      </c>
      <c r="C40" s="7">
        <v>2208</v>
      </c>
      <c r="D40" s="7">
        <v>2466.75</v>
      </c>
      <c r="E40" s="7">
        <v>2656.5</v>
      </c>
      <c r="F40" s="7">
        <v>2622</v>
      </c>
      <c r="G40" s="18">
        <v>2622</v>
      </c>
      <c r="H40" s="7">
        <v>2587.5</v>
      </c>
      <c r="I40" s="7">
        <v>2587.5</v>
      </c>
      <c r="M40" s="18">
        <f t="shared" ref="M40" si="0">M29*M30</f>
        <v>2311.5</v>
      </c>
      <c r="N40" s="18">
        <v>2622</v>
      </c>
      <c r="O40" s="7" t="s">
        <v>45</v>
      </c>
      <c r="P40" s="18">
        <v>2967</v>
      </c>
      <c r="Q40" s="18">
        <v>2967</v>
      </c>
    </row>
    <row r="41" spans="1:44" x14ac:dyDescent="0.3">
      <c r="A41" s="37"/>
      <c r="B41" s="7" t="s">
        <v>46</v>
      </c>
      <c r="C41" s="7"/>
      <c r="D41" s="7"/>
      <c r="E41" s="7"/>
      <c r="F41" s="7"/>
      <c r="G41" s="18"/>
      <c r="H41" s="7"/>
      <c r="I41" s="7"/>
      <c r="M41" s="18"/>
      <c r="N41" s="18"/>
      <c r="O41" s="7" t="s">
        <v>46</v>
      </c>
      <c r="P41" s="18"/>
      <c r="Q41" s="18"/>
    </row>
    <row r="42" spans="1:44" s="10" customFormat="1" x14ac:dyDescent="0.3">
      <c r="A42" s="37"/>
      <c r="B42" s="8" t="s">
        <v>47</v>
      </c>
      <c r="C42" s="8">
        <v>0.61248188405797099</v>
      </c>
      <c r="D42" s="8">
        <v>1.5652782000608088</v>
      </c>
      <c r="E42" s="8">
        <v>1.7239262187088273</v>
      </c>
      <c r="F42" s="8">
        <v>1.7052173913043478</v>
      </c>
      <c r="G42" s="18">
        <v>1.7175705568268498</v>
      </c>
      <c r="H42" s="8">
        <v>1.7013874396135267</v>
      </c>
      <c r="I42" s="8">
        <v>1.6645410628019324</v>
      </c>
      <c r="J42"/>
      <c r="K42"/>
      <c r="L42"/>
      <c r="M42" s="8">
        <f t="shared" ref="M42" si="1">M37/M40</f>
        <v>0.73061648280337443</v>
      </c>
      <c r="N42" s="8">
        <v>1.4124713958810069</v>
      </c>
      <c r="O42" s="8" t="s">
        <v>47</v>
      </c>
      <c r="P42" s="8">
        <v>1.4864206268958544</v>
      </c>
      <c r="Q42" s="8">
        <v>1.4679440512301989</v>
      </c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x14ac:dyDescent="0.3">
      <c r="A43" s="37"/>
      <c r="B43" s="7" t="s">
        <v>48</v>
      </c>
      <c r="C43" s="7">
        <v>1.0320440619174096</v>
      </c>
      <c r="D43" s="7">
        <v>1.653317865763255</v>
      </c>
      <c r="E43" s="7">
        <v>1.8654981763767053</v>
      </c>
      <c r="F43" s="7">
        <v>1.9619134746643234</v>
      </c>
      <c r="G43" s="18">
        <v>1.9698011466284808</v>
      </c>
      <c r="H43" s="7">
        <v>1.9945936682654459</v>
      </c>
      <c r="I43" s="7">
        <v>2.2124084135188347</v>
      </c>
      <c r="M43" s="18">
        <f t="shared" ref="M43" si="2">M38/M40</f>
        <v>0.97903079789624015</v>
      </c>
      <c r="N43" s="18">
        <v>1.5281043301704131</v>
      </c>
      <c r="O43" s="7" t="s">
        <v>48</v>
      </c>
      <c r="P43" s="18">
        <v>1.6520931224903492</v>
      </c>
      <c r="Q43" s="18">
        <v>1.7190691954803849</v>
      </c>
    </row>
    <row r="44" spans="1:44" x14ac:dyDescent="0.3">
      <c r="A44" s="37"/>
      <c r="B44" s="7" t="s">
        <v>49</v>
      </c>
      <c r="C44" s="7"/>
      <c r="D44" s="7"/>
      <c r="E44" s="7"/>
      <c r="F44" s="7"/>
      <c r="G44" s="18"/>
      <c r="H44" s="7"/>
      <c r="I44" s="7"/>
      <c r="M44" s="18"/>
      <c r="N44" s="18"/>
      <c r="O44" s="7" t="s">
        <v>49</v>
      </c>
      <c r="P44" s="18"/>
      <c r="Q44" s="18"/>
    </row>
    <row r="45" spans="1:44" x14ac:dyDescent="0.3">
      <c r="A45" s="37"/>
      <c r="B45" s="7" t="s">
        <v>50</v>
      </c>
      <c r="C45" s="7">
        <v>16.670000000000002</v>
      </c>
      <c r="D45" s="7">
        <v>11.02</v>
      </c>
      <c r="E45" s="7">
        <v>8.91</v>
      </c>
      <c r="F45" s="7">
        <v>9.27</v>
      </c>
      <c r="G45" s="18">
        <v>9.52</v>
      </c>
      <c r="H45" s="7">
        <v>9.85</v>
      </c>
      <c r="I45" s="7">
        <v>10.02</v>
      </c>
      <c r="M45" s="18">
        <v>16.29</v>
      </c>
      <c r="N45" s="18">
        <v>11.35</v>
      </c>
      <c r="O45" s="7" t="s">
        <v>50</v>
      </c>
      <c r="P45" s="18">
        <v>9.52</v>
      </c>
      <c r="Q45" s="18">
        <v>10.029999999999999</v>
      </c>
    </row>
    <row r="46" spans="1:44" x14ac:dyDescent="0.3">
      <c r="A46" s="37"/>
      <c r="B46" s="7" t="s">
        <v>51</v>
      </c>
      <c r="C46" s="7">
        <v>16.940000000000001</v>
      </c>
      <c r="D46" s="7">
        <v>11.06</v>
      </c>
      <c r="E46" s="7">
        <v>8.9600000000000009</v>
      </c>
      <c r="F46" s="7">
        <v>9.26</v>
      </c>
      <c r="G46" s="18">
        <v>9.23</v>
      </c>
      <c r="H46" s="7">
        <v>9.5</v>
      </c>
      <c r="I46" s="7">
        <v>9.74</v>
      </c>
      <c r="M46" s="18">
        <v>16.02</v>
      </c>
      <c r="N46" s="18">
        <v>11.29</v>
      </c>
      <c r="O46" s="7" t="s">
        <v>51</v>
      </c>
      <c r="P46" s="18">
        <v>9.49</v>
      </c>
      <c r="Q46" s="18">
        <v>9.8000000000000007</v>
      </c>
    </row>
    <row r="47" spans="1:44" x14ac:dyDescent="0.3">
      <c r="A47" s="37"/>
      <c r="B47" s="7" t="s">
        <v>52</v>
      </c>
      <c r="C47" s="7">
        <v>39.479999999999997</v>
      </c>
      <c r="D47" s="7">
        <v>40.630000000000003</v>
      </c>
      <c r="E47" s="7">
        <v>41.1</v>
      </c>
      <c r="F47" s="7">
        <v>41.3</v>
      </c>
      <c r="G47" s="18">
        <v>41.28</v>
      </c>
      <c r="H47" s="7">
        <v>41.26</v>
      </c>
      <c r="I47" s="7">
        <v>41.06</v>
      </c>
      <c r="M47" s="18">
        <v>39.549999999999997</v>
      </c>
      <c r="N47" s="18">
        <v>40.57</v>
      </c>
      <c r="O47" s="7" t="s">
        <v>52</v>
      </c>
      <c r="P47" s="18">
        <v>42.58</v>
      </c>
      <c r="Q47" s="18">
        <v>41.48</v>
      </c>
    </row>
    <row r="48" spans="1:44" x14ac:dyDescent="0.3">
      <c r="A48" s="37"/>
      <c r="B48" s="7" t="s">
        <v>53</v>
      </c>
      <c r="C48" s="7">
        <v>27.46</v>
      </c>
      <c r="D48" s="7">
        <v>29.85</v>
      </c>
      <c r="E48" s="7">
        <v>29.89</v>
      </c>
      <c r="F48" s="7">
        <v>28.46</v>
      </c>
      <c r="G48" s="18">
        <v>29.18</v>
      </c>
      <c r="H48" s="7">
        <v>28.9</v>
      </c>
      <c r="I48" s="7">
        <v>29.17</v>
      </c>
      <c r="M48" s="18">
        <v>29.96</v>
      </c>
      <c r="N48" s="18">
        <v>30.36</v>
      </c>
      <c r="O48" s="7" t="s">
        <v>53</v>
      </c>
      <c r="P48" s="18">
        <v>29.55</v>
      </c>
      <c r="Q48" s="18">
        <v>29.38</v>
      </c>
    </row>
    <row r="49" spans="1:17" x14ac:dyDescent="0.3">
      <c r="A49" s="37"/>
      <c r="B49" s="7" t="s">
        <v>54</v>
      </c>
      <c r="C49" s="7">
        <v>0.59346485935886861</v>
      </c>
      <c r="D49" s="7">
        <v>0.94674970401907399</v>
      </c>
      <c r="E49" s="7">
        <v>0.92411037466525503</v>
      </c>
      <c r="F49" s="7">
        <v>0.86916034439087819</v>
      </c>
      <c r="G49" s="18">
        <v>0.87195124226963228</v>
      </c>
      <c r="H49" s="7">
        <v>0.85299951899130433</v>
      </c>
      <c r="I49" s="7">
        <v>0.75236608784834658</v>
      </c>
      <c r="M49" s="18">
        <f t="shared" ref="M49" si="3">M37/M38</f>
        <v>0.74626506579091978</v>
      </c>
      <c r="N49" s="18">
        <v>0.92432916260599107</v>
      </c>
      <c r="O49" s="7" t="s">
        <v>54</v>
      </c>
      <c r="P49" s="18">
        <v>0.8997196384760916</v>
      </c>
      <c r="Q49" s="18">
        <v>0.85391795460565489</v>
      </c>
    </row>
    <row r="50" spans="1:17" x14ac:dyDescent="0.3">
      <c r="A50" s="37"/>
      <c r="B50" s="7" t="s">
        <v>55</v>
      </c>
      <c r="C50" s="7">
        <v>1900.9717399021049</v>
      </c>
      <c r="D50" s="7">
        <v>2179.7111545653252</v>
      </c>
      <c r="E50" s="7">
        <v>2329.0226286708853</v>
      </c>
      <c r="F50" s="7">
        <v>2329.7350057494787</v>
      </c>
      <c r="G50" s="18">
        <v>2347.3290254909084</v>
      </c>
      <c r="H50" s="7">
        <v>2337.6835875061729</v>
      </c>
      <c r="I50" s="7">
        <v>2332.517558795003</v>
      </c>
      <c r="M50" s="18" cm="1">
        <f t="array" ref="M50">M34/3600*([1]!Enthalpy("carbon dioxide","TP","SI",M8+273.15,M22)-[1]!Enthalpy("carbon dioxide","TP","SI",M7+273.15,M21))*1000</f>
        <v>1974.8454512707347</v>
      </c>
      <c r="N50" s="18">
        <v>2308.1413816427162</v>
      </c>
      <c r="O50" s="7" t="s">
        <v>55</v>
      </c>
      <c r="P50" s="18">
        <v>2561.4782825810021</v>
      </c>
      <c r="Q50" s="18">
        <v>2364.5741052652165</v>
      </c>
    </row>
    <row r="51" spans="1:17" x14ac:dyDescent="0.3">
      <c r="A51" s="37"/>
      <c r="B51" s="7" t="s">
        <v>56</v>
      </c>
      <c r="C51" s="7">
        <v>1380.4904037469191</v>
      </c>
      <c r="D51" s="7">
        <v>1557.4252239239934</v>
      </c>
      <c r="E51" s="7">
        <v>1690.6036317025053</v>
      </c>
      <c r="F51" s="7">
        <v>1663.9067219080923</v>
      </c>
      <c r="G51" s="18">
        <v>1636.4145194059652</v>
      </c>
      <c r="H51" s="7">
        <v>1626.715300122981</v>
      </c>
      <c r="I51" s="7">
        <v>1624.5771830192923</v>
      </c>
      <c r="M51" s="18" cm="1">
        <f t="array" ref="M51">M34/3600*1000*([1]!Enthalpy("carbon dioxide","PS","SI",M22,[1]!Entropy("carbon dioxide","TP","SI",M7+273.15,M21))-[1]!Enthalpy("carbon dioxide","TP","SI",M7+273.15,M21))</f>
        <v>1359.41333088794</v>
      </c>
      <c r="N51" s="18">
        <v>1563.1580902129954</v>
      </c>
      <c r="O51" s="7" t="s">
        <v>56</v>
      </c>
      <c r="P51" s="18">
        <v>1766.8041160921207</v>
      </c>
      <c r="Q51" s="18">
        <v>1810.6203506663169</v>
      </c>
    </row>
    <row r="52" spans="1:17" x14ac:dyDescent="0.3">
      <c r="A52" s="37"/>
      <c r="B52" s="7" t="s">
        <v>57</v>
      </c>
      <c r="C52" s="7">
        <v>2.7412587412587412</v>
      </c>
      <c r="D52" s="7">
        <v>2.7165109034267916</v>
      </c>
      <c r="E52" s="7">
        <v>2.8083832335329344</v>
      </c>
      <c r="F52" s="7">
        <v>2.7205882352941178</v>
      </c>
      <c r="G52" s="18">
        <v>2.7173020527859237</v>
      </c>
      <c r="H52" s="7">
        <v>2.6598837209302326</v>
      </c>
      <c r="I52" s="7">
        <v>2.6160458452722062</v>
      </c>
      <c r="M52" s="18">
        <f t="shared" ref="M52" si="4">M22/M21</f>
        <v>3.2039215686274511</v>
      </c>
      <c r="N52" s="18">
        <v>3.246478873239437</v>
      </c>
      <c r="O52" s="7" t="s">
        <v>57</v>
      </c>
      <c r="P52" s="18">
        <v>3.1498470948012236</v>
      </c>
      <c r="Q52" s="18">
        <v>3.0898203592814375</v>
      </c>
    </row>
    <row r="53" spans="1:17" x14ac:dyDescent="0.3">
      <c r="A53" s="37"/>
      <c r="B53" s="7" t="s">
        <v>58</v>
      </c>
      <c r="C53" s="7">
        <v>0.86094734597015621</v>
      </c>
      <c r="D53" s="7">
        <v>0.88363683168757479</v>
      </c>
      <c r="E53" s="7">
        <v>0.87672600364046127</v>
      </c>
      <c r="F53" s="7">
        <v>0.88853356435906894</v>
      </c>
      <c r="G53" s="18">
        <v>0.89524371681575454</v>
      </c>
      <c r="H53" s="7">
        <v>0.90345259420528423</v>
      </c>
      <c r="I53" s="7">
        <v>0.90145606137004941</v>
      </c>
      <c r="M53" s="18">
        <f t="shared" ref="M53" si="5">M50/M40</f>
        <v>0.8543566737057039</v>
      </c>
      <c r="N53" s="18">
        <v>0.88029800977983075</v>
      </c>
      <c r="O53" s="7" t="s">
        <v>58</v>
      </c>
      <c r="P53" s="18">
        <v>0.86332264326963337</v>
      </c>
      <c r="Q53" s="18">
        <v>0.79695790538092903</v>
      </c>
    </row>
    <row r="54" spans="1:17" x14ac:dyDescent="0.3">
      <c r="A54" s="37"/>
      <c r="B54" s="7" t="s">
        <v>59</v>
      </c>
      <c r="C54" s="7">
        <v>0.72620248621792283</v>
      </c>
      <c r="D54" s="7">
        <v>0.71450991139905085</v>
      </c>
      <c r="E54" s="7">
        <v>0.72588544692126511</v>
      </c>
      <c r="F54" s="7">
        <v>0.71420428409316516</v>
      </c>
      <c r="G54" s="18">
        <v>0.69713896161776201</v>
      </c>
      <c r="H54" s="7">
        <v>0.6958663305919649</v>
      </c>
      <c r="I54" s="7">
        <v>0.69649086965868834</v>
      </c>
      <c r="M54" s="18">
        <f t="shared" ref="M54" si="6">M51/M50</f>
        <v>0.68836441353585998</v>
      </c>
      <c r="N54" s="18">
        <v>0.67723671636634653</v>
      </c>
      <c r="O54" s="7" t="s">
        <v>59</v>
      </c>
      <c r="P54" s="18">
        <v>0.6897595533434896</v>
      </c>
      <c r="Q54" s="18">
        <v>0.76572789435298039</v>
      </c>
    </row>
    <row r="55" spans="1:17" x14ac:dyDescent="0.3">
      <c r="A55" s="37"/>
      <c r="B55" s="7" t="s">
        <v>60</v>
      </c>
      <c r="C55" s="7">
        <v>0.88779598787005176</v>
      </c>
      <c r="D55" s="7">
        <v>0.90049315895779158</v>
      </c>
      <c r="E55" s="7">
        <v>0.90500773293854619</v>
      </c>
      <c r="F55" s="7">
        <v>0.90588460357485612</v>
      </c>
      <c r="G55" s="18">
        <v>0.88945551542006751</v>
      </c>
      <c r="H55" s="7">
        <v>0.89775632400330163</v>
      </c>
      <c r="I55" s="7">
        <v>0.90035616543043329</v>
      </c>
      <c r="M55" s="18" cm="1">
        <f t="array" ref="M55">M34/((M32*5.8/1000000)*60*[1]!Density("carbon dioxide","TP","SI",M7+273.15,M21))</f>
        <v>0.83431402694724077</v>
      </c>
      <c r="N55" s="18">
        <v>0.84953181663847455</v>
      </c>
      <c r="O55" s="7" t="s">
        <v>60</v>
      </c>
      <c r="P55" s="18">
        <v>0.85621107149714004</v>
      </c>
      <c r="Q55" s="18">
        <v>0.87513303232631379</v>
      </c>
    </row>
    <row r="56" spans="1:17" x14ac:dyDescent="0.3">
      <c r="A56" s="37"/>
      <c r="B56" s="7" t="s">
        <v>61</v>
      </c>
      <c r="C56" s="7">
        <v>0.6252221031462496</v>
      </c>
      <c r="D56" s="7">
        <v>0.63136727431802708</v>
      </c>
      <c r="E56" s="7">
        <v>0.63640264698005089</v>
      </c>
      <c r="F56" s="7">
        <v>0.63459447822581716</v>
      </c>
      <c r="G56" s="18">
        <v>0.62410927513576087</v>
      </c>
      <c r="H56" s="7">
        <v>0.62868224159342267</v>
      </c>
      <c r="I56" s="7">
        <v>0.62785591614272163</v>
      </c>
      <c r="M56" s="18">
        <f t="shared" ref="M56" si="7">M53*M54</f>
        <v>0.58810873064587499</v>
      </c>
      <c r="N56" s="18">
        <v>0.59617013356712256</v>
      </c>
      <c r="O56" s="7" t="s">
        <v>61</v>
      </c>
      <c r="P56" s="18">
        <v>0.59548504081298315</v>
      </c>
      <c r="Q56" s="18">
        <v>0.61025289877530053</v>
      </c>
    </row>
    <row r="57" spans="1:17" x14ac:dyDescent="0.3">
      <c r="A57" s="37"/>
      <c r="B57" s="7" t="s">
        <v>73</v>
      </c>
      <c r="C57" s="7"/>
      <c r="D57" s="7"/>
      <c r="E57" s="7"/>
      <c r="F57" s="7"/>
      <c r="G57" s="18"/>
      <c r="H57" s="7"/>
      <c r="I57" s="7"/>
      <c r="J57" s="7"/>
      <c r="K57" s="7"/>
      <c r="L57" s="7"/>
      <c r="M57" s="7" t="e">
        <f ca="1">[2]!Enthalpy("carbon dioxide","TP","SI",M13+273.15,M25)</f>
        <v>#NAME?</v>
      </c>
      <c r="N57" s="7" t="e">
        <f ca="1">[2]!Enthalpy("carbon dioxide","TP","SI",N13+273.15,N25)</f>
        <v>#NAME?</v>
      </c>
      <c r="O57" s="7" t="s">
        <v>73</v>
      </c>
      <c r="P57" s="7" t="e">
        <f ca="1">[2]!Enthalpy("carbon dioxide","TP","SI",P13+273.15,P25)</f>
        <v>#NAME?</v>
      </c>
      <c r="Q57" s="7" t="e">
        <f ca="1">[2]!Enthalpy("carbon dioxide","TP","SI",Q13+273.15,Q25)</f>
        <v>#NAME?</v>
      </c>
    </row>
    <row r="58" spans="1:17" x14ac:dyDescent="0.3">
      <c r="B58" s="25" t="s">
        <v>74</v>
      </c>
      <c r="O58" s="25" t="s">
        <v>74</v>
      </c>
      <c r="P58" t="e" cm="1">
        <f t="array" aca="1" ref="P58" ca="1">[1]!Quality("carbon dioxide","PH","SI",P26,P57)</f>
        <v>#NAME?</v>
      </c>
    </row>
    <row r="59" spans="1:17" x14ac:dyDescent="0.3">
      <c r="B59" s="25" t="s">
        <v>75</v>
      </c>
      <c r="O59" s="25" t="s">
        <v>75</v>
      </c>
      <c r="P59" t="e">
        <f ca="1">P16+273.15-[2]!Temperature("carbon dioxide","Pvap","SI",P27)</f>
        <v>#NAME?</v>
      </c>
    </row>
    <row r="60" spans="1:17" x14ac:dyDescent="0.3">
      <c r="C60" cm="1">
        <f t="array" ref="C60">C34/([1]!Density("carbon dioxide","Pvap","SI",C27)*3.14*16*3600)*1000000</f>
        <v>5.5838352527406458</v>
      </c>
      <c r="D60" cm="1">
        <f t="array" ref="D60">D34/([1]!Density("carbon dioxide","Pvap","SI",D27)*3.14*16*3600)*1000000</f>
        <v>5.7056715326069263</v>
      </c>
      <c r="E60" cm="1">
        <f t="array" ref="E60">E34/([1]!Density("carbon dioxide","Pvap","SI",E27)*3.14*16*3600)*1000000</f>
        <v>5.9514136638521826</v>
      </c>
      <c r="F60" cm="1">
        <f t="array" ref="F60">F34/([1]!Density("carbon dioxide","Pvap","SI",F27)*3.14*16*3600)*1000000</f>
        <v>6.007572793094468</v>
      </c>
      <c r="G60" s="45" cm="1">
        <f t="array" ref="G60">G34/([1]!Density("carbon dioxide","Pvap","SI",G27)*3.14*16*3600)*1000000</f>
        <v>5.9125029189574443</v>
      </c>
      <c r="H60" cm="1">
        <f t="array" ref="H60">H34/([1]!Density("carbon dioxide","Pvap","SI",H27)*3.14*16*3600)*1000000</f>
        <v>5.9847158521830064</v>
      </c>
      <c r="I60" cm="1">
        <f t="array" ref="I60">I34/([1]!Density("carbon dioxide","Pvap","SI",I27)*3.14*16*3600)*1000000</f>
        <v>6.1612683074287746</v>
      </c>
      <c r="J60" t="e" cm="1">
        <f t="array" ref="J60">J34/([1]!Density("carbon dioxide","Pvap","SI",J27)*3.14*16*3600)*1000000</f>
        <v>#VALUE!</v>
      </c>
      <c r="K60" t="e" cm="1">
        <f t="array" ref="K60">K34/([1]!Density("carbon dioxide","Pvap","SI",K27)*3.14*16*3600)*1000000</f>
        <v>#VALUE!</v>
      </c>
      <c r="L60" t="e" cm="1">
        <f t="array" ref="L60">L34/([1]!Density("carbon dioxide","Pvap","SI",L27)*3.14*16*3600)*1000000</f>
        <v>#VALUE!</v>
      </c>
      <c r="M60" cm="1">
        <f t="array" ref="M60">M34/([1]!Density("carbon dioxide","Pvap","SI",M27)*3.14*16*3600)*1000000</f>
        <v>5.7245995778739118</v>
      </c>
      <c r="N60" cm="1">
        <f t="array" ref="N60">N34/([1]!Density("carbon dioxide","Pvap","SI",N27)*3.14*16*3600)*1000000</f>
        <v>5.9561121001317581</v>
      </c>
      <c r="O60" t="e" cm="1">
        <f t="array" ref="O60">O34/([1]!Density("carbon dioxide","Pvap","SI",O27)*3.14*16*3600)*1000000</f>
        <v>#VALUE!</v>
      </c>
      <c r="P60" cm="1">
        <f t="array" ref="P60">P34/([1]!Density("carbon dioxide","Pvap","SI",P27)*3.14*16*3600)*1000000</f>
        <v>6.895467661516018</v>
      </c>
      <c r="Q60" cm="1">
        <f t="array" ref="Q60">Q34/([1]!Density("carbon dioxide","Pvap","SI",Q27)*3.14*16*3600)*1000000</f>
        <v>7.4051330046532131</v>
      </c>
    </row>
    <row r="61" spans="1:17" x14ac:dyDescent="0.3">
      <c r="C61" cm="1">
        <f t="array" ref="C61">C34/([1]!Density("carbon dioxide","TP","SI",C13+273.15,C25)*3.14*16*3600)*1000000</f>
        <v>1.4442261290235479</v>
      </c>
      <c r="D61" cm="1">
        <f t="array" ref="D61">D34/([1]!Density("carbon dioxide","TP","SI",D13+273.15,D25)*3.14*16*3600)*1000000</f>
        <v>0.95147097310746154</v>
      </c>
      <c r="E61" cm="1">
        <f t="array" ref="E61">E34/([1]!Density("carbon dioxide","TP","SI",E13+273.15,E25)*3.14*16*3600)*1000000</f>
        <v>0.79595740424189187</v>
      </c>
      <c r="F61" cm="1">
        <f t="array" ref="F61">F34/([1]!Density("carbon dioxide","TP","SI",F13+273.15,F25)*3.14*16*3600)*1000000</f>
        <v>0.81113352787510151</v>
      </c>
      <c r="G61" s="45" cm="1">
        <f t="array" ref="G61">G34/([1]!Density("carbon dioxide","TP","SI",G13+273.15,G25)*3.14*16*3600)*1000000</f>
        <v>0.78981000276399238</v>
      </c>
      <c r="H61" cm="1">
        <f t="array" ref="H61">H34/([1]!Density("carbon dioxide","TP","SI",H13+273.15,H25)*3.14*16*3600)*1000000</f>
        <v>0.81820175218255442</v>
      </c>
      <c r="I61" cm="1">
        <f t="array" ref="I61">I34/([1]!Density("carbon dioxide","TP","SI",I13+273.15,I25)*3.14*16*3600)*1000000</f>
        <v>0.82727828951110083</v>
      </c>
      <c r="J61" t="e" cm="1">
        <f t="array" ref="J61">J34/([1]!Density("carbon dioxide","TP","SI",J13+273.15,J25)*3.14*16*3600)*1000000</f>
        <v>#VALUE!</v>
      </c>
      <c r="K61" t="e" cm="1">
        <f t="array" ref="K61">K34/([1]!Density("carbon dioxide","TP","SI",K13+273.15,K25)*3.14*16*3600)*1000000</f>
        <v>#VALUE!</v>
      </c>
      <c r="L61" t="e" cm="1">
        <f t="array" ref="L61">L34/([1]!Density("carbon dioxide","TP","SI",L13+273.15,L25)*3.14*16*3600)*1000000</f>
        <v>#VALUE!</v>
      </c>
      <c r="M61" cm="1">
        <f t="array" ref="M61">M34/([1]!Density("carbon dioxide","TP","SI",M13+273.15,M25)*3.14*16*3600)*1000000</f>
        <v>1.1788304866902231</v>
      </c>
      <c r="N61" cm="1">
        <f t="array" ref="N61">N34/([1]!Density("carbon dioxide","TP","SI",N13+273.15,N25)*3.14*16*3600)*1000000</f>
        <v>0.81967582456832355</v>
      </c>
      <c r="O61" t="e" cm="1">
        <f t="array" ref="O61">O34/([1]!Density("carbon dioxide","TP","SI",O13+273.15,O25)*3.14*16*3600)*1000000</f>
        <v>#VALUE!</v>
      </c>
      <c r="P61" cm="1">
        <f t="array" ref="P61">P34/([1]!Density("carbon dioxide","TP","SI",P13+273.15,P25)*3.14*16*3600)*1000000</f>
        <v>1.0292370232701358</v>
      </c>
      <c r="Q61" cm="1">
        <f t="array" ref="Q61">Q34/([1]!Density("carbon dioxide","TP","SI",Q13+273.15,Q25)*3.14*16*3600)*1000000</f>
        <v>1.1452354753555993</v>
      </c>
    </row>
    <row r="64" spans="1:17" ht="28.25" customHeight="1" x14ac:dyDescent="0.3">
      <c r="A64" s="12" t="s">
        <v>26</v>
      </c>
      <c r="B64" s="5" t="s">
        <v>27</v>
      </c>
      <c r="C64" s="7" t="s">
        <v>59</v>
      </c>
      <c r="D64" s="7" t="s">
        <v>60</v>
      </c>
      <c r="E64" s="9" t="s">
        <v>76</v>
      </c>
    </row>
    <row r="65" spans="1:7" s="10" customFormat="1" x14ac:dyDescent="0.3">
      <c r="A65" s="26">
        <v>3.49</v>
      </c>
      <c r="B65" s="27">
        <v>9.1300000000000008</v>
      </c>
      <c r="C65" s="8">
        <v>0.69649086965868834</v>
      </c>
      <c r="D65" s="8">
        <v>0.90035616543043329</v>
      </c>
      <c r="E65" s="10">
        <f t="shared" ref="E65:E70" si="8">B65/A65</f>
        <v>2.6160458452722062</v>
      </c>
      <c r="F65" s="8">
        <v>0.69649086965868834</v>
      </c>
      <c r="G65" s="45"/>
    </row>
    <row r="66" spans="1:7" s="10" customFormat="1" x14ac:dyDescent="0.3">
      <c r="A66" s="26">
        <v>3.44</v>
      </c>
      <c r="B66" s="27">
        <v>9.15</v>
      </c>
      <c r="C66" s="8">
        <v>0.6958663305919649</v>
      </c>
      <c r="D66" s="8">
        <v>0.89775632400330163</v>
      </c>
      <c r="E66" s="10">
        <f t="shared" si="8"/>
        <v>2.6598837209302326</v>
      </c>
      <c r="G66" s="45"/>
    </row>
    <row r="67" spans="1:7" x14ac:dyDescent="0.3">
      <c r="A67" s="16">
        <v>3.41</v>
      </c>
      <c r="B67" s="6">
        <v>9.26</v>
      </c>
      <c r="C67" s="7">
        <v>0.69713896161776201</v>
      </c>
      <c r="D67" s="7">
        <v>0.88945551542006751</v>
      </c>
      <c r="E67" s="9">
        <f t="shared" si="8"/>
        <v>2.7155425219941347</v>
      </c>
    </row>
    <row r="68" spans="1:7" x14ac:dyDescent="0.3">
      <c r="A68" s="16">
        <v>3.21</v>
      </c>
      <c r="B68" s="6">
        <v>8.7200000000000006</v>
      </c>
      <c r="C68" s="7">
        <v>0.71450991139905085</v>
      </c>
      <c r="D68" s="7">
        <v>0.90049315895779158</v>
      </c>
      <c r="E68" s="9">
        <f t="shared" si="8"/>
        <v>2.7165109034267916</v>
      </c>
    </row>
    <row r="69" spans="1:7" x14ac:dyDescent="0.3">
      <c r="A69" s="16">
        <v>3.4</v>
      </c>
      <c r="B69" s="6">
        <v>9.25</v>
      </c>
      <c r="C69" s="7">
        <v>0.71420428409316516</v>
      </c>
      <c r="D69" s="7">
        <v>0.90588460357485612</v>
      </c>
      <c r="E69" s="9">
        <f t="shared" si="8"/>
        <v>2.7205882352941178</v>
      </c>
      <c r="F69" s="7">
        <v>0.71420428409316516</v>
      </c>
    </row>
    <row r="70" spans="1:7" x14ac:dyDescent="0.3">
      <c r="A70" s="16">
        <v>2.86</v>
      </c>
      <c r="B70" s="6">
        <v>7.84</v>
      </c>
      <c r="C70" s="7">
        <v>0.72620248621792283</v>
      </c>
      <c r="D70" s="7">
        <v>0.88779598787005176</v>
      </c>
      <c r="E70" s="9">
        <f t="shared" si="8"/>
        <v>2.7412587412587412</v>
      </c>
    </row>
    <row r="71" spans="1:7" x14ac:dyDescent="0.3">
      <c r="A71" s="16">
        <v>3.34</v>
      </c>
      <c r="B71" s="6">
        <v>9.3800000000000008</v>
      </c>
      <c r="C71" s="7">
        <v>0.72588544692126511</v>
      </c>
      <c r="D71" s="7">
        <v>0.90500773293854619</v>
      </c>
      <c r="E71" s="9">
        <f t="shared" ref="E71:E75" si="9">B71/A71</f>
        <v>2.8083832335329344</v>
      </c>
      <c r="F71" s="7">
        <v>0.72588544692126511</v>
      </c>
    </row>
    <row r="72" spans="1:7" x14ac:dyDescent="0.3">
      <c r="A72" s="22">
        <v>3.34</v>
      </c>
      <c r="B72" s="22">
        <v>10.32</v>
      </c>
      <c r="C72" s="18">
        <v>0.76572789435298039</v>
      </c>
      <c r="D72" s="18">
        <v>0.87513303232631379</v>
      </c>
      <c r="E72" s="9">
        <f>B72/A72</f>
        <v>3.0898203592814375</v>
      </c>
    </row>
    <row r="73" spans="1:7" x14ac:dyDescent="0.3">
      <c r="A73" s="22">
        <v>3.27</v>
      </c>
      <c r="B73" s="22">
        <v>10.3</v>
      </c>
      <c r="C73" s="18">
        <v>0.6897595533434896</v>
      </c>
      <c r="D73" s="18">
        <v>0.85621107149714004</v>
      </c>
      <c r="E73" s="9">
        <f>B73/A73</f>
        <v>3.1498470948012236</v>
      </c>
    </row>
    <row r="74" spans="1:7" x14ac:dyDescent="0.3">
      <c r="A74" s="22">
        <v>2.5499999999999998</v>
      </c>
      <c r="B74" s="22">
        <v>8.17</v>
      </c>
      <c r="C74" s="18">
        <v>0.68799999999999994</v>
      </c>
      <c r="D74" s="18">
        <v>0.83399999999999996</v>
      </c>
      <c r="E74" s="9">
        <f t="shared" si="9"/>
        <v>3.2039215686274511</v>
      </c>
    </row>
    <row r="75" spans="1:7" x14ac:dyDescent="0.3">
      <c r="A75" s="22">
        <v>2.84</v>
      </c>
      <c r="B75" s="22">
        <v>9.2200000000000006</v>
      </c>
      <c r="C75" s="18">
        <v>0.67723671636634653</v>
      </c>
      <c r="D75" s="18">
        <v>0.84953181663847455</v>
      </c>
      <c r="E75" s="9">
        <f t="shared" si="9"/>
        <v>3.246478873239437</v>
      </c>
    </row>
  </sheetData>
  <mergeCells count="6">
    <mergeCell ref="M1:Q1"/>
    <mergeCell ref="A3:A6"/>
    <mergeCell ref="A7:A20"/>
    <mergeCell ref="A21:A28"/>
    <mergeCell ref="A29:A57"/>
    <mergeCell ref="C1:I1"/>
  </mergeCells>
  <phoneticPr fontId="6" type="noConversion"/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Wang Anci</cp:lastModifiedBy>
  <dcterms:created xsi:type="dcterms:W3CDTF">2015-06-05T18:19:34Z</dcterms:created>
  <dcterms:modified xsi:type="dcterms:W3CDTF">2021-08-23T02:11:51Z</dcterms:modified>
</cp:coreProperties>
</file>