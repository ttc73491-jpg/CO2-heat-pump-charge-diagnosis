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30℃/"/>
    </mc:Choice>
  </mc:AlternateContent>
  <xr:revisionPtr revIDLastSave="89" documentId="11_6C4280409EFEF61C08EF0C236CDDA078855012A6" xr6:coauthVersionLast="46" xr6:coauthVersionMax="46" xr10:uidLastSave="{9E41EBA5-1138-4DD3-8223-77EC2AD5452C}"/>
  <bookViews>
    <workbookView minimized="1" xWindow="9300" yWindow="1605" windowWidth="17280" windowHeight="8970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53" i="2" l="1"/>
  <c r="AQ53" i="2"/>
  <c r="AP53" i="2"/>
  <c r="AO53" i="2"/>
  <c r="AN53" i="2"/>
  <c r="AM53" i="2"/>
  <c r="AL53" i="2"/>
  <c r="AK53" i="2"/>
  <c r="AJ53" i="2"/>
  <c r="AN43" i="2"/>
  <c r="AJ43" i="2"/>
  <c r="AR41" i="2"/>
  <c r="AR43" i="2" s="1"/>
  <c r="AQ41" i="2"/>
  <c r="AQ43" i="2" s="1"/>
  <c r="AP41" i="2"/>
  <c r="AP43" i="2" s="1"/>
  <c r="AO41" i="2"/>
  <c r="AO43" i="2" s="1"/>
  <c r="AN41" i="2"/>
  <c r="AM41" i="2"/>
  <c r="AL41" i="2"/>
  <c r="AL43" i="2" s="1"/>
  <c r="AK41" i="2"/>
  <c r="AK43" i="2" s="1"/>
  <c r="AJ41" i="2"/>
  <c r="AR56" i="2"/>
  <c r="AB56" i="2"/>
  <c r="L56" i="2"/>
  <c r="AK52" i="2"/>
  <c r="U52" i="2"/>
  <c r="E52" i="2"/>
  <c r="AE51" i="2"/>
  <c r="O51" i="2"/>
  <c r="S52" i="2"/>
  <c r="M51" i="2"/>
  <c r="R52" i="2"/>
  <c r="AQ56" i="2"/>
  <c r="AA56" i="2"/>
  <c r="K56" i="2"/>
  <c r="AJ52" i="2"/>
  <c r="T52" i="2"/>
  <c r="D52" i="2"/>
  <c r="AD51" i="2"/>
  <c r="N51" i="2"/>
  <c r="C52" i="2"/>
  <c r="AH52" i="2"/>
  <c r="K51" i="2"/>
  <c r="AP56" i="2"/>
  <c r="Z56" i="2"/>
  <c r="J56" i="2"/>
  <c r="AI52" i="2"/>
  <c r="AC51" i="2"/>
  <c r="AO56" i="2"/>
  <c r="Y56" i="2"/>
  <c r="I56" i="2"/>
  <c r="AB51" i="2"/>
  <c r="AN56" i="2"/>
  <c r="X56" i="2"/>
  <c r="H56" i="2"/>
  <c r="AG52" i="2"/>
  <c r="Q52" i="2"/>
  <c r="AM56" i="2"/>
  <c r="W56" i="2"/>
  <c r="G56" i="2"/>
  <c r="AF52" i="2"/>
  <c r="P52" i="2"/>
  <c r="AP51" i="2"/>
  <c r="Z51" i="2"/>
  <c r="J51" i="2"/>
  <c r="AK51" i="2"/>
  <c r="T51" i="2"/>
  <c r="C51" i="2"/>
  <c r="R51" i="2"/>
  <c r="AL56" i="2"/>
  <c r="V56" i="2"/>
  <c r="F56" i="2"/>
  <c r="AE52" i="2"/>
  <c r="O52" i="2"/>
  <c r="AO51" i="2"/>
  <c r="Y51" i="2"/>
  <c r="I51" i="2"/>
  <c r="U51" i="2"/>
  <c r="AJ51" i="2"/>
  <c r="S51" i="2"/>
  <c r="AH51" i="2"/>
  <c r="AK56" i="2"/>
  <c r="U56" i="2"/>
  <c r="E56" i="2"/>
  <c r="AD52" i="2"/>
  <c r="N52" i="2"/>
  <c r="AN51" i="2"/>
  <c r="X51" i="2"/>
  <c r="H51" i="2"/>
  <c r="W51" i="2"/>
  <c r="AL51" i="2"/>
  <c r="F51" i="2"/>
  <c r="K52" i="2"/>
  <c r="J52" i="2"/>
  <c r="D51" i="2"/>
  <c r="AI51" i="2"/>
  <c r="AN52" i="2"/>
  <c r="AA51" i="2"/>
  <c r="AJ56" i="2"/>
  <c r="T56" i="2"/>
  <c r="D56" i="2"/>
  <c r="AC52" i="2"/>
  <c r="M52" i="2"/>
  <c r="AM51" i="2"/>
  <c r="G51" i="2"/>
  <c r="AA52" i="2"/>
  <c r="Y52" i="2"/>
  <c r="H52" i="2"/>
  <c r="AI56" i="2"/>
  <c r="S56" i="2"/>
  <c r="AR52" i="2"/>
  <c r="AB52" i="2"/>
  <c r="L52" i="2"/>
  <c r="V51" i="2"/>
  <c r="Z52" i="2"/>
  <c r="I52" i="2"/>
  <c r="O56" i="2"/>
  <c r="AQ51" i="2"/>
  <c r="AH56" i="2"/>
  <c r="R56" i="2"/>
  <c r="AQ52" i="2"/>
  <c r="E51" i="2"/>
  <c r="X52" i="2"/>
  <c r="AG56" i="2"/>
  <c r="Q56" i="2"/>
  <c r="AP52" i="2"/>
  <c r="AE56" i="2"/>
  <c r="AF56" i="2"/>
  <c r="P56" i="2"/>
  <c r="AO52" i="2"/>
  <c r="AD56" i="2"/>
  <c r="N56" i="2"/>
  <c r="AM52" i="2"/>
  <c r="W52" i="2"/>
  <c r="G52" i="2"/>
  <c r="AG51" i="2"/>
  <c r="Q51" i="2"/>
  <c r="AC56" i="2"/>
  <c r="M56" i="2"/>
  <c r="AL52" i="2"/>
  <c r="V52" i="2"/>
  <c r="F52" i="2"/>
  <c r="AF51" i="2"/>
  <c r="P51" i="2"/>
  <c r="AR51" i="2"/>
  <c r="L51" i="2"/>
  <c r="C56" i="2"/>
  <c r="R39" i="2" a="1"/>
  <c r="H39" i="2" a="1"/>
  <c r="AE39" i="2" a="1"/>
  <c r="AL39" i="2" a="1"/>
  <c r="AH39" i="2" a="1"/>
  <c r="AF39" i="2" a="1"/>
  <c r="AJ39" i="2" a="1"/>
  <c r="AP39" i="2" a="1"/>
  <c r="E39" i="2" a="1"/>
  <c r="U39" i="2" a="1"/>
  <c r="AI39" i="2" a="1"/>
  <c r="M39" i="2" a="1"/>
  <c r="AK39" i="2" a="1"/>
  <c r="AG39" i="2" a="1"/>
  <c r="AD39" i="2" a="1"/>
  <c r="AA39" i="2" a="1"/>
  <c r="G39" i="2" a="1"/>
  <c r="C39" i="2" a="1"/>
  <c r="X39" i="2" a="1"/>
  <c r="T39" i="2" a="1"/>
  <c r="AM39" i="2" a="1"/>
  <c r="S39" i="2" a="1"/>
  <c r="P39" i="2" a="1"/>
  <c r="AB39" i="2" a="1"/>
  <c r="D39" i="2" a="1"/>
  <c r="Z39" i="2" a="1"/>
  <c r="AN39" i="2" a="1"/>
  <c r="AQ39" i="2" a="1"/>
  <c r="I39" i="2" a="1"/>
  <c r="AR39" i="2" a="1"/>
  <c r="Q39" i="2" a="1"/>
  <c r="Y39" i="2" a="1"/>
  <c r="V39" i="2" a="1"/>
  <c r="AO39" i="2" a="1"/>
  <c r="N39" i="2" a="1"/>
  <c r="AC39" i="2" a="1"/>
  <c r="J39" i="2" a="1"/>
  <c r="K39" i="2" a="1"/>
  <c r="L39" i="2" a="1"/>
  <c r="F39" i="2" a="1"/>
  <c r="O39" i="2" a="1"/>
  <c r="W39" i="2" a="1"/>
  <c r="K39" i="2" l="1"/>
  <c r="AH39" i="2"/>
  <c r="AO39" i="2"/>
  <c r="Y39" i="2"/>
  <c r="I39" i="2"/>
  <c r="Z39" i="2"/>
  <c r="AG39" i="2"/>
  <c r="Q39" i="2"/>
  <c r="AF39" i="2"/>
  <c r="P39" i="2"/>
  <c r="H39" i="2"/>
  <c r="X39" i="2"/>
  <c r="S39" i="2"/>
  <c r="AE39" i="2"/>
  <c r="W39" i="2"/>
  <c r="G39" i="2"/>
  <c r="AQ39" i="2"/>
  <c r="AQ44" i="2" s="1"/>
  <c r="J39" i="2"/>
  <c r="AM39" i="2"/>
  <c r="O39" i="2"/>
  <c r="AP39" i="2"/>
  <c r="AP44" i="2" s="1"/>
  <c r="AL39" i="2"/>
  <c r="V39" i="2"/>
  <c r="F39" i="2"/>
  <c r="AI39" i="2"/>
  <c r="R39" i="2"/>
  <c r="AD39" i="2"/>
  <c r="N39" i="2"/>
  <c r="AK39" i="2"/>
  <c r="AK50" i="2" s="1"/>
  <c r="U39" i="2"/>
  <c r="E39" i="2"/>
  <c r="AA39" i="2"/>
  <c r="AN39" i="2"/>
  <c r="AN50" i="2" s="1"/>
  <c r="AC39" i="2"/>
  <c r="M39" i="2"/>
  <c r="AR39" i="2"/>
  <c r="AJ39" i="2"/>
  <c r="AJ50" i="2" s="1"/>
  <c r="AB39" i="2"/>
  <c r="T39" i="2"/>
  <c r="L39" i="2"/>
  <c r="D39" i="2"/>
  <c r="C39" i="2"/>
  <c r="AP54" i="2"/>
  <c r="AQ54" i="2"/>
  <c r="AK54" i="2"/>
  <c r="AN54" i="2"/>
  <c r="AR54" i="2"/>
  <c r="AJ54" i="2"/>
  <c r="AQ50" i="2"/>
  <c r="AO50" i="2"/>
  <c r="AM50" i="2"/>
  <c r="AM44" i="2"/>
  <c r="AL50" i="2"/>
  <c r="AR44" i="2"/>
  <c r="AR50" i="2"/>
  <c r="AQ55" i="2"/>
  <c r="AM55" i="2"/>
  <c r="AO55" i="2"/>
  <c r="AM54" i="2"/>
  <c r="AO44" i="2"/>
  <c r="AN44" i="2"/>
  <c r="AL55" i="2"/>
  <c r="AK55" i="2"/>
  <c r="AL44" i="2"/>
  <c r="AR55" i="2"/>
  <c r="AL54" i="2"/>
  <c r="AJ55" i="2"/>
  <c r="AP50" i="2"/>
  <c r="AN55" i="2"/>
  <c r="AP55" i="2"/>
  <c r="AM43" i="2"/>
  <c r="AO54" i="2"/>
  <c r="AJ44" i="2" l="1"/>
  <c r="AP57" i="2"/>
  <c r="AJ57" i="2"/>
  <c r="AK44" i="2"/>
  <c r="AR57" i="2"/>
  <c r="AK57" i="2"/>
  <c r="AM57" i="2"/>
  <c r="AN57" i="2"/>
  <c r="AQ57" i="2"/>
  <c r="AO57" i="2"/>
  <c r="AL57" i="2"/>
  <c r="AG41" i="2" l="1"/>
  <c r="AH41" i="2"/>
  <c r="AI41" i="2"/>
  <c r="AG53" i="2"/>
  <c r="AH53" i="2"/>
  <c r="AI53" i="2"/>
  <c r="AA53" i="2"/>
  <c r="AF53" i="2"/>
  <c r="AE53" i="2"/>
  <c r="AD53" i="2"/>
  <c r="AC53" i="2"/>
  <c r="AB53" i="2"/>
  <c r="AF41" i="2"/>
  <c r="AE41" i="2"/>
  <c r="AD41" i="2"/>
  <c r="AC41" i="2"/>
  <c r="AB41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X41" i="2"/>
  <c r="Y41" i="2"/>
  <c r="Z41" i="2"/>
  <c r="S41" i="2"/>
  <c r="S43" i="2" s="1"/>
  <c r="T41" i="2"/>
  <c r="U41" i="2"/>
  <c r="V41" i="2"/>
  <c r="W41" i="2"/>
  <c r="P41" i="2"/>
  <c r="P43" i="2" s="1"/>
  <c r="Q41" i="2"/>
  <c r="Q43" i="2" s="1"/>
  <c r="R41" i="2"/>
  <c r="R43" i="2" s="1"/>
  <c r="O41" i="2"/>
  <c r="O43" i="2" s="1"/>
  <c r="AG50" i="2" l="1"/>
  <c r="Y50" i="2"/>
  <c r="AA44" i="2"/>
  <c r="AA50" i="2"/>
  <c r="AF50" i="2"/>
  <c r="S44" i="2"/>
  <c r="Z50" i="2"/>
  <c r="X50" i="2"/>
  <c r="W50" i="2"/>
  <c r="AD50" i="2"/>
  <c r="V50" i="2"/>
  <c r="AC50" i="2"/>
  <c r="U50" i="2"/>
  <c r="AI50" i="2"/>
  <c r="AH50" i="2"/>
  <c r="AE50" i="2"/>
  <c r="AB50" i="2"/>
  <c r="T50" i="2"/>
  <c r="AE44" i="2"/>
  <c r="Z43" i="2"/>
  <c r="Z44" i="2"/>
  <c r="U43" i="2"/>
  <c r="U44" i="2"/>
  <c r="Y43" i="2"/>
  <c r="Y44" i="2"/>
  <c r="X43" i="2"/>
  <c r="X44" i="2"/>
  <c r="AB43" i="2"/>
  <c r="AB44" i="2"/>
  <c r="AI43" i="2"/>
  <c r="AI44" i="2"/>
  <c r="AF43" i="2"/>
  <c r="AF44" i="2"/>
  <c r="W43" i="2"/>
  <c r="W44" i="2"/>
  <c r="AC43" i="2"/>
  <c r="AC44" i="2"/>
  <c r="AH43" i="2"/>
  <c r="AH44" i="2"/>
  <c r="T43" i="2"/>
  <c r="T44" i="2"/>
  <c r="AE43" i="2"/>
  <c r="V43" i="2"/>
  <c r="V44" i="2"/>
  <c r="AD43" i="2"/>
  <c r="AD44" i="2"/>
  <c r="AG43" i="2"/>
  <c r="AG44" i="2"/>
  <c r="Q44" i="2"/>
  <c r="S50" i="2"/>
  <c r="AI54" i="2"/>
  <c r="AH54" i="2"/>
  <c r="AG54" i="2"/>
  <c r="AI55" i="2"/>
  <c r="AH55" i="2"/>
  <c r="AG55" i="2"/>
  <c r="AA54" i="2"/>
  <c r="AA55" i="2"/>
  <c r="AB54" i="2"/>
  <c r="AC54" i="2"/>
  <c r="AE54" i="2"/>
  <c r="AD54" i="2"/>
  <c r="AF54" i="2"/>
  <c r="AB55" i="2"/>
  <c r="AC55" i="2"/>
  <c r="AD55" i="2"/>
  <c r="AE55" i="2"/>
  <c r="AF55" i="2"/>
  <c r="R50" i="2"/>
  <c r="R44" i="2"/>
  <c r="Q50" i="2"/>
  <c r="P50" i="2"/>
  <c r="P44" i="2"/>
  <c r="O50" i="2"/>
  <c r="O44" i="2"/>
  <c r="L50" i="2"/>
  <c r="Z55" i="2"/>
  <c r="N55" i="2"/>
  <c r="R54" i="2"/>
  <c r="Y55" i="2"/>
  <c r="M55" i="2"/>
  <c r="Q54" i="2"/>
  <c r="P54" i="2"/>
  <c r="O54" i="2"/>
  <c r="V55" i="2"/>
  <c r="K55" i="2"/>
  <c r="Z54" i="2"/>
  <c r="U55" i="2"/>
  <c r="Y54" i="2"/>
  <c r="T55" i="2"/>
  <c r="X54" i="2"/>
  <c r="S55" i="2"/>
  <c r="W54" i="2"/>
  <c r="X55" i="2"/>
  <c r="R55" i="2"/>
  <c r="V54" i="2"/>
  <c r="L55" i="2"/>
  <c r="U54" i="2"/>
  <c r="P55" i="2"/>
  <c r="W55" i="2"/>
  <c r="Q55" i="2"/>
  <c r="T54" i="2"/>
  <c r="O55" i="2"/>
  <c r="S54" i="2"/>
  <c r="N41" i="2"/>
  <c r="N54" i="2" s="1"/>
  <c r="N43" i="2"/>
  <c r="M41" i="2"/>
  <c r="M43" i="2" s="1"/>
  <c r="L41" i="2"/>
  <c r="L43" i="2" s="1"/>
  <c r="K41" i="2"/>
  <c r="K43" i="2" s="1"/>
  <c r="I53" i="2"/>
  <c r="J53" i="2"/>
  <c r="J41" i="2"/>
  <c r="J43" i="2" s="1"/>
  <c r="I41" i="2"/>
  <c r="I43" i="2" s="1"/>
  <c r="Z57" i="2" l="1"/>
  <c r="L54" i="2"/>
  <c r="P57" i="2"/>
  <c r="Q57" i="2"/>
  <c r="T57" i="2"/>
  <c r="M54" i="2"/>
  <c r="M57" i="2" s="1"/>
  <c r="R57" i="2"/>
  <c r="K54" i="2"/>
  <c r="K57" i="2" s="1"/>
  <c r="X57" i="2"/>
  <c r="Y57" i="2"/>
  <c r="AI57" i="2"/>
  <c r="K50" i="2"/>
  <c r="M44" i="2"/>
  <c r="N44" i="2"/>
  <c r="AG57" i="2"/>
  <c r="AH57" i="2"/>
  <c r="AA57" i="2"/>
  <c r="AD57" i="2"/>
  <c r="AE57" i="2"/>
  <c r="AC57" i="2"/>
  <c r="AB57" i="2"/>
  <c r="AF57" i="2"/>
  <c r="N50" i="2"/>
  <c r="M50" i="2"/>
  <c r="L57" i="2"/>
  <c r="V57" i="2"/>
  <c r="U57" i="2"/>
  <c r="N57" i="2"/>
  <c r="S57" i="2"/>
  <c r="W57" i="2"/>
  <c r="O57" i="2"/>
  <c r="I50" i="2"/>
  <c r="L44" i="2"/>
  <c r="K44" i="2"/>
  <c r="J44" i="2"/>
  <c r="J50" i="2"/>
  <c r="J54" i="2"/>
  <c r="J55" i="2"/>
  <c r="I54" i="2"/>
  <c r="I55" i="2"/>
  <c r="I44" i="2"/>
  <c r="I57" i="2" l="1"/>
  <c r="J57" i="2"/>
  <c r="H53" i="2"/>
  <c r="H41" i="2"/>
  <c r="G53" i="2"/>
  <c r="G41" i="2"/>
  <c r="G43" i="2" s="1"/>
  <c r="H43" i="2" l="1"/>
  <c r="H44" i="2"/>
  <c r="H50" i="2"/>
  <c r="G50" i="2"/>
  <c r="H54" i="2"/>
  <c r="H55" i="2"/>
  <c r="G54" i="2"/>
  <c r="G55" i="2"/>
  <c r="G44" i="2"/>
  <c r="C6" i="7"/>
  <c r="C5" i="7"/>
  <c r="C4" i="7"/>
  <c r="C3" i="7"/>
  <c r="C2" i="7"/>
  <c r="C1" i="7"/>
  <c r="H57" i="2" l="1"/>
  <c r="G57" i="2"/>
  <c r="D53" i="2"/>
  <c r="E53" i="2"/>
  <c r="F53" i="2"/>
  <c r="F41" i="2"/>
  <c r="F43" i="2" s="1"/>
  <c r="C53" i="2"/>
  <c r="F50" i="2" l="1"/>
  <c r="D50" i="2"/>
  <c r="E50" i="2"/>
  <c r="D55" i="2"/>
  <c r="F54" i="2"/>
  <c r="F55" i="2"/>
  <c r="E55" i="2"/>
  <c r="F44" i="2"/>
  <c r="F57" i="2" l="1"/>
  <c r="D41" i="2"/>
  <c r="E41" i="2"/>
  <c r="C41" i="2"/>
  <c r="D43" i="2" l="1"/>
  <c r="D54" i="2"/>
  <c r="D57" i="2" s="1"/>
  <c r="D44" i="2"/>
  <c r="E43" i="2"/>
  <c r="E54" i="2"/>
  <c r="E57" i="2" s="1"/>
  <c r="E44" i="2"/>
  <c r="C43" i="2"/>
  <c r="C44" i="2"/>
  <c r="C55" i="2"/>
  <c r="C54" i="2"/>
  <c r="C57" i="2" l="1"/>
  <c r="C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AP37" authorId="0" shapeId="0" xr:uid="{3AAFCC7D-1CF7-410A-891B-0E16013DFBD2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<sst xmlns="http://schemas.openxmlformats.org/spreadsheetml/2006/main" count="230" uniqueCount="185">
  <si>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</si>
  <si>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</si>
  <si>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</si>
  <si>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</si>
  <si>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</si>
  <si>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</si>
  <si>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</si>
  <si>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</si>
  <si>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</si>
  <si>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</si>
  <si>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</si>
  <si>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</si>
  <si>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</si>
  <si>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</si>
  <si>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</si>
  <si>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</si>
  <si>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</si>
  <si>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</si>
  <si>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</si>
  <si>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</si>
  <si>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</si>
  <si>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</si>
  <si>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列11</t>
  </si>
  <si>
    <t>列12</t>
  </si>
  <si>
    <t>列13</t>
  </si>
  <si>
    <t>列14</t>
  </si>
  <si>
    <t>列15</t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</si>
  <si>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</si>
  <si>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</si>
  <si>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</si>
  <si>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</si>
  <si>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</si>
  <si>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组6</t>
  </si>
  <si>
    <t>组7</t>
  </si>
  <si>
    <t>组8</t>
  </si>
  <si>
    <t>组9</t>
  </si>
  <si>
    <t>列10</t>
  </si>
  <si>
    <t>组10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</si>
  <si>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</si>
  <si>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</si>
  <si>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</si>
  <si>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</si>
  <si>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</si>
  <si>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</si>
  <si>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</si>
  <si>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</si>
  <si>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</si>
  <si>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组11</t>
  </si>
  <si>
    <t>组12</t>
  </si>
  <si>
    <t>组13</t>
  </si>
  <si>
    <t>组14</t>
  </si>
  <si>
    <t>组15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</si>
  <si>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</si>
  <si>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</si>
  <si>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</si>
  <si>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</si>
  <si>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</si>
  <si>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</si>
  <si>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</si>
  <si>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</si>
  <si>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组5</t>
  </si>
  <si>
    <t>性能</t>
    <phoneticPr fontId="5" type="noConversion"/>
  </si>
  <si>
    <t>列16</t>
  </si>
  <si>
    <t>组16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</si>
  <si>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</si>
  <si>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</si>
  <si>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</si>
  <si>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</si>
  <si>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</si>
  <si>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</si>
  <si>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</si>
  <si>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</si>
  <si>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</si>
  <si>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</si>
  <si>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</si>
  <si>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</si>
  <si>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</si>
  <si>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</si>
  <si>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</si>
  <si>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</si>
  <si>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</si>
  <si>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</si>
  <si>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</si>
  <si>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</si>
  <si>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</si>
  <si>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</si>
  <si>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</si>
  <si>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</si>
  <si>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</si>
  <si>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</si>
  <si>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</si>
  <si>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</si>
  <si>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</si>
  <si>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</si>
  <si>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</si>
  <si>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</si>
  <si>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</si>
  <si>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</si>
  <si>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</si>
  <si>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</si>
  <si>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</si>
  <si>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</si>
  <si>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</si>
  <si>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</si>
  <si>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</si>
  <si>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</si>
  <si>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</si>
  <si>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</si>
  <si>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</si>
  <si>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</si>
  <si>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</si>
  <si>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</si>
  <si>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</si>
  <si>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</si>
  <si>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</si>
  <si>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说明</t>
    <phoneticPr fontId="5" type="noConversion"/>
  </si>
  <si>
    <t>无回热，最大排温，最大制冷量</t>
    <phoneticPr fontId="5" type="noConversion"/>
  </si>
  <si>
    <t>全回热，最大制冷量</t>
    <phoneticPr fontId="5" type="noConversion"/>
  </si>
  <si>
    <t>全回热</t>
    <phoneticPr fontId="5" type="noConversion"/>
  </si>
  <si>
    <t>全回热</t>
    <phoneticPr fontId="5" type="noConversion"/>
  </si>
  <si>
    <t>不回热</t>
    <phoneticPr fontId="5" type="noConversion"/>
  </si>
  <si>
    <t>全回热</t>
    <phoneticPr fontId="5" type="noConversion"/>
  </si>
  <si>
    <t>列17</t>
  </si>
  <si>
    <t>列18</t>
  </si>
  <si>
    <t>列19</t>
  </si>
  <si>
    <t>列20</t>
  </si>
  <si>
    <t>列21</t>
  </si>
  <si>
    <t>组17</t>
  </si>
  <si>
    <t>组18</t>
  </si>
  <si>
    <t>组19</t>
  </si>
  <si>
    <t>组20</t>
  </si>
  <si>
    <t>组21</t>
  </si>
  <si>
    <t>不回热</t>
    <phoneticPr fontId="5" type="noConversion"/>
  </si>
  <si>
    <t>全回热</t>
    <phoneticPr fontId="5" type="noConversion"/>
  </si>
  <si>
    <t>组22</t>
  </si>
  <si>
    <t>组23</t>
  </si>
  <si>
    <t>组24</t>
  </si>
  <si>
    <t>列22</t>
  </si>
  <si>
    <t>列23</t>
  </si>
  <si>
    <t>列24</t>
  </si>
  <si>
    <t>800（带液）</t>
    <phoneticPr fontId="5" type="noConversion"/>
  </si>
  <si>
    <t>回热</t>
    <phoneticPr fontId="5" type="noConversion"/>
  </si>
  <si>
    <t>列25</t>
  </si>
  <si>
    <t>列26</t>
  </si>
  <si>
    <t>列27</t>
  </si>
  <si>
    <t>列28</t>
  </si>
  <si>
    <t>列29</t>
  </si>
  <si>
    <t>列30</t>
  </si>
  <si>
    <t>无效，图110123</t>
    <phoneticPr fontId="5" type="noConversion"/>
  </si>
  <si>
    <t>组25</t>
  </si>
  <si>
    <t>组26</t>
  </si>
  <si>
    <t>组27</t>
  </si>
  <si>
    <t>组28</t>
  </si>
  <si>
    <t>组29</t>
  </si>
  <si>
    <t>组30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</si>
  <si>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</si>
  <si>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</si>
  <si>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</si>
  <si>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</si>
  <si>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</si>
  <si>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</si>
  <si>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</si>
  <si>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</si>
  <si>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</si>
  <si>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</si>
  <si>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</si>
  <si>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</si>
  <si>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</si>
  <si>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</si>
  <si>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</si>
  <si>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组31</t>
  </si>
  <si>
    <t>组32</t>
  </si>
  <si>
    <t>组33</t>
  </si>
  <si>
    <t>组34</t>
  </si>
  <si>
    <t>组35</t>
  </si>
  <si>
    <t>组36</t>
  </si>
  <si>
    <t>组37</t>
  </si>
  <si>
    <t>组38</t>
  </si>
  <si>
    <t>组39</t>
  </si>
  <si>
    <t>组40</t>
  </si>
  <si>
    <t>组41</t>
  </si>
  <si>
    <t>组42</t>
  </si>
  <si>
    <t>组43</t>
  </si>
  <si>
    <t>组44</t>
  </si>
  <si>
    <t>组45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</si>
</sst>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3" fillId="3" borderId="1" xfId="2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9" fillId="4" borderId="2" xfId="5" applyAlignment="1">
      <alignment horizontal="center" vertical="center"/>
    </xf>
    <xf numFmtId="0" fontId="9" fillId="4" borderId="2" xfId="5" applyAlignment="1">
      <alignment vertical="center"/>
    </xf>
    <xf numFmtId="0" fontId="4" fillId="4" borderId="1" xfId="3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9" borderId="16" xfId="0" applyFont="1" applyFill="1" applyBorder="1" applyAlignment="1">
      <alignment horizontal="center" vertical="center"/>
    </xf>
    <xf numFmtId="0" fontId="6" fillId="5" borderId="3" xfId="4" applyNumberFormat="1" applyFont="1" applyAlignment="1">
      <alignment horizontal="center" vertical="center"/>
    </xf>
    <xf numFmtId="0" fontId="0" fillId="5" borderId="18" xfId="4" applyNumberFormat="1" applyFont="1" applyBorder="1" applyAlignment="1">
      <alignment horizontal="center" vertical="center"/>
    </xf>
    <xf numFmtId="0" fontId="2" fillId="2" borderId="17" xfId="1" applyBorder="1" applyAlignment="1">
      <alignment horizontal="center"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3" fillId="10" borderId="1" xfId="2" applyFill="1" applyAlignment="1">
      <alignment horizontal="center" vertical="center"/>
    </xf>
    <xf numFmtId="0" fontId="0" fillId="11" borderId="0" xfId="0" applyFill="1">
      <alignment vertical="center"/>
    </xf>
    <xf numFmtId="0" fontId="0" fillId="12" borderId="16" xfId="0" applyFont="1" applyFill="1" applyBorder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4" fillId="8" borderId="5" xfId="3" applyFill="1" applyBorder="1" applyAlignment="1">
      <alignment horizontal="center" vertical="center"/>
    </xf>
    <xf numFmtId="0" fontId="2" fillId="8" borderId="17" xfId="1" applyFill="1" applyBorder="1" applyAlignment="1">
      <alignment horizontal="center" vertical="center"/>
    </xf>
    <xf numFmtId="0" fontId="0" fillId="8" borderId="18" xfId="4" applyNumberFormat="1" applyFont="1" applyFill="1" applyBorder="1" applyAlignment="1">
      <alignment horizontal="center" vertical="center"/>
    </xf>
    <xf numFmtId="0" fontId="0" fillId="8" borderId="3" xfId="4" applyNumberFormat="1" applyFont="1" applyFill="1" applyAlignment="1">
      <alignment horizontal="center" vertical="center"/>
    </xf>
    <xf numFmtId="0" fontId="3" fillId="8" borderId="1" xfId="2" applyFill="1" applyAlignment="1">
      <alignment horizontal="center" vertical="center"/>
    </xf>
    <xf numFmtId="0" fontId="10" fillId="10" borderId="0" xfId="6" applyFill="1" applyAlignment="1">
      <alignment horizontal="center" vertical="center"/>
    </xf>
    <xf numFmtId="0" fontId="10" fillId="10" borderId="1" xfId="6" applyFill="1" applyBorder="1" applyAlignment="1">
      <alignment horizontal="center" vertical="center"/>
    </xf>
    <xf numFmtId="0" fontId="10" fillId="10" borderId="3" xfId="6" applyNumberFormat="1" applyFill="1" applyBorder="1" applyAlignment="1">
      <alignment horizontal="center" vertical="center"/>
    </xf>
    <xf numFmtId="0" fontId="11" fillId="3" borderId="1" xfId="2" applyFont="1" applyAlignment="1">
      <alignment horizontal="center" vertical="center"/>
    </xf>
    <xf numFmtId="0" fontId="12" fillId="8" borderId="1" xfId="2" applyFont="1" applyFill="1" applyAlignment="1">
      <alignment horizontal="center" vertical="center"/>
    </xf>
    <xf numFmtId="0" fontId="12" fillId="0" borderId="0" xfId="0" applyFont="1">
      <alignment vertical="center"/>
    </xf>
    <xf numFmtId="0" fontId="11" fillId="6" borderId="1" xfId="2" applyFont="1" applyFill="1" applyAlignment="1">
      <alignment horizontal="center" vertical="center"/>
    </xf>
    <xf numFmtId="0" fontId="0" fillId="14" borderId="16" xfId="0" applyFont="1" applyFill="1" applyBorder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4" fillId="13" borderId="5" xfId="3" applyFill="1" applyBorder="1" applyAlignment="1">
      <alignment horizontal="center" vertical="center"/>
    </xf>
    <xf numFmtId="0" fontId="2" fillId="13" borderId="17" xfId="1" applyFill="1" applyBorder="1" applyAlignment="1">
      <alignment horizontal="center" vertical="center"/>
    </xf>
    <xf numFmtId="0" fontId="0" fillId="13" borderId="18" xfId="4" applyNumberFormat="1" applyFont="1" applyFill="1" applyBorder="1" applyAlignment="1">
      <alignment horizontal="center" vertical="center"/>
    </xf>
    <xf numFmtId="0" fontId="0" fillId="13" borderId="3" xfId="4" applyNumberFormat="1" applyFont="1" applyFill="1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12" fillId="13" borderId="1" xfId="2" applyFont="1" applyFill="1" applyAlignment="1">
      <alignment horizontal="center" vertical="center"/>
    </xf>
    <xf numFmtId="0" fontId="4" fillId="4" borderId="1" xfId="3" applyAlignment="1">
      <alignment horizontal="center" vertical="center"/>
    </xf>
    <xf numFmtId="0" fontId="10" fillId="6" borderId="1" xfId="6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4" fillId="11" borderId="1" xfId="3" applyFill="1" applyAlignment="1">
      <alignment horizontal="center" vertical="center"/>
    </xf>
    <xf numFmtId="0" fontId="2" fillId="11" borderId="0" xfId="1" applyFill="1" applyAlignment="1">
      <alignment horizontal="center" vertical="center"/>
    </xf>
    <xf numFmtId="0" fontId="0" fillId="11" borderId="3" xfId="4" applyNumberFormat="1" applyFont="1" applyFill="1" applyAlignment="1">
      <alignment horizontal="center" vertical="center"/>
    </xf>
    <xf numFmtId="9" fontId="0" fillId="11" borderId="3" xfId="4" applyNumberFormat="1" applyFont="1" applyFill="1" applyAlignment="1">
      <alignment horizontal="center" vertical="center"/>
    </xf>
    <xf numFmtId="0" fontId="3" fillId="11" borderId="1" xfId="2" applyFill="1" applyAlignment="1">
      <alignment horizontal="center"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center" vertical="center"/>
    </xf>
    <xf numFmtId="0" fontId="4" fillId="15" borderId="1" xfId="3" applyFill="1" applyAlignment="1">
      <alignment horizontal="center" vertical="center"/>
    </xf>
    <xf numFmtId="0" fontId="2" fillId="15" borderId="0" xfId="1" applyFill="1" applyAlignment="1">
      <alignment horizontal="center" vertical="center"/>
    </xf>
    <xf numFmtId="0" fontId="0" fillId="15" borderId="3" xfId="4" applyNumberFormat="1" applyFont="1" applyFill="1" applyAlignment="1">
      <alignment horizontal="center" vertical="center"/>
    </xf>
    <xf numFmtId="9" fontId="0" fillId="15" borderId="3" xfId="4" applyNumberFormat="1" applyFont="1" applyFill="1" applyAlignment="1">
      <alignment horizontal="center" vertical="center"/>
    </xf>
    <xf numFmtId="0" fontId="3" fillId="15" borderId="1" xfId="2" applyFill="1" applyAlignment="1">
      <alignment horizontal="center" vertical="center"/>
    </xf>
    <xf numFmtId="0" fontId="10" fillId="11" borderId="0" xfId="6" applyFill="1">
      <alignment vertical="center"/>
    </xf>
    <xf numFmtId="0" fontId="10" fillId="11" borderId="1" xfId="6" applyFill="1" applyBorder="1" applyAlignment="1">
      <alignment horizontal="center" vertical="center"/>
    </xf>
    <xf numFmtId="0" fontId="10" fillId="11" borderId="0" xfId="6" applyFill="1" applyAlignment="1">
      <alignment horizontal="center" vertical="center"/>
    </xf>
    <xf numFmtId="0" fontId="10" fillId="15" borderId="0" xfId="6" applyFill="1" applyAlignment="1">
      <alignment horizontal="center" vertical="center"/>
    </xf>
    <xf numFmtId="0" fontId="10" fillId="11" borderId="3" xfId="6" applyNumberFormat="1" applyFill="1" applyBorder="1" applyAlignment="1">
      <alignment horizontal="center" vertical="center"/>
    </xf>
    <xf numFmtId="0" fontId="12" fillId="11" borderId="1" xfId="6" applyFont="1" applyFill="1" applyBorder="1" applyAlignment="1">
      <alignment horizontal="center" vertical="center"/>
    </xf>
    <xf numFmtId="0" fontId="11" fillId="10" borderId="1" xfId="2" applyFont="1" applyFill="1" applyAlignment="1">
      <alignment horizontal="center" vertical="center"/>
    </xf>
    <xf numFmtId="0" fontId="12" fillId="11" borderId="1" xfId="2" applyFont="1" applyFill="1" applyAlignment="1">
      <alignment horizontal="center" vertical="center"/>
    </xf>
    <xf numFmtId="0" fontId="2" fillId="2" borderId="16" xfId="1" applyBorder="1" applyAlignment="1">
      <alignment horizontal="center" vertical="center"/>
    </xf>
    <xf numFmtId="0" fontId="6" fillId="2" borderId="16" xfId="1" applyFont="1" applyBorder="1" applyAlignment="1">
      <alignment horizontal="center" vertical="center"/>
    </xf>
    <xf numFmtId="0" fontId="2" fillId="11" borderId="16" xfId="1" applyFill="1" applyBorder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9" fillId="4" borderId="13" xfId="5" applyBorder="1" applyAlignment="1">
      <alignment horizontal="center" vertical="center"/>
    </xf>
    <xf numFmtId="0" fontId="9" fillId="4" borderId="14" xfId="5" applyBorder="1" applyAlignment="1">
      <alignment horizontal="center" vertical="center"/>
    </xf>
    <xf numFmtId="0" fontId="9" fillId="4" borderId="15" xfId="5" applyBorder="1" applyAlignment="1">
      <alignment horizontal="center" vertical="center"/>
    </xf>
  </cellXfs>
  <cellStyles count="7">
    <cellStyle name="常规" xfId="0" builtinId="0"/>
    <cellStyle name="好" xfId="6" builtinId="26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46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-2.8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0.12699999999999889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-0.11899999999999977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-2.8</c:v>
                </c:pt>
                <c:pt idx="3">
                  <c:v>0.12699999999999889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5753\AppData\Roaming\Microsoft\AddIns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</sheetNames>
    <definedNames>
      <definedName name="Density"/>
      <definedName name="Enthalpy"/>
      <definedName name="Entropy"/>
    </defined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Z58" totalsRowShown="0" dataDxfId="45">
  <autoFilter ref="B1:Z58" xr:uid="{00000000-0009-0000-0100-000003000000}"/>
  <tableColumns count="25">
    <tableColumn id="9" xr3:uid="{00000000-0010-0000-0000-000009000000}" name="列0" dataDxfId="44" totalsRowDxfId="43"/>
    <tableColumn id="4" xr3:uid="{00000000-0010-0000-0000-000004000000}" name="列1" dataDxfId="42" dataCellStyle="好"/>
    <tableColumn id="16" xr3:uid="{00000000-0010-0000-0000-000010000000}" name="列2" dataDxfId="41" dataCellStyle="好"/>
    <tableColumn id="18" xr3:uid="{00000000-0010-0000-0000-000012000000}" name="列3" dataDxfId="40" totalsRowDxfId="39"/>
    <tableColumn id="1" xr3:uid="{00000000-0010-0000-0000-000001000000}" name="列4" dataDxfId="38" totalsRowDxfId="37"/>
    <tableColumn id="17" xr3:uid="{00000000-0010-0000-0000-000011000000}" name="列5" dataDxfId="36" dataCellStyle="好"/>
    <tableColumn id="21" xr3:uid="{00000000-0010-0000-0000-000015000000}" name="列6" dataDxfId="35" totalsRowDxfId="34"/>
    <tableColumn id="20" xr3:uid="{00000000-0010-0000-0000-000014000000}" name="列7" dataDxfId="33" totalsRowDxfId="32"/>
    <tableColumn id="19" xr3:uid="{00000000-0010-0000-0000-000013000000}" name="列8" dataDxfId="31" totalsRowDxfId="30"/>
    <tableColumn id="11" xr3:uid="{00000000-0010-0000-0000-00000B000000}" name="列9" dataDxfId="29" totalsRowDxfId="28"/>
    <tableColumn id="24" xr3:uid="{00000000-0010-0000-0000-000018000000}" name="列10" dataDxfId="27" totalsRowDxfId="26" dataCellStyle="好"/>
    <tableColumn id="23" xr3:uid="{00000000-0010-0000-0000-000017000000}" name="列11" dataDxfId="25" totalsRowDxfId="24"/>
    <tableColumn id="22" xr3:uid="{00000000-0010-0000-0000-000016000000}" name="列12" dataDxfId="23" totalsRowDxfId="22"/>
    <tableColumn id="12" xr3:uid="{00000000-0010-0000-0000-00000C000000}" name="列13" dataDxfId="21" totalsRowDxfId="20"/>
    <tableColumn id="13" xr3:uid="{00000000-0010-0000-0000-00000D000000}" name="列14" dataDxfId="19" totalsRowDxfId="18"/>
    <tableColumn id="14" xr3:uid="{00000000-0010-0000-0000-00000E000000}" name="列15" dataDxfId="17" dataCellStyle="好"/>
    <tableColumn id="15" xr3:uid="{00000000-0010-0000-0000-00000F000000}" name="列16" dataDxfId="16" totalsRowDxfId="15"/>
    <tableColumn id="2" xr3:uid="{00000000-0010-0000-0000-000002000000}" name="列17" dataDxfId="14" totalsRowDxfId="13"/>
    <tableColumn id="3" xr3:uid="{00000000-0010-0000-0000-000003000000}" name="列18" dataDxfId="12" totalsRowDxfId="11"/>
    <tableColumn id="5" xr3:uid="{00000000-0010-0000-0000-000005000000}" name="列19" dataDxfId="10" totalsRowDxfId="9" dataCellStyle="好"/>
    <tableColumn id="6" xr3:uid="{00000000-0010-0000-0000-000006000000}" name="列20" dataDxfId="8" totalsRowDxfId="7"/>
    <tableColumn id="7" xr3:uid="{00000000-0010-0000-0000-000007000000}" name="列21" dataDxfId="6" totalsRowDxfId="5"/>
    <tableColumn id="8" xr3:uid="{00000000-0010-0000-0000-000008000000}" name="列22" dataDxfId="4" totalsRowDxfId="3"/>
    <tableColumn id="10" xr3:uid="{00000000-0010-0000-0000-00000A000000}" name="列23" dataDxfId="2"/>
    <tableColumn id="25" xr3:uid="{00000000-0010-0000-0000-000019000000}" name="列24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178"/>
  <sheetViews>
    <sheetView tabSelected="1" workbookViewId="0">
      <selection activeCell="C11" sqref="C11:AR11"/>
    </sheetView>
  </sheetViews>
  <sheetFormatPr defaultRowHeight="13.8" x14ac:dyDescent="0.25"/>
  <cols>
    <col min="2" max="2" width="29.21875" customWidth="1"/>
    <col min="3" max="3" width="17" style="7" customWidth="1"/>
    <col min="4" max="4" width="28.44140625" style="61" hidden="1" customWidth="1"/>
    <col min="5" max="5" width="11.109375" customWidth="1"/>
    <col min="6" max="6" width="15.77734375" customWidth="1"/>
    <col min="7" max="7" width="11.21875" style="68" customWidth="1"/>
    <col min="8" max="8" width="12.109375" hidden="1" customWidth="1"/>
    <col min="9" max="9" width="13.109375" hidden="1" customWidth="1"/>
    <col min="10" max="11" width="0" hidden="1" customWidth="1"/>
    <col min="12" max="12" width="10" style="61" hidden="1" customWidth="1"/>
    <col min="13" max="13" width="10" hidden="1" customWidth="1"/>
    <col min="14" max="14" width="9.109375" customWidth="1"/>
    <col min="17" max="17" width="8.88671875" style="30"/>
    <col min="18" max="20" width="0" hidden="1" customWidth="1"/>
    <col min="21" max="21" width="0" style="27" hidden="1" customWidth="1"/>
    <col min="22" max="22" width="0" hidden="1" customWidth="1"/>
    <col min="25" max="25" width="8.88671875" style="30"/>
    <col min="27" max="27" width="10.21875" hidden="1" customWidth="1"/>
    <col min="28" max="28" width="0" hidden="1" customWidth="1"/>
    <col min="29" max="29" width="0" style="27" hidden="1" customWidth="1"/>
    <col min="30" max="30" width="0" hidden="1" customWidth="1"/>
    <col min="31" max="31" width="14.21875" style="27" hidden="1" customWidth="1"/>
    <col min="32" max="32" width="12.77734375" customWidth="1"/>
    <col min="34" max="34" width="8.88671875" style="30"/>
    <col min="37" max="37" width="9.109375" style="30"/>
    <col min="41" max="41" width="9.109375" style="30"/>
  </cols>
  <sheetData>
    <row r="1" spans="1:47" x14ac:dyDescent="0.25">
      <c r="B1" s="7" t="s">
        <v>38</v>
      </c>
      <c r="C1" s="7" t="s">
        <v>39</v>
      </c>
      <c r="D1" s="61" t="s">
        <v>40</v>
      </c>
      <c r="E1" s="7" t="s">
        <v>41</v>
      </c>
      <c r="F1" s="7" t="s">
        <v>42</v>
      </c>
      <c r="G1" s="68" t="s">
        <v>43</v>
      </c>
      <c r="H1" s="7" t="s">
        <v>44</v>
      </c>
      <c r="I1" s="7" t="s">
        <v>45</v>
      </c>
      <c r="J1" s="7" t="s">
        <v>46</v>
      </c>
      <c r="K1" s="7" t="s">
        <v>12</v>
      </c>
      <c r="L1" s="61" t="s">
        <v>36</v>
      </c>
      <c r="M1" s="7" t="s">
        <v>22</v>
      </c>
      <c r="N1" s="7" t="s">
        <v>23</v>
      </c>
      <c r="O1" s="7" t="s">
        <v>24</v>
      </c>
      <c r="P1" s="7" t="s">
        <v>25</v>
      </c>
      <c r="Q1" s="30" t="s">
        <v>26</v>
      </c>
      <c r="R1" s="7" t="s">
        <v>62</v>
      </c>
      <c r="S1" s="7" t="s">
        <v>122</v>
      </c>
      <c r="T1" s="7" t="s">
        <v>123</v>
      </c>
      <c r="U1" s="27" t="s">
        <v>124</v>
      </c>
      <c r="V1" s="7" t="s">
        <v>125</v>
      </c>
      <c r="W1" s="7" t="s">
        <v>126</v>
      </c>
      <c r="X1" t="s">
        <v>137</v>
      </c>
      <c r="Y1" s="30" t="s">
        <v>138</v>
      </c>
      <c r="Z1" t="s">
        <v>139</v>
      </c>
      <c r="AA1" s="30" t="s">
        <v>142</v>
      </c>
      <c r="AB1" t="s">
        <v>143</v>
      </c>
      <c r="AC1" s="27" t="s">
        <v>144</v>
      </c>
      <c r="AD1" t="s">
        <v>145</v>
      </c>
      <c r="AE1" s="27" t="s">
        <v>146</v>
      </c>
      <c r="AF1" t="s">
        <v>147</v>
      </c>
      <c r="AG1" t="s">
        <v>155</v>
      </c>
      <c r="AH1" s="30" t="s">
        <v>156</v>
      </c>
      <c r="AI1" t="s">
        <v>157</v>
      </c>
      <c r="AJ1" t="s">
        <v>158</v>
      </c>
      <c r="AK1" s="30" t="s">
        <v>159</v>
      </c>
      <c r="AL1" t="s">
        <v>160</v>
      </c>
      <c r="AM1" t="s">
        <v>161</v>
      </c>
      <c r="AN1" t="s">
        <v>162</v>
      </c>
      <c r="AO1" s="30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</row>
    <row r="2" spans="1:47" ht="17.399999999999999" customHeight="1" x14ac:dyDescent="0.25">
      <c r="B2" s="1" t="s">
        <v>115</v>
      </c>
      <c r="C2" s="55" t="s">
        <v>117</v>
      </c>
      <c r="D2" s="62" t="s">
        <v>116</v>
      </c>
      <c r="E2" s="5" t="s">
        <v>118</v>
      </c>
      <c r="F2" s="11" t="s">
        <v>119</v>
      </c>
      <c r="G2" s="69" t="s">
        <v>118</v>
      </c>
      <c r="H2" s="5" t="s">
        <v>120</v>
      </c>
      <c r="I2" s="13" t="s">
        <v>120</v>
      </c>
      <c r="J2" s="13" t="s">
        <v>120</v>
      </c>
      <c r="K2" s="13" t="s">
        <v>120</v>
      </c>
      <c r="L2" s="67" t="s">
        <v>120</v>
      </c>
      <c r="M2" s="13" t="s">
        <v>120</v>
      </c>
      <c r="N2" s="1" t="s">
        <v>121</v>
      </c>
      <c r="O2" s="21" t="s">
        <v>121</v>
      </c>
      <c r="P2" s="21" t="s">
        <v>121</v>
      </c>
      <c r="Q2" s="55" t="s">
        <v>121</v>
      </c>
      <c r="R2" s="1" t="s">
        <v>132</v>
      </c>
      <c r="S2" s="21" t="s">
        <v>132</v>
      </c>
      <c r="T2" s="21" t="s">
        <v>132</v>
      </c>
      <c r="U2" s="28" t="s">
        <v>132</v>
      </c>
      <c r="V2" s="21" t="s">
        <v>132</v>
      </c>
      <c r="W2" s="21" t="s">
        <v>133</v>
      </c>
      <c r="X2" s="21" t="s">
        <v>133</v>
      </c>
      <c r="Y2" s="55" t="s">
        <v>133</v>
      </c>
      <c r="Z2" s="21" t="s">
        <v>133</v>
      </c>
      <c r="AA2" s="23" t="s">
        <v>148</v>
      </c>
      <c r="AB2" s="21" t="s">
        <v>132</v>
      </c>
      <c r="AC2" s="45" t="s">
        <v>132</v>
      </c>
      <c r="AD2" s="23" t="s">
        <v>132</v>
      </c>
      <c r="AE2" s="45" t="s">
        <v>132</v>
      </c>
      <c r="AF2" s="23" t="s">
        <v>141</v>
      </c>
      <c r="AG2" s="23" t="s">
        <v>141</v>
      </c>
      <c r="AH2" s="31" t="s">
        <v>141</v>
      </c>
      <c r="AI2" s="23" t="s">
        <v>141</v>
      </c>
      <c r="AJ2" s="23" t="s">
        <v>141</v>
      </c>
      <c r="AK2" s="31" t="s">
        <v>141</v>
      </c>
      <c r="AL2" s="23" t="s">
        <v>141</v>
      </c>
      <c r="AM2" s="23" t="s">
        <v>141</v>
      </c>
      <c r="AN2" s="23" t="s">
        <v>141</v>
      </c>
      <c r="AO2" s="31" t="s">
        <v>141</v>
      </c>
      <c r="AP2" s="23" t="s">
        <v>141</v>
      </c>
      <c r="AQ2" s="23" t="s">
        <v>141</v>
      </c>
      <c r="AR2" s="23" t="s">
        <v>141</v>
      </c>
      <c r="AS2" s="23" t="s">
        <v>141</v>
      </c>
      <c r="AT2" s="23" t="s">
        <v>141</v>
      </c>
      <c r="AU2" s="23" t="s">
        <v>141</v>
      </c>
    </row>
    <row r="3" spans="1:47" x14ac:dyDescent="0.25">
      <c r="A3" t="s">
        <v>18</v>
      </c>
      <c r="B3" s="1" t="s">
        <v>19</v>
      </c>
      <c r="C3" s="55" t="s">
        <v>28</v>
      </c>
      <c r="D3" s="62" t="s">
        <v>30</v>
      </c>
      <c r="E3" s="1" t="s">
        <v>29</v>
      </c>
      <c r="F3" s="12" t="s">
        <v>31</v>
      </c>
      <c r="G3" s="70" t="s">
        <v>60</v>
      </c>
      <c r="H3" s="12" t="s">
        <v>32</v>
      </c>
      <c r="I3" s="12" t="s">
        <v>33</v>
      </c>
      <c r="J3" s="12" t="s">
        <v>34</v>
      </c>
      <c r="K3" s="12" t="s">
        <v>35</v>
      </c>
      <c r="L3" s="71" t="s">
        <v>37</v>
      </c>
      <c r="M3" s="12" t="s">
        <v>47</v>
      </c>
      <c r="N3" s="12" t="s">
        <v>48</v>
      </c>
      <c r="O3" s="12" t="s">
        <v>49</v>
      </c>
      <c r="P3" s="12" t="s">
        <v>50</v>
      </c>
      <c r="Q3" s="70" t="s">
        <v>51</v>
      </c>
      <c r="R3" s="12" t="s">
        <v>63</v>
      </c>
      <c r="S3" s="21" t="s">
        <v>127</v>
      </c>
      <c r="T3" s="21" t="s">
        <v>128</v>
      </c>
      <c r="U3" s="38" t="s">
        <v>129</v>
      </c>
      <c r="V3" s="21" t="s">
        <v>130</v>
      </c>
      <c r="W3" s="21" t="s">
        <v>131</v>
      </c>
      <c r="X3" s="21" t="s">
        <v>134</v>
      </c>
      <c r="Y3" s="55" t="s">
        <v>135</v>
      </c>
      <c r="Z3" s="21" t="s">
        <v>136</v>
      </c>
      <c r="AA3" s="21" t="s">
        <v>149</v>
      </c>
      <c r="AB3" s="21" t="s">
        <v>150</v>
      </c>
      <c r="AC3" s="28" t="s">
        <v>151</v>
      </c>
      <c r="AD3" s="21" t="s">
        <v>152</v>
      </c>
      <c r="AE3" s="28" t="s">
        <v>153</v>
      </c>
      <c r="AF3" s="21" t="s">
        <v>154</v>
      </c>
      <c r="AG3" s="21" t="s">
        <v>170</v>
      </c>
      <c r="AH3" s="55" t="s">
        <v>171</v>
      </c>
      <c r="AI3" s="21" t="s">
        <v>172</v>
      </c>
      <c r="AJ3" s="21" t="s">
        <v>173</v>
      </c>
      <c r="AK3" s="55" t="s">
        <v>174</v>
      </c>
      <c r="AL3" s="21" t="s">
        <v>175</v>
      </c>
      <c r="AM3" s="21" t="s">
        <v>176</v>
      </c>
      <c r="AN3" s="21" t="s">
        <v>177</v>
      </c>
      <c r="AO3" s="55" t="s">
        <v>178</v>
      </c>
      <c r="AP3" s="21" t="s">
        <v>179</v>
      </c>
      <c r="AQ3" s="21" t="s">
        <v>180</v>
      </c>
      <c r="AR3" s="21" t="s">
        <v>181</v>
      </c>
      <c r="AS3" s="21" t="s">
        <v>182</v>
      </c>
      <c r="AT3" s="21" t="s">
        <v>183</v>
      </c>
      <c r="AU3" s="21" t="s">
        <v>184</v>
      </c>
    </row>
    <row r="4" spans="1:47" ht="13.5" customHeight="1" x14ac:dyDescent="0.25">
      <c r="A4" s="79" t="s">
        <v>20</v>
      </c>
      <c r="B4" s="8" t="s">
        <v>14</v>
      </c>
      <c r="C4" s="56">
        <v>26.9</v>
      </c>
      <c r="D4" s="63">
        <v>27.1</v>
      </c>
      <c r="E4" s="8">
        <v>27</v>
      </c>
      <c r="F4" s="10">
        <v>27</v>
      </c>
      <c r="G4" s="56">
        <v>27</v>
      </c>
      <c r="H4" s="19">
        <v>26.9</v>
      </c>
      <c r="I4" s="8">
        <v>26.9</v>
      </c>
      <c r="J4" s="8">
        <v>27</v>
      </c>
      <c r="K4" s="8">
        <v>27</v>
      </c>
      <c r="L4" s="67">
        <v>27</v>
      </c>
      <c r="M4" s="8">
        <v>26.9</v>
      </c>
      <c r="N4" s="8">
        <v>27</v>
      </c>
      <c r="O4" s="8">
        <v>27</v>
      </c>
      <c r="P4" s="8">
        <v>27</v>
      </c>
      <c r="Q4" s="69">
        <v>27</v>
      </c>
      <c r="R4" s="8">
        <v>27</v>
      </c>
      <c r="S4" s="22">
        <v>27</v>
      </c>
      <c r="T4" s="22">
        <v>27</v>
      </c>
      <c r="U4" s="39">
        <v>27</v>
      </c>
      <c r="V4" s="22">
        <v>26.9</v>
      </c>
      <c r="W4" s="22">
        <v>27</v>
      </c>
      <c r="X4" s="22">
        <v>27</v>
      </c>
      <c r="Y4" s="56">
        <v>27</v>
      </c>
      <c r="Z4" s="22">
        <v>27</v>
      </c>
      <c r="AA4" s="22"/>
      <c r="AB4" s="22">
        <v>27</v>
      </c>
      <c r="AC4" s="46">
        <v>27</v>
      </c>
      <c r="AD4" s="22">
        <v>27</v>
      </c>
      <c r="AE4" s="46">
        <v>26.9</v>
      </c>
      <c r="AF4" s="22">
        <v>27</v>
      </c>
      <c r="AG4" s="22">
        <v>27</v>
      </c>
      <c r="AH4" s="32">
        <v>27</v>
      </c>
      <c r="AI4" s="22">
        <v>27</v>
      </c>
      <c r="AJ4" s="53">
        <v>27</v>
      </c>
      <c r="AK4" s="56">
        <v>27.1</v>
      </c>
      <c r="AL4" s="53">
        <v>27</v>
      </c>
      <c r="AM4" s="53">
        <v>27</v>
      </c>
      <c r="AN4" s="53">
        <v>26.9</v>
      </c>
      <c r="AO4" s="56">
        <v>27</v>
      </c>
      <c r="AP4" s="53">
        <v>27</v>
      </c>
      <c r="AQ4" s="53">
        <v>27</v>
      </c>
      <c r="AR4" s="53">
        <v>27</v>
      </c>
      <c r="AS4" s="22"/>
      <c r="AT4" s="22"/>
      <c r="AU4" s="22"/>
    </row>
    <row r="5" spans="1:47" ht="13.5" customHeight="1" x14ac:dyDescent="0.25">
      <c r="A5" s="80"/>
      <c r="B5" s="8" t="s">
        <v>15</v>
      </c>
      <c r="C5" s="56">
        <v>19.5</v>
      </c>
      <c r="D5" s="63">
        <v>19.5</v>
      </c>
      <c r="E5" s="8">
        <v>19.5</v>
      </c>
      <c r="F5" s="10">
        <v>19.5</v>
      </c>
      <c r="G5" s="56">
        <v>19.5</v>
      </c>
      <c r="H5" s="19">
        <v>19.5</v>
      </c>
      <c r="I5" s="8">
        <v>19.5</v>
      </c>
      <c r="J5" s="8">
        <v>19.5</v>
      </c>
      <c r="K5" s="8">
        <v>19.399999999999999</v>
      </c>
      <c r="L5" s="67">
        <v>19.5</v>
      </c>
      <c r="M5" s="8">
        <v>19.5</v>
      </c>
      <c r="N5" s="8">
        <v>19.5</v>
      </c>
      <c r="O5" s="8">
        <v>19.5</v>
      </c>
      <c r="P5" s="8">
        <v>19.5</v>
      </c>
      <c r="Q5" s="69">
        <v>19.5</v>
      </c>
      <c r="R5" s="8">
        <v>19.5</v>
      </c>
      <c r="S5" s="22">
        <v>19.5</v>
      </c>
      <c r="T5" s="22">
        <v>19.5</v>
      </c>
      <c r="U5" s="39">
        <v>19.5</v>
      </c>
      <c r="V5" s="22">
        <v>19.5</v>
      </c>
      <c r="W5" s="22">
        <v>19.5</v>
      </c>
      <c r="X5" s="22">
        <v>19.5</v>
      </c>
      <c r="Y5" s="56">
        <v>19.5</v>
      </c>
      <c r="Z5" s="22">
        <v>19.5</v>
      </c>
      <c r="AA5" s="22"/>
      <c r="AB5" s="22">
        <v>19.5</v>
      </c>
      <c r="AC5" s="46">
        <v>19.5</v>
      </c>
      <c r="AD5" s="22">
        <v>19.5</v>
      </c>
      <c r="AE5" s="46">
        <v>19.5</v>
      </c>
      <c r="AF5" s="22">
        <v>19.5</v>
      </c>
      <c r="AG5" s="22">
        <v>19.399999999999999</v>
      </c>
      <c r="AH5" s="32">
        <v>19.399999999999999</v>
      </c>
      <c r="AI5" s="22">
        <v>19.5</v>
      </c>
      <c r="AJ5" s="53">
        <v>19.5</v>
      </c>
      <c r="AK5" s="56">
        <v>19.5</v>
      </c>
      <c r="AL5" s="53">
        <v>19.5</v>
      </c>
      <c r="AM5" s="53">
        <v>19.5</v>
      </c>
      <c r="AN5" s="53">
        <v>19.5</v>
      </c>
      <c r="AO5" s="56">
        <v>19.5</v>
      </c>
      <c r="AP5" s="53">
        <v>19.5</v>
      </c>
      <c r="AQ5" s="53">
        <v>19.600000000000001</v>
      </c>
      <c r="AR5" s="53">
        <v>19.5</v>
      </c>
      <c r="AS5" s="22"/>
      <c r="AT5" s="22"/>
      <c r="AU5" s="22"/>
    </row>
    <row r="6" spans="1:47" ht="13.5" customHeight="1" x14ac:dyDescent="0.25">
      <c r="A6" s="80"/>
      <c r="B6" s="8" t="s">
        <v>16</v>
      </c>
      <c r="C6" s="56">
        <v>29.9</v>
      </c>
      <c r="D6" s="63">
        <v>30.1</v>
      </c>
      <c r="E6" s="8">
        <v>30</v>
      </c>
      <c r="F6" s="10">
        <v>30.1</v>
      </c>
      <c r="G6" s="56">
        <v>30.3</v>
      </c>
      <c r="H6" s="8">
        <v>30.1</v>
      </c>
      <c r="I6" s="8">
        <v>29.9</v>
      </c>
      <c r="J6" s="8">
        <v>29.7</v>
      </c>
      <c r="K6" s="8">
        <v>29.9</v>
      </c>
      <c r="L6" s="67">
        <v>29.9</v>
      </c>
      <c r="M6" s="8">
        <v>30</v>
      </c>
      <c r="N6" s="8">
        <v>30.1</v>
      </c>
      <c r="O6" s="8">
        <v>29.9</v>
      </c>
      <c r="P6" s="8">
        <v>30.1</v>
      </c>
      <c r="Q6" s="69">
        <v>30.1</v>
      </c>
      <c r="R6" s="8">
        <v>29.9</v>
      </c>
      <c r="S6" s="22">
        <v>29.9</v>
      </c>
      <c r="T6" s="22">
        <v>30</v>
      </c>
      <c r="U6" s="39">
        <v>29.8</v>
      </c>
      <c r="V6" s="22">
        <v>30.1</v>
      </c>
      <c r="W6" s="22">
        <v>30</v>
      </c>
      <c r="X6" s="22">
        <v>30</v>
      </c>
      <c r="Y6" s="56">
        <v>30</v>
      </c>
      <c r="Z6" s="22">
        <v>30</v>
      </c>
      <c r="AA6" s="22"/>
      <c r="AB6" s="22">
        <v>30.2</v>
      </c>
      <c r="AC6" s="46">
        <v>29.9</v>
      </c>
      <c r="AD6" s="22">
        <v>30</v>
      </c>
      <c r="AE6" s="46">
        <v>31.1</v>
      </c>
      <c r="AF6" s="22">
        <v>29.9</v>
      </c>
      <c r="AG6" s="22">
        <v>30.2</v>
      </c>
      <c r="AH6" s="32">
        <v>30</v>
      </c>
      <c r="AI6" s="22">
        <v>30</v>
      </c>
      <c r="AJ6" s="53">
        <v>30.3</v>
      </c>
      <c r="AK6" s="56">
        <v>29.8</v>
      </c>
      <c r="AL6" s="53">
        <v>29.8</v>
      </c>
      <c r="AM6" s="53">
        <v>29.8</v>
      </c>
      <c r="AN6" s="53">
        <v>30</v>
      </c>
      <c r="AO6" s="56">
        <v>30.2</v>
      </c>
      <c r="AP6" s="53">
        <v>30.2</v>
      </c>
      <c r="AQ6" s="53">
        <v>29.9</v>
      </c>
      <c r="AR6" s="53">
        <v>29.8</v>
      </c>
      <c r="AS6" s="22"/>
      <c r="AT6" s="22"/>
      <c r="AU6" s="22"/>
    </row>
    <row r="7" spans="1:47" ht="13.5" customHeight="1" x14ac:dyDescent="0.25">
      <c r="A7" s="81"/>
      <c r="B7" s="8" t="s">
        <v>17</v>
      </c>
      <c r="C7" s="56">
        <v>21.9</v>
      </c>
      <c r="D7" s="63">
        <v>21.8</v>
      </c>
      <c r="E7" s="8">
        <v>21.7</v>
      </c>
      <c r="F7" s="10">
        <v>22.1</v>
      </c>
      <c r="G7" s="56">
        <v>22.4</v>
      </c>
      <c r="H7" s="8">
        <v>21.9</v>
      </c>
      <c r="I7" s="8">
        <v>21.8</v>
      </c>
      <c r="J7" s="8">
        <v>21.6</v>
      </c>
      <c r="K7" s="8">
        <v>21.7</v>
      </c>
      <c r="L7" s="67">
        <v>21.7</v>
      </c>
      <c r="M7" s="8">
        <v>21.9</v>
      </c>
      <c r="N7" s="8">
        <v>21.9</v>
      </c>
      <c r="O7" s="8">
        <v>21.8</v>
      </c>
      <c r="P7" s="8">
        <v>22.1</v>
      </c>
      <c r="Q7" s="69">
        <v>21.9</v>
      </c>
      <c r="R7" s="8">
        <v>21.9</v>
      </c>
      <c r="S7" s="22">
        <v>21.8</v>
      </c>
      <c r="T7" s="22">
        <v>21.7</v>
      </c>
      <c r="U7" s="39">
        <v>21.8</v>
      </c>
      <c r="V7" s="22">
        <v>21.8</v>
      </c>
      <c r="W7" s="22">
        <v>21.9</v>
      </c>
      <c r="X7" s="22">
        <v>21.7</v>
      </c>
      <c r="Y7" s="56">
        <v>21.9</v>
      </c>
      <c r="Z7" s="22">
        <v>21.8</v>
      </c>
      <c r="AA7" s="20"/>
      <c r="AB7" s="20">
        <v>21.8</v>
      </c>
      <c r="AC7" s="47">
        <v>21.9</v>
      </c>
      <c r="AD7" s="20">
        <v>22.2</v>
      </c>
      <c r="AE7" s="47">
        <v>22.8</v>
      </c>
      <c r="AF7" s="20">
        <v>21.7</v>
      </c>
      <c r="AG7" s="20">
        <v>22.3</v>
      </c>
      <c r="AH7" s="33">
        <v>21.9</v>
      </c>
      <c r="AI7" s="20">
        <v>21.9</v>
      </c>
      <c r="AJ7" s="53">
        <v>22.4</v>
      </c>
      <c r="AK7" s="56">
        <v>21.7</v>
      </c>
      <c r="AL7" s="53">
        <v>21.7</v>
      </c>
      <c r="AM7" s="53">
        <v>21.5</v>
      </c>
      <c r="AN7" s="53">
        <v>22.6</v>
      </c>
      <c r="AO7" s="56">
        <v>22.2</v>
      </c>
      <c r="AP7" s="53">
        <v>22.2</v>
      </c>
      <c r="AQ7" s="53">
        <v>21.8</v>
      </c>
      <c r="AR7" s="53">
        <v>21.8</v>
      </c>
      <c r="AS7" s="20"/>
      <c r="AT7" s="20"/>
      <c r="AU7" s="20"/>
    </row>
    <row r="8" spans="1:47" x14ac:dyDescent="0.25">
      <c r="A8" s="82" t="s">
        <v>52</v>
      </c>
      <c r="B8" s="3" t="s">
        <v>0</v>
      </c>
      <c r="C8" s="57">
        <v>33</v>
      </c>
      <c r="D8" s="64">
        <v>17</v>
      </c>
      <c r="E8" s="3">
        <v>29.56</v>
      </c>
      <c r="F8" s="3">
        <v>29.68</v>
      </c>
      <c r="G8" s="57">
        <v>29.96</v>
      </c>
      <c r="H8" s="3">
        <v>9.75</v>
      </c>
      <c r="I8" s="3">
        <v>11.77</v>
      </c>
      <c r="J8" s="3">
        <v>8.0399999999999991</v>
      </c>
      <c r="K8" s="3">
        <v>5.53</v>
      </c>
      <c r="L8" s="67">
        <v>3.93</v>
      </c>
      <c r="M8" s="3">
        <v>2.0499999999999998</v>
      </c>
      <c r="N8" s="3">
        <v>27.14</v>
      </c>
      <c r="O8" s="3">
        <v>28.06</v>
      </c>
      <c r="P8" s="3">
        <v>26</v>
      </c>
      <c r="Q8" s="70">
        <v>26.6</v>
      </c>
      <c r="R8" s="3">
        <v>-2.86</v>
      </c>
      <c r="S8" s="3">
        <v>-3.16</v>
      </c>
      <c r="T8" s="3">
        <v>-3.2</v>
      </c>
      <c r="U8" s="38">
        <v>-3.14</v>
      </c>
      <c r="V8" s="3">
        <v>-2.92</v>
      </c>
      <c r="W8" s="3">
        <v>28.39</v>
      </c>
      <c r="X8" s="3">
        <v>27.27</v>
      </c>
      <c r="Y8" s="57">
        <v>26.34</v>
      </c>
      <c r="Z8" s="3">
        <v>25.73</v>
      </c>
      <c r="AA8" s="26"/>
      <c r="AB8" s="26">
        <v>-3.51</v>
      </c>
      <c r="AC8" s="48">
        <v>-3.56</v>
      </c>
      <c r="AD8" s="26">
        <v>-3.36</v>
      </c>
      <c r="AE8" s="48">
        <v>-2.89</v>
      </c>
      <c r="AF8" s="26">
        <v>27.62</v>
      </c>
      <c r="AG8" s="26">
        <v>26.93</v>
      </c>
      <c r="AH8" s="34">
        <v>26.27</v>
      </c>
      <c r="AI8" s="26">
        <v>25.51</v>
      </c>
      <c r="AJ8" s="76">
        <v>-2.5</v>
      </c>
      <c r="AK8" s="78">
        <v>25.92</v>
      </c>
      <c r="AL8" s="76">
        <v>25.16</v>
      </c>
      <c r="AM8" s="76">
        <v>26.6</v>
      </c>
      <c r="AN8" s="76">
        <v>15.63</v>
      </c>
      <c r="AO8" s="78">
        <v>17.96</v>
      </c>
      <c r="AP8" s="76">
        <v>18.84</v>
      </c>
      <c r="AQ8" s="76">
        <v>-0.65</v>
      </c>
      <c r="AR8" s="76">
        <v>0.65</v>
      </c>
      <c r="AS8" s="26"/>
      <c r="AT8" s="26"/>
      <c r="AU8" s="26"/>
    </row>
    <row r="9" spans="1:47" x14ac:dyDescent="0.25">
      <c r="A9" s="83"/>
      <c r="B9" s="3" t="s">
        <v>1</v>
      </c>
      <c r="C9" s="57">
        <v>134.13</v>
      </c>
      <c r="D9" s="64">
        <v>134.11000000000001</v>
      </c>
      <c r="E9" s="3">
        <v>121.68</v>
      </c>
      <c r="F9" s="3">
        <v>135.44999999999999</v>
      </c>
      <c r="G9" s="57">
        <v>130.44</v>
      </c>
      <c r="H9" s="3">
        <v>123.3</v>
      </c>
      <c r="I9" s="3">
        <v>130.85</v>
      </c>
      <c r="J9" s="3">
        <v>116.64</v>
      </c>
      <c r="K9" s="3">
        <v>107.21</v>
      </c>
      <c r="L9" s="67">
        <v>101.2</v>
      </c>
      <c r="M9" s="3">
        <v>93.06</v>
      </c>
      <c r="N9" s="3">
        <v>121.6</v>
      </c>
      <c r="O9" s="3">
        <v>116.98</v>
      </c>
      <c r="P9" s="3">
        <v>124.46</v>
      </c>
      <c r="Q9" s="70">
        <v>123.23</v>
      </c>
      <c r="R9" s="3">
        <v>100.24</v>
      </c>
      <c r="S9" s="3">
        <v>94.03</v>
      </c>
      <c r="T9" s="3">
        <v>89.63</v>
      </c>
      <c r="U9" s="38">
        <v>87.04</v>
      </c>
      <c r="V9" s="3">
        <v>84.84</v>
      </c>
      <c r="W9" s="3">
        <v>116.43</v>
      </c>
      <c r="X9" s="3">
        <v>121.58</v>
      </c>
      <c r="Y9" s="57">
        <v>124.5</v>
      </c>
      <c r="Z9" s="3">
        <v>126.31</v>
      </c>
      <c r="AA9" s="26"/>
      <c r="AB9" s="26">
        <v>90.89</v>
      </c>
      <c r="AC9" s="48">
        <v>88.72</v>
      </c>
      <c r="AD9" s="26">
        <v>87.11</v>
      </c>
      <c r="AE9" s="48">
        <v>85.67</v>
      </c>
      <c r="AF9" s="26">
        <v>115.23</v>
      </c>
      <c r="AG9" s="26">
        <v>120.69</v>
      </c>
      <c r="AH9" s="34">
        <v>123.43</v>
      </c>
      <c r="AI9" s="26">
        <v>125.76</v>
      </c>
      <c r="AJ9" s="76">
        <v>111.99</v>
      </c>
      <c r="AK9" s="78">
        <v>122.45</v>
      </c>
      <c r="AL9" s="76">
        <v>124.45</v>
      </c>
      <c r="AM9" s="76">
        <v>118.05</v>
      </c>
      <c r="AN9" s="76">
        <v>101.38</v>
      </c>
      <c r="AO9" s="78">
        <v>108.4</v>
      </c>
      <c r="AP9" s="76">
        <v>114.62</v>
      </c>
      <c r="AQ9" s="76">
        <v>86.36</v>
      </c>
      <c r="AR9" s="76">
        <v>95.09</v>
      </c>
      <c r="AS9" s="26"/>
      <c r="AT9" s="26"/>
      <c r="AU9" s="26"/>
    </row>
    <row r="10" spans="1:47" x14ac:dyDescent="0.25">
      <c r="A10" s="83"/>
      <c r="B10" s="3" t="s">
        <v>2</v>
      </c>
      <c r="C10" s="57">
        <v>127.88</v>
      </c>
      <c r="D10" s="64">
        <v>128.22999999999999</v>
      </c>
      <c r="E10" s="3">
        <v>117.83</v>
      </c>
      <c r="F10" s="3">
        <v>129.80000000000001</v>
      </c>
      <c r="G10" s="57">
        <v>125.14</v>
      </c>
      <c r="H10" s="3">
        <v>118.54</v>
      </c>
      <c r="I10" s="3">
        <v>125.82</v>
      </c>
      <c r="J10" s="3">
        <v>112.26</v>
      </c>
      <c r="K10" s="3">
        <v>103.56</v>
      </c>
      <c r="L10" s="67">
        <v>97.68</v>
      </c>
      <c r="M10" s="3">
        <v>90.47</v>
      </c>
      <c r="N10" s="3">
        <v>116.97</v>
      </c>
      <c r="O10" s="3">
        <v>112.58</v>
      </c>
      <c r="P10" s="3">
        <v>119.88</v>
      </c>
      <c r="Q10" s="70">
        <v>118.78</v>
      </c>
      <c r="R10" s="3">
        <v>97.47</v>
      </c>
      <c r="S10" s="3">
        <v>91.23</v>
      </c>
      <c r="T10" s="3">
        <v>87.31</v>
      </c>
      <c r="U10" s="38">
        <v>84.43</v>
      </c>
      <c r="V10" s="3">
        <v>82.29</v>
      </c>
      <c r="W10" s="3">
        <v>111.95</v>
      </c>
      <c r="X10" s="3">
        <v>117.24</v>
      </c>
      <c r="Y10" s="57">
        <v>119.58</v>
      </c>
      <c r="Z10" s="3">
        <v>121.28</v>
      </c>
      <c r="AA10" s="26"/>
      <c r="AB10" s="26">
        <v>88.07</v>
      </c>
      <c r="AC10" s="48">
        <v>86.1</v>
      </c>
      <c r="AD10" s="26">
        <v>84.48</v>
      </c>
      <c r="AE10" s="48">
        <v>83.17</v>
      </c>
      <c r="AF10" s="26">
        <v>110.91</v>
      </c>
      <c r="AG10" s="26">
        <v>116.08</v>
      </c>
      <c r="AH10" s="34">
        <v>118.63</v>
      </c>
      <c r="AI10" s="26">
        <v>121.31</v>
      </c>
      <c r="AJ10" s="76">
        <v>109.13</v>
      </c>
      <c r="AK10" s="78">
        <v>119.73</v>
      </c>
      <c r="AL10" s="76">
        <v>119.74</v>
      </c>
      <c r="AM10" s="76">
        <v>113.64</v>
      </c>
      <c r="AN10" s="76">
        <v>98.43</v>
      </c>
      <c r="AO10" s="78">
        <v>105.12</v>
      </c>
      <c r="AP10" s="76">
        <v>110.61</v>
      </c>
      <c r="AQ10" s="76">
        <v>84.26</v>
      </c>
      <c r="AR10" s="76">
        <v>92.58</v>
      </c>
      <c r="AS10" s="26"/>
      <c r="AT10" s="26"/>
      <c r="AU10" s="26"/>
    </row>
    <row r="11" spans="1:47" x14ac:dyDescent="0.25">
      <c r="A11" s="83"/>
      <c r="B11" s="3" t="s">
        <v>3</v>
      </c>
      <c r="C11" s="57">
        <v>34.51</v>
      </c>
      <c r="D11" s="64">
        <v>34.229999999999997</v>
      </c>
      <c r="E11" s="3">
        <v>35.79</v>
      </c>
      <c r="F11" s="3">
        <v>20.05</v>
      </c>
      <c r="G11" s="57">
        <v>28.12</v>
      </c>
      <c r="H11" s="3">
        <v>32.630000000000003</v>
      </c>
      <c r="I11" s="3">
        <v>23.18</v>
      </c>
      <c r="J11" s="3">
        <v>12.08</v>
      </c>
      <c r="K11" s="3">
        <v>30.87</v>
      </c>
      <c r="L11" s="67">
        <v>28.88</v>
      </c>
      <c r="M11" s="3">
        <v>36.54</v>
      </c>
      <c r="N11" s="3">
        <v>36.729999999999997</v>
      </c>
      <c r="O11" s="3">
        <v>36.89</v>
      </c>
      <c r="P11" s="3">
        <v>35.4</v>
      </c>
      <c r="Q11" s="70">
        <v>35.03</v>
      </c>
      <c r="R11" s="3">
        <v>32.43</v>
      </c>
      <c r="S11" s="3">
        <v>33.729999999999997</v>
      </c>
      <c r="T11" s="3">
        <v>34.119999999999997</v>
      </c>
      <c r="U11" s="38">
        <v>36.340000000000003</v>
      </c>
      <c r="V11" s="3">
        <v>37.15</v>
      </c>
      <c r="W11" s="3">
        <v>36.65</v>
      </c>
      <c r="X11" s="3">
        <v>31.67</v>
      </c>
      <c r="Y11" s="57">
        <v>33.79</v>
      </c>
      <c r="Z11" s="3">
        <v>36.26</v>
      </c>
      <c r="AA11" s="26"/>
      <c r="AB11" s="26">
        <v>34.229999999999997</v>
      </c>
      <c r="AC11" s="48">
        <v>34.17</v>
      </c>
      <c r="AD11" s="26">
        <v>35.24</v>
      </c>
      <c r="AE11" s="48">
        <v>35.549999999999997</v>
      </c>
      <c r="AF11" s="26">
        <v>37.020000000000003</v>
      </c>
      <c r="AG11" s="26">
        <v>36.61</v>
      </c>
      <c r="AH11" s="34">
        <v>35.69</v>
      </c>
      <c r="AI11" s="26">
        <v>36.06</v>
      </c>
      <c r="AJ11" s="77">
        <v>30.15</v>
      </c>
      <c r="AK11" s="78">
        <v>34.979999999999997</v>
      </c>
      <c r="AL11" s="76">
        <v>29.48</v>
      </c>
      <c r="AM11" s="76">
        <v>33.92</v>
      </c>
      <c r="AN11" s="76">
        <v>36.700000000000003</v>
      </c>
      <c r="AO11" s="78">
        <v>35.94</v>
      </c>
      <c r="AP11" s="76">
        <v>35.65</v>
      </c>
      <c r="AQ11" s="76">
        <v>36.590000000000003</v>
      </c>
      <c r="AR11" s="76">
        <v>34.36</v>
      </c>
      <c r="AS11" s="26"/>
      <c r="AT11" s="26"/>
      <c r="AU11" s="26"/>
    </row>
    <row r="12" spans="1:47" x14ac:dyDescent="0.25">
      <c r="A12" s="83"/>
      <c r="B12" s="3" t="s">
        <v>7</v>
      </c>
      <c r="C12" s="57">
        <v>34.380000000000003</v>
      </c>
      <c r="D12" s="64">
        <v>34.15</v>
      </c>
      <c r="E12" s="3">
        <v>35.49</v>
      </c>
      <c r="F12" s="3">
        <v>34.04</v>
      </c>
      <c r="G12" s="57">
        <v>35.03</v>
      </c>
      <c r="H12" s="3">
        <v>33.229999999999997</v>
      </c>
      <c r="I12" s="3">
        <v>32.619999999999997</v>
      </c>
      <c r="J12" s="3">
        <v>33.270000000000003</v>
      </c>
      <c r="K12" s="3">
        <v>34.119999999999997</v>
      </c>
      <c r="L12" s="67">
        <v>34.56</v>
      </c>
      <c r="M12" s="3">
        <v>35.25</v>
      </c>
      <c r="N12" s="3">
        <v>35.049999999999997</v>
      </c>
      <c r="O12" s="3">
        <v>35.020000000000003</v>
      </c>
      <c r="P12" s="3">
        <v>34.43</v>
      </c>
      <c r="Q12" s="70">
        <v>34.770000000000003</v>
      </c>
      <c r="R12" s="3">
        <v>32.83</v>
      </c>
      <c r="S12" s="3">
        <v>33.409999999999997</v>
      </c>
      <c r="T12" s="3">
        <v>33.9</v>
      </c>
      <c r="U12" s="38">
        <v>34.31</v>
      </c>
      <c r="V12" s="3">
        <v>34.880000000000003</v>
      </c>
      <c r="W12" s="3">
        <v>34.950000000000003</v>
      </c>
      <c r="X12" s="3">
        <v>34.92</v>
      </c>
      <c r="Y12" s="57">
        <v>34.479999999999997</v>
      </c>
      <c r="Z12" s="3">
        <v>34.130000000000003</v>
      </c>
      <c r="AA12" s="26"/>
      <c r="AB12" s="26">
        <v>34.159999999999997</v>
      </c>
      <c r="AC12" s="48">
        <v>34.130000000000003</v>
      </c>
      <c r="AD12" s="26">
        <v>34.65</v>
      </c>
      <c r="AE12" s="48">
        <v>35.26</v>
      </c>
      <c r="AF12" s="26">
        <v>34.92</v>
      </c>
      <c r="AG12" s="26">
        <v>34.85</v>
      </c>
      <c r="AH12" s="34">
        <v>34.590000000000003</v>
      </c>
      <c r="AI12" s="26">
        <v>34.119999999999997</v>
      </c>
      <c r="AJ12" s="76">
        <v>32.880000000000003</v>
      </c>
      <c r="AK12" s="78">
        <v>34.85</v>
      </c>
      <c r="AL12" s="76">
        <v>34.299999999999997</v>
      </c>
      <c r="AM12" s="76">
        <v>35.14</v>
      </c>
      <c r="AN12" s="76">
        <v>35.58</v>
      </c>
      <c r="AO12" s="78">
        <v>35.31</v>
      </c>
      <c r="AP12" s="76">
        <v>34.79</v>
      </c>
      <c r="AQ12" s="76">
        <v>34.79</v>
      </c>
      <c r="AR12" s="76">
        <v>33.840000000000003</v>
      </c>
      <c r="AS12" s="26"/>
      <c r="AT12" s="26"/>
      <c r="AU12" s="26"/>
    </row>
    <row r="13" spans="1:47" x14ac:dyDescent="0.25">
      <c r="A13" s="83"/>
      <c r="B13" s="3" t="s">
        <v>6</v>
      </c>
      <c r="C13" s="57">
        <v>32.83</v>
      </c>
      <c r="D13" s="64">
        <v>33.979999999999997</v>
      </c>
      <c r="E13" s="3">
        <v>28.7</v>
      </c>
      <c r="F13" s="3">
        <v>26.81</v>
      </c>
      <c r="G13" s="57">
        <v>27.5</v>
      </c>
      <c r="H13" s="3">
        <v>32.979999999999997</v>
      </c>
      <c r="I13" s="3">
        <v>32.44</v>
      </c>
      <c r="J13" s="3">
        <v>33.049999999999997</v>
      </c>
      <c r="K13" s="3">
        <v>33.82</v>
      </c>
      <c r="L13" s="67">
        <v>34.229999999999997</v>
      </c>
      <c r="M13" s="3">
        <v>34.840000000000003</v>
      </c>
      <c r="N13" s="3">
        <v>24.4</v>
      </c>
      <c r="O13" s="3">
        <v>27.08</v>
      </c>
      <c r="P13" s="3">
        <v>22.26</v>
      </c>
      <c r="Q13" s="70">
        <v>23.24</v>
      </c>
      <c r="R13" s="3">
        <v>32.54</v>
      </c>
      <c r="S13" s="3">
        <v>33.130000000000003</v>
      </c>
      <c r="T13" s="3">
        <v>33.619999999999997</v>
      </c>
      <c r="U13" s="38">
        <v>33.97</v>
      </c>
      <c r="V13" s="3">
        <v>34.479999999999997</v>
      </c>
      <c r="W13" s="3">
        <v>27.74</v>
      </c>
      <c r="X13" s="3">
        <v>24.2</v>
      </c>
      <c r="Y13" s="57">
        <v>22.3</v>
      </c>
      <c r="Z13" s="3">
        <v>21.29</v>
      </c>
      <c r="AA13" s="26"/>
      <c r="AB13" s="26">
        <v>33.83</v>
      </c>
      <c r="AC13" s="48">
        <v>33.81</v>
      </c>
      <c r="AD13" s="26">
        <v>35.29</v>
      </c>
      <c r="AE13" s="48">
        <v>34.909999999999997</v>
      </c>
      <c r="AF13" s="26">
        <v>26.43</v>
      </c>
      <c r="AG13" s="26">
        <v>23.77</v>
      </c>
      <c r="AH13" s="34">
        <v>22.28</v>
      </c>
      <c r="AI13" s="26">
        <v>21</v>
      </c>
      <c r="AJ13" s="76">
        <v>32.6</v>
      </c>
      <c r="AK13" s="78">
        <v>22.56</v>
      </c>
      <c r="AL13" s="76">
        <v>221.07</v>
      </c>
      <c r="AM13" s="76">
        <v>24.59</v>
      </c>
      <c r="AN13" s="76">
        <v>19.920000000000002</v>
      </c>
      <c r="AO13" s="78">
        <v>18.5</v>
      </c>
      <c r="AP13" s="76">
        <v>16.89</v>
      </c>
      <c r="AQ13" s="76">
        <v>12.32</v>
      </c>
      <c r="AR13" s="76">
        <v>10.66</v>
      </c>
      <c r="AS13" s="26"/>
      <c r="AT13" s="26"/>
      <c r="AU13" s="26"/>
    </row>
    <row r="14" spans="1:47" x14ac:dyDescent="0.25">
      <c r="A14" s="83"/>
      <c r="B14" s="4" t="s">
        <v>4</v>
      </c>
      <c r="C14" s="57">
        <v>32.21</v>
      </c>
      <c r="D14" s="64">
        <v>33.380000000000003</v>
      </c>
      <c r="E14" s="3">
        <v>28.18</v>
      </c>
      <c r="F14" s="3">
        <v>26.05</v>
      </c>
      <c r="G14" s="57">
        <v>27.15</v>
      </c>
      <c r="H14" s="3">
        <v>32.21</v>
      </c>
      <c r="I14" s="3">
        <v>31.61</v>
      </c>
      <c r="J14" s="3">
        <v>32.42</v>
      </c>
      <c r="K14" s="3">
        <v>33.159999999999997</v>
      </c>
      <c r="L14" s="67">
        <v>33.65</v>
      </c>
      <c r="M14" s="3">
        <v>34.67</v>
      </c>
      <c r="N14" s="3">
        <v>24.43</v>
      </c>
      <c r="O14" s="3">
        <v>26.92</v>
      </c>
      <c r="P14" s="3">
        <v>22.18</v>
      </c>
      <c r="Q14" s="70">
        <v>23.21</v>
      </c>
      <c r="R14" s="3">
        <v>32.26</v>
      </c>
      <c r="S14" s="3">
        <v>32.68</v>
      </c>
      <c r="T14" s="3">
        <v>33.11</v>
      </c>
      <c r="U14" s="38">
        <v>33.72</v>
      </c>
      <c r="V14" s="3">
        <v>34.020000000000003</v>
      </c>
      <c r="W14" s="3">
        <v>27.5</v>
      </c>
      <c r="X14" s="3">
        <v>24.01</v>
      </c>
      <c r="Y14" s="57">
        <v>22.05</v>
      </c>
      <c r="Z14" s="3">
        <v>21.29</v>
      </c>
      <c r="AA14" s="26"/>
      <c r="AB14" s="26">
        <v>33.25</v>
      </c>
      <c r="AC14" s="48">
        <v>33.17</v>
      </c>
      <c r="AD14" s="26">
        <v>33.79</v>
      </c>
      <c r="AE14" s="48">
        <v>34.11</v>
      </c>
      <c r="AF14" s="26">
        <v>26.49</v>
      </c>
      <c r="AG14" s="26">
        <v>23.36</v>
      </c>
      <c r="AH14" s="34">
        <v>22.41</v>
      </c>
      <c r="AI14" s="26">
        <v>20.9</v>
      </c>
      <c r="AJ14" s="76">
        <v>32.08</v>
      </c>
      <c r="AK14" s="78">
        <v>22.2</v>
      </c>
      <c r="AL14" s="76">
        <v>20.97</v>
      </c>
      <c r="AM14" s="76">
        <v>24.53</v>
      </c>
      <c r="AN14" s="76">
        <v>19.78</v>
      </c>
      <c r="AO14" s="78">
        <v>18.420000000000002</v>
      </c>
      <c r="AP14" s="76">
        <v>16.72</v>
      </c>
      <c r="AQ14" s="76">
        <v>12.53</v>
      </c>
      <c r="AR14" s="76">
        <v>10.94</v>
      </c>
      <c r="AS14" s="26"/>
      <c r="AT14" s="26"/>
      <c r="AU14" s="26"/>
    </row>
    <row r="15" spans="1:47" x14ac:dyDescent="0.25">
      <c r="A15" s="83"/>
      <c r="B15" s="4" t="s">
        <v>5</v>
      </c>
      <c r="C15" s="57">
        <v>2.2000000000000002</v>
      </c>
      <c r="D15" s="64">
        <v>-1.49</v>
      </c>
      <c r="E15" s="3">
        <v>4.3899999999999997</v>
      </c>
      <c r="F15" s="3">
        <v>2.36</v>
      </c>
      <c r="G15" s="57">
        <v>3.06</v>
      </c>
      <c r="H15" s="3">
        <v>2.67</v>
      </c>
      <c r="I15" s="3">
        <v>2.02</v>
      </c>
      <c r="J15" s="3">
        <v>3.16</v>
      </c>
      <c r="K15" s="3">
        <v>4.09</v>
      </c>
      <c r="L15" s="67">
        <v>4.7300000000000004</v>
      </c>
      <c r="M15" s="3">
        <v>5.87</v>
      </c>
      <c r="N15" s="3">
        <v>3.64</v>
      </c>
      <c r="O15" s="3">
        <v>4.68</v>
      </c>
      <c r="P15" s="3">
        <v>3.08</v>
      </c>
      <c r="Q15" s="70">
        <v>3.32</v>
      </c>
      <c r="R15" s="3">
        <v>4.76</v>
      </c>
      <c r="S15" s="3">
        <v>5.08</v>
      </c>
      <c r="T15" s="3">
        <v>5.49</v>
      </c>
      <c r="U15" s="38">
        <v>5.76</v>
      </c>
      <c r="V15" s="3">
        <v>6.28</v>
      </c>
      <c r="W15" s="3">
        <v>4.7</v>
      </c>
      <c r="X15" s="3">
        <v>3.27</v>
      </c>
      <c r="Y15" s="57">
        <v>2.72</v>
      </c>
      <c r="Z15" s="3">
        <v>2.42</v>
      </c>
      <c r="AA15" s="26"/>
      <c r="AB15" s="26">
        <v>5.0599999999999996</v>
      </c>
      <c r="AC15" s="48">
        <v>5.23</v>
      </c>
      <c r="AD15" s="26">
        <v>5.6</v>
      </c>
      <c r="AE15" s="48">
        <v>6.06</v>
      </c>
      <c r="AF15" s="26">
        <v>4.9000000000000004</v>
      </c>
      <c r="AG15" s="26">
        <v>3.7</v>
      </c>
      <c r="AH15" s="34">
        <v>3.22</v>
      </c>
      <c r="AI15" s="26">
        <v>2.2799999999999998</v>
      </c>
      <c r="AJ15" s="76">
        <v>5.12</v>
      </c>
      <c r="AK15" s="78">
        <v>3.35</v>
      </c>
      <c r="AL15" s="76">
        <v>2.89</v>
      </c>
      <c r="AM15" s="76">
        <v>4.25</v>
      </c>
      <c r="AN15" s="76">
        <v>5.05</v>
      </c>
      <c r="AO15" s="78">
        <v>3.98</v>
      </c>
      <c r="AP15" s="76">
        <v>3.15</v>
      </c>
      <c r="AQ15" s="76">
        <v>4.37</v>
      </c>
      <c r="AR15" s="76">
        <v>3.24</v>
      </c>
      <c r="AS15" s="26"/>
      <c r="AT15" s="26"/>
      <c r="AU15" s="26"/>
    </row>
    <row r="16" spans="1:47" x14ac:dyDescent="0.25">
      <c r="A16" s="83"/>
      <c r="B16" s="4" t="s">
        <v>59</v>
      </c>
      <c r="C16" s="57">
        <v>2.16</v>
      </c>
      <c r="D16" s="64">
        <v>-1.42</v>
      </c>
      <c r="E16" s="3">
        <v>4.26</v>
      </c>
      <c r="F16" s="3">
        <v>2.31</v>
      </c>
      <c r="G16" s="57">
        <v>3.05</v>
      </c>
      <c r="H16" s="3">
        <v>2.66</v>
      </c>
      <c r="I16" s="3">
        <v>2.04</v>
      </c>
      <c r="J16" s="3">
        <v>3.06</v>
      </c>
      <c r="K16" s="3">
        <v>4.01</v>
      </c>
      <c r="L16" s="67">
        <v>4.6399999999999997</v>
      </c>
      <c r="M16" s="3">
        <v>5.74</v>
      </c>
      <c r="N16" s="3">
        <v>3.76</v>
      </c>
      <c r="O16" s="3">
        <v>4.67</v>
      </c>
      <c r="P16" s="3">
        <v>3.2</v>
      </c>
      <c r="Q16" s="70">
        <v>3.41</v>
      </c>
      <c r="R16" s="3">
        <v>4.71</v>
      </c>
      <c r="S16" s="3">
        <v>4.99</v>
      </c>
      <c r="T16" s="3">
        <v>5.32</v>
      </c>
      <c r="U16" s="38">
        <v>5.62</v>
      </c>
      <c r="V16" s="3">
        <v>6.11</v>
      </c>
      <c r="W16" s="3">
        <v>4.68</v>
      </c>
      <c r="X16" s="3">
        <v>3.32</v>
      </c>
      <c r="Y16" s="57">
        <v>2.78</v>
      </c>
      <c r="Z16" s="3">
        <v>2.5499999999999998</v>
      </c>
      <c r="AA16" s="26"/>
      <c r="AB16" s="26">
        <v>4.93</v>
      </c>
      <c r="AC16" s="48">
        <v>5.09</v>
      </c>
      <c r="AD16" s="26">
        <v>5.44</v>
      </c>
      <c r="AE16" s="48">
        <v>5.92</v>
      </c>
      <c r="AF16" s="26">
        <v>4.87</v>
      </c>
      <c r="AG16" s="26">
        <v>3.78</v>
      </c>
      <c r="AH16" s="34">
        <v>3.37</v>
      </c>
      <c r="AI16" s="26">
        <v>3.02</v>
      </c>
      <c r="AJ16" s="76">
        <v>4.8899999999999997</v>
      </c>
      <c r="AK16" s="78">
        <v>3.22</v>
      </c>
      <c r="AL16" s="76">
        <v>2.79</v>
      </c>
      <c r="AM16" s="76">
        <v>4.1399999999999997</v>
      </c>
      <c r="AN16" s="76">
        <v>5.0199999999999996</v>
      </c>
      <c r="AO16" s="78">
        <v>4.01</v>
      </c>
      <c r="AP16" s="76">
        <v>3.23</v>
      </c>
      <c r="AQ16" s="76">
        <v>4.51</v>
      </c>
      <c r="AR16" s="76">
        <v>3.37</v>
      </c>
      <c r="AS16" s="26"/>
      <c r="AT16" s="26"/>
      <c r="AU16" s="26"/>
    </row>
    <row r="17" spans="1:47" x14ac:dyDescent="0.25">
      <c r="A17" s="83"/>
      <c r="B17" s="4" t="s">
        <v>27</v>
      </c>
      <c r="C17" s="57">
        <v>18.190000000000001</v>
      </c>
      <c r="D17" s="64">
        <v>18.91</v>
      </c>
      <c r="E17" s="3">
        <v>3.92</v>
      </c>
      <c r="F17" s="3">
        <v>9.49</v>
      </c>
      <c r="G17" s="57">
        <v>6.86</v>
      </c>
      <c r="H17" s="3">
        <v>11.61</v>
      </c>
      <c r="I17" s="3">
        <v>13.37</v>
      </c>
      <c r="J17" s="3">
        <v>10.19</v>
      </c>
      <c r="K17" s="3">
        <v>8.1999999999999993</v>
      </c>
      <c r="L17" s="67">
        <v>6.86</v>
      </c>
      <c r="M17" s="3">
        <v>5.52</v>
      </c>
      <c r="N17" s="3">
        <v>0.8</v>
      </c>
      <c r="O17" s="3">
        <v>1.55</v>
      </c>
      <c r="P17" s="3">
        <v>0.39</v>
      </c>
      <c r="Q17" s="70">
        <v>0.55000000000000004</v>
      </c>
      <c r="R17" s="3">
        <v>0.49</v>
      </c>
      <c r="S17" s="3">
        <v>0.53</v>
      </c>
      <c r="T17" s="3">
        <v>0.68</v>
      </c>
      <c r="U17" s="38">
        <v>0.9</v>
      </c>
      <c r="V17" s="3">
        <v>1.21</v>
      </c>
      <c r="W17" s="3">
        <v>1.71</v>
      </c>
      <c r="X17" s="3">
        <v>0.56999999999999995</v>
      </c>
      <c r="Y17" s="57">
        <v>0.16</v>
      </c>
      <c r="Z17" s="3">
        <v>-0.04</v>
      </c>
      <c r="AA17" s="26"/>
      <c r="AB17" s="26">
        <v>0.47</v>
      </c>
      <c r="AC17" s="48">
        <v>0.55000000000000004</v>
      </c>
      <c r="AD17" s="26">
        <v>0.82</v>
      </c>
      <c r="AE17" s="48">
        <v>1.47</v>
      </c>
      <c r="AF17" s="26">
        <v>2.08</v>
      </c>
      <c r="AG17" s="26">
        <v>1.1499999999999999</v>
      </c>
      <c r="AH17" s="34">
        <v>0.83</v>
      </c>
      <c r="AI17" s="26">
        <v>0.59</v>
      </c>
      <c r="AJ17" s="76">
        <v>1.33</v>
      </c>
      <c r="AK17" s="78">
        <v>0.83</v>
      </c>
      <c r="AL17" s="76">
        <v>0.48</v>
      </c>
      <c r="AM17" s="76">
        <v>1.63</v>
      </c>
      <c r="AN17" s="76">
        <v>2.81</v>
      </c>
      <c r="AO17" s="78">
        <v>1.85</v>
      </c>
      <c r="AP17" s="76">
        <v>1.2</v>
      </c>
      <c r="AQ17" s="76">
        <v>2.54</v>
      </c>
      <c r="AR17" s="76">
        <v>1.62</v>
      </c>
      <c r="AS17" s="26"/>
      <c r="AT17" s="26"/>
      <c r="AU17" s="26"/>
    </row>
    <row r="18" spans="1:47" x14ac:dyDescent="0.25">
      <c r="A18" s="83"/>
      <c r="B18" s="3" t="s">
        <v>8</v>
      </c>
      <c r="C18" s="57">
        <v>17.04</v>
      </c>
      <c r="D18" s="64">
        <v>17.75</v>
      </c>
      <c r="E18" s="3">
        <v>3.01</v>
      </c>
      <c r="F18" s="3">
        <v>8.5500000000000007</v>
      </c>
      <c r="G18" s="57">
        <v>5.88</v>
      </c>
      <c r="H18" s="3">
        <v>10.39</v>
      </c>
      <c r="I18" s="3">
        <v>12.19</v>
      </c>
      <c r="J18" s="3">
        <v>8.94</v>
      </c>
      <c r="K18" s="3">
        <v>6.81</v>
      </c>
      <c r="L18" s="67">
        <v>5.4</v>
      </c>
      <c r="M18" s="3">
        <v>4.03</v>
      </c>
      <c r="N18" s="3">
        <v>-0.11</v>
      </c>
      <c r="O18" s="3">
        <v>0.61</v>
      </c>
      <c r="P18" s="3">
        <v>-0.54</v>
      </c>
      <c r="Q18" s="70">
        <v>-0.38</v>
      </c>
      <c r="R18" s="3">
        <v>-0.75</v>
      </c>
      <c r="S18" s="3">
        <v>-0.75</v>
      </c>
      <c r="T18" s="3">
        <v>-0.64</v>
      </c>
      <c r="U18" s="38">
        <v>-0.46</v>
      </c>
      <c r="V18" s="3">
        <v>-0.2</v>
      </c>
      <c r="W18" s="3">
        <v>0.8</v>
      </c>
      <c r="X18" s="3">
        <v>-0.32</v>
      </c>
      <c r="Y18" s="57">
        <v>-0.71</v>
      </c>
      <c r="Z18" s="3">
        <v>-0.92</v>
      </c>
      <c r="AA18" s="26"/>
      <c r="AB18" s="26">
        <v>-0.86</v>
      </c>
      <c r="AC18" s="48">
        <v>-0.82</v>
      </c>
      <c r="AD18" s="26">
        <v>-0.54</v>
      </c>
      <c r="AE18" s="48">
        <v>0</v>
      </c>
      <c r="AF18" s="26">
        <v>1.2</v>
      </c>
      <c r="AG18" s="26">
        <v>0.27</v>
      </c>
      <c r="AH18" s="34">
        <v>-0.06</v>
      </c>
      <c r="AI18" s="26">
        <v>-0.31</v>
      </c>
      <c r="AJ18" s="76">
        <v>0.49</v>
      </c>
      <c r="AK18" s="78">
        <v>0.27</v>
      </c>
      <c r="AL18" s="76">
        <v>-0.1</v>
      </c>
      <c r="AM18" s="76">
        <v>0.98</v>
      </c>
      <c r="AN18" s="76">
        <v>2.02</v>
      </c>
      <c r="AO18" s="78">
        <v>1.0900000000000001</v>
      </c>
      <c r="AP18" s="76">
        <v>0.45</v>
      </c>
      <c r="AQ18" s="76">
        <v>1.65</v>
      </c>
      <c r="AR18" s="76">
        <v>0.76</v>
      </c>
      <c r="AS18" s="26"/>
      <c r="AT18" s="26"/>
      <c r="AU18" s="26"/>
    </row>
    <row r="19" spans="1:47" x14ac:dyDescent="0.25">
      <c r="A19" s="83"/>
      <c r="B19" s="3" t="s">
        <v>9</v>
      </c>
      <c r="C19" s="57">
        <v>17.21</v>
      </c>
      <c r="D19" s="64">
        <v>18.079999999999998</v>
      </c>
      <c r="E19" s="3">
        <v>3.08</v>
      </c>
      <c r="F19" s="3">
        <v>8.89</v>
      </c>
      <c r="G19" s="57">
        <v>6.17</v>
      </c>
      <c r="H19" s="3">
        <v>10.67</v>
      </c>
      <c r="I19" s="3">
        <v>12.57</v>
      </c>
      <c r="J19" s="3">
        <v>9.2799999999999994</v>
      </c>
      <c r="K19" s="3">
        <v>7.06</v>
      </c>
      <c r="L19" s="67">
        <v>5.69</v>
      </c>
      <c r="M19" s="3">
        <v>4.17</v>
      </c>
      <c r="N19" s="3">
        <v>-0.48</v>
      </c>
      <c r="O19" s="3">
        <v>0.3</v>
      </c>
      <c r="P19" s="3">
        <v>-0.94</v>
      </c>
      <c r="Q19" s="70">
        <v>-0.79</v>
      </c>
      <c r="R19" s="3">
        <v>-0.95</v>
      </c>
      <c r="S19" s="3">
        <v>-1.1200000000000001</v>
      </c>
      <c r="T19" s="3">
        <v>-1.07</v>
      </c>
      <c r="U19" s="38">
        <v>-0.9</v>
      </c>
      <c r="V19" s="3">
        <v>-0.6</v>
      </c>
      <c r="W19" s="3">
        <v>0.52</v>
      </c>
      <c r="X19" s="3">
        <v>-0.62</v>
      </c>
      <c r="Y19" s="57">
        <v>-1.04</v>
      </c>
      <c r="Z19" s="3">
        <v>-1.22</v>
      </c>
      <c r="AA19" s="26"/>
      <c r="AB19" s="26">
        <v>-1.29</v>
      </c>
      <c r="AC19" s="48">
        <v>-1.24</v>
      </c>
      <c r="AD19" s="26">
        <v>-0.96</v>
      </c>
      <c r="AE19" s="48">
        <v>-0.41</v>
      </c>
      <c r="AF19" s="26">
        <v>0.87</v>
      </c>
      <c r="AG19" s="26">
        <v>-0.1</v>
      </c>
      <c r="AH19" s="34">
        <v>-0.4</v>
      </c>
      <c r="AI19" s="26">
        <v>-0.7</v>
      </c>
      <c r="AJ19" s="76">
        <v>0</v>
      </c>
      <c r="AK19" s="78">
        <v>-0.2</v>
      </c>
      <c r="AL19" s="76">
        <v>-0.54</v>
      </c>
      <c r="AM19" s="76">
        <v>0.61</v>
      </c>
      <c r="AN19" s="76">
        <v>1.59</v>
      </c>
      <c r="AO19" s="78">
        <v>0.74</v>
      </c>
      <c r="AP19" s="76">
        <v>0.12</v>
      </c>
      <c r="AQ19" s="76">
        <v>1.24</v>
      </c>
      <c r="AR19" s="76">
        <v>0.42</v>
      </c>
      <c r="AS19" s="26"/>
      <c r="AT19" s="26"/>
      <c r="AU19" s="26"/>
    </row>
    <row r="20" spans="1:47" x14ac:dyDescent="0.25">
      <c r="A20" s="83"/>
      <c r="B20" s="3" t="s">
        <v>10</v>
      </c>
      <c r="C20" s="57">
        <v>15.87</v>
      </c>
      <c r="D20" s="64">
        <v>30.35</v>
      </c>
      <c r="E20" s="3">
        <v>1.69</v>
      </c>
      <c r="F20" s="3">
        <v>7.88</v>
      </c>
      <c r="G20" s="57">
        <v>5.13</v>
      </c>
      <c r="H20" s="3">
        <v>27.03</v>
      </c>
      <c r="I20" s="3">
        <v>28.81</v>
      </c>
      <c r="J20" s="3">
        <v>30.68</v>
      </c>
      <c r="K20" s="3">
        <v>32.08</v>
      </c>
      <c r="L20" s="67">
        <v>32.68</v>
      </c>
      <c r="M20" s="3">
        <v>31.37</v>
      </c>
      <c r="N20" s="3">
        <v>-2.38</v>
      </c>
      <c r="O20" s="3">
        <v>-1.6</v>
      </c>
      <c r="P20" s="3">
        <v>-2.74</v>
      </c>
      <c r="Q20" s="70">
        <v>-2.61</v>
      </c>
      <c r="R20" s="3">
        <v>28.4</v>
      </c>
      <c r="S20" s="3">
        <v>30.48</v>
      </c>
      <c r="T20" s="3">
        <v>31.56</v>
      </c>
      <c r="U20" s="38">
        <v>32.47</v>
      </c>
      <c r="V20" s="3">
        <v>32.85</v>
      </c>
      <c r="W20" s="3">
        <v>-1.29</v>
      </c>
      <c r="X20" s="3">
        <v>-2.44</v>
      </c>
      <c r="Y20" s="57">
        <v>-2.79</v>
      </c>
      <c r="Z20" s="3">
        <v>-2.99</v>
      </c>
      <c r="AA20" s="26"/>
      <c r="AB20" s="26">
        <v>28.29</v>
      </c>
      <c r="AC20" s="48">
        <v>31.05</v>
      </c>
      <c r="AD20" s="26">
        <v>32.130000000000003</v>
      </c>
      <c r="AE20" s="48">
        <v>32.44</v>
      </c>
      <c r="AF20" s="26">
        <v>-1.03</v>
      </c>
      <c r="AG20" s="26">
        <v>-1.88</v>
      </c>
      <c r="AH20" s="34">
        <v>-2.1800000000000002</v>
      </c>
      <c r="AI20" s="26">
        <v>-2.44</v>
      </c>
      <c r="AJ20" s="76">
        <v>25.76</v>
      </c>
      <c r="AK20" s="78">
        <v>-1.88</v>
      </c>
      <c r="AL20" s="76">
        <v>-2.2000000000000002</v>
      </c>
      <c r="AM20" s="76">
        <v>-1.0900000000000001</v>
      </c>
      <c r="AN20" s="76">
        <v>-0.34</v>
      </c>
      <c r="AO20" s="78">
        <v>-1.1399999999999999</v>
      </c>
      <c r="AP20" s="76">
        <v>-1.67</v>
      </c>
      <c r="AQ20" s="76">
        <v>-0.86</v>
      </c>
      <c r="AR20" s="76">
        <v>-1.59</v>
      </c>
      <c r="AS20" s="26"/>
      <c r="AT20" s="26"/>
      <c r="AU20" s="26"/>
    </row>
    <row r="21" spans="1:47" x14ac:dyDescent="0.25">
      <c r="A21" s="84"/>
      <c r="B21" s="3" t="s">
        <v>11</v>
      </c>
      <c r="C21" s="57">
        <v>32.21</v>
      </c>
      <c r="D21" s="64">
        <v>33.380000000000003</v>
      </c>
      <c r="E21" s="3">
        <v>30.54</v>
      </c>
      <c r="F21" s="3">
        <v>26.98</v>
      </c>
      <c r="G21" s="57">
        <v>30.37</v>
      </c>
      <c r="H21" s="3">
        <v>31.15</v>
      </c>
      <c r="I21" s="3">
        <v>30.66</v>
      </c>
      <c r="J21" s="3">
        <v>30.7</v>
      </c>
      <c r="K21" s="3">
        <v>33.159999999999997</v>
      </c>
      <c r="L21" s="67">
        <v>33.65</v>
      </c>
      <c r="M21" s="3">
        <v>34.67</v>
      </c>
      <c r="N21" s="3">
        <v>28.05</v>
      </c>
      <c r="O21" s="3">
        <v>28.76</v>
      </c>
      <c r="P21" s="3">
        <v>27</v>
      </c>
      <c r="Q21" s="70">
        <v>27.56</v>
      </c>
      <c r="R21" s="3">
        <v>32.26</v>
      </c>
      <c r="S21" s="3">
        <v>30.06</v>
      </c>
      <c r="T21" s="3">
        <v>30.33</v>
      </c>
      <c r="U21" s="38">
        <v>30.49</v>
      </c>
      <c r="V21" s="3">
        <v>30.86</v>
      </c>
      <c r="W21" s="3">
        <v>28.92</v>
      </c>
      <c r="X21" s="3">
        <v>27.93</v>
      </c>
      <c r="Y21" s="57">
        <v>27.2</v>
      </c>
      <c r="Z21" s="3">
        <v>26.29</v>
      </c>
      <c r="AA21" s="26"/>
      <c r="AB21" s="26">
        <v>30.59</v>
      </c>
      <c r="AC21" s="48">
        <v>30.57</v>
      </c>
      <c r="AD21" s="26">
        <v>30.75</v>
      </c>
      <c r="AE21" s="48">
        <v>30.63</v>
      </c>
      <c r="AF21" s="26">
        <v>28.32</v>
      </c>
      <c r="AG21" s="26">
        <v>27.77</v>
      </c>
      <c r="AH21" s="34">
        <v>27.15</v>
      </c>
      <c r="AI21" s="26">
        <v>26.49</v>
      </c>
      <c r="AJ21" s="76">
        <v>30.55</v>
      </c>
      <c r="AK21" s="78">
        <v>27.7</v>
      </c>
      <c r="AL21" s="76">
        <v>27.08</v>
      </c>
      <c r="AM21" s="76">
        <v>28.22</v>
      </c>
      <c r="AN21" s="76">
        <v>18.739999999999998</v>
      </c>
      <c r="AO21" s="78">
        <v>20.47</v>
      </c>
      <c r="AP21" s="76">
        <v>21.31</v>
      </c>
      <c r="AQ21" s="76">
        <v>2.57</v>
      </c>
      <c r="AR21" s="76">
        <v>4.33</v>
      </c>
      <c r="AS21" s="26"/>
      <c r="AT21" s="26"/>
      <c r="AU21" s="26"/>
    </row>
    <row r="22" spans="1:47" x14ac:dyDescent="0.25">
      <c r="A22" s="85" t="s">
        <v>53</v>
      </c>
      <c r="B22" s="2" t="s">
        <v>13</v>
      </c>
      <c r="C22" s="58">
        <v>2.8</v>
      </c>
      <c r="D22" s="65">
        <v>2.5</v>
      </c>
      <c r="E22" s="9">
        <v>3.14</v>
      </c>
      <c r="F22" s="9">
        <v>2.97</v>
      </c>
      <c r="G22" s="58">
        <v>3.05</v>
      </c>
      <c r="H22" s="9">
        <v>2.92</v>
      </c>
      <c r="I22" s="9">
        <v>2.9</v>
      </c>
      <c r="J22" s="9">
        <v>2.94</v>
      </c>
      <c r="K22" s="9">
        <v>2.99</v>
      </c>
      <c r="L22" s="67">
        <v>3.02</v>
      </c>
      <c r="M22" s="9">
        <v>3.08</v>
      </c>
      <c r="N22" s="9">
        <v>3.18</v>
      </c>
      <c r="O22" s="9">
        <v>3.24</v>
      </c>
      <c r="P22" s="9">
        <v>3.15</v>
      </c>
      <c r="Q22" s="72">
        <v>3.16</v>
      </c>
      <c r="R22" s="9">
        <v>3.15</v>
      </c>
      <c r="S22" s="9">
        <v>3.13</v>
      </c>
      <c r="T22" s="9">
        <v>3.13</v>
      </c>
      <c r="U22" s="40">
        <v>3.14</v>
      </c>
      <c r="V22" s="9">
        <v>3.16</v>
      </c>
      <c r="W22" s="9">
        <v>3.26</v>
      </c>
      <c r="X22" s="9">
        <v>3.17</v>
      </c>
      <c r="Y22" s="58">
        <v>3.14</v>
      </c>
      <c r="Z22" s="9">
        <v>3.12</v>
      </c>
      <c r="AA22" s="25"/>
      <c r="AB22" s="25">
        <v>3.12</v>
      </c>
      <c r="AC22" s="49">
        <v>3.12</v>
      </c>
      <c r="AD22" s="25">
        <v>3.14</v>
      </c>
      <c r="AE22" s="49">
        <v>3.2</v>
      </c>
      <c r="AF22" s="25">
        <v>3.3</v>
      </c>
      <c r="AG22" s="25">
        <v>3.22</v>
      </c>
      <c r="AH22" s="35">
        <v>3.2</v>
      </c>
      <c r="AI22" s="25">
        <v>3.18</v>
      </c>
      <c r="AJ22" s="9">
        <v>3.25</v>
      </c>
      <c r="AK22" s="58">
        <v>3.21</v>
      </c>
      <c r="AL22" s="9">
        <v>3.18</v>
      </c>
      <c r="AM22" s="9">
        <v>3.27</v>
      </c>
      <c r="AN22" s="9">
        <v>3.37</v>
      </c>
      <c r="AO22" s="58">
        <v>3.29</v>
      </c>
      <c r="AP22" s="9">
        <v>3.25</v>
      </c>
      <c r="AQ22" s="9">
        <v>3.31</v>
      </c>
      <c r="AR22" s="9">
        <v>3.26</v>
      </c>
      <c r="AS22" s="25"/>
      <c r="AT22" s="25"/>
      <c r="AU22" s="25"/>
    </row>
    <row r="23" spans="1:47" x14ac:dyDescent="0.25">
      <c r="A23" s="86"/>
      <c r="B23" s="2" t="s">
        <v>64</v>
      </c>
      <c r="C23" s="58">
        <v>8.18</v>
      </c>
      <c r="D23" s="65">
        <v>8.51</v>
      </c>
      <c r="E23" s="9">
        <v>8.6</v>
      </c>
      <c r="F23" s="9">
        <v>9.0399999999999991</v>
      </c>
      <c r="G23" s="58">
        <v>8.8800000000000008</v>
      </c>
      <c r="H23" s="9">
        <v>9.8000000000000007</v>
      </c>
      <c r="I23" s="9">
        <v>10.01</v>
      </c>
      <c r="J23" s="9">
        <v>9.59</v>
      </c>
      <c r="K23" s="9">
        <v>9.36</v>
      </c>
      <c r="L23" s="67">
        <v>9.1999999999999993</v>
      </c>
      <c r="M23" s="9">
        <v>9.01</v>
      </c>
      <c r="N23" s="9">
        <v>8.81</v>
      </c>
      <c r="O23" s="9">
        <v>8.5399999999999991</v>
      </c>
      <c r="P23" s="9">
        <v>9.0399999999999991</v>
      </c>
      <c r="Q23" s="72">
        <v>8.94</v>
      </c>
      <c r="R23" s="9">
        <v>10.57</v>
      </c>
      <c r="S23" s="9">
        <v>10.039999999999999</v>
      </c>
      <c r="T23" s="9">
        <v>9.6999999999999993</v>
      </c>
      <c r="U23" s="40">
        <v>9.49</v>
      </c>
      <c r="V23" s="9">
        <v>9.36</v>
      </c>
      <c r="W23" s="9">
        <v>8.4600000000000009</v>
      </c>
      <c r="X23" s="9">
        <v>8.74</v>
      </c>
      <c r="Y23" s="58">
        <v>8.93</v>
      </c>
      <c r="Z23" s="9">
        <v>9.07</v>
      </c>
      <c r="AA23" s="9">
        <v>9.1</v>
      </c>
      <c r="AB23" s="9">
        <v>9.68</v>
      </c>
      <c r="AC23" s="50">
        <v>9.51</v>
      </c>
      <c r="AD23" s="9">
        <v>9.42</v>
      </c>
      <c r="AE23" s="50">
        <v>9.61</v>
      </c>
      <c r="AF23" s="9">
        <v>8.51</v>
      </c>
      <c r="AG23" s="9">
        <v>8.76</v>
      </c>
      <c r="AH23" s="36">
        <v>8.9499999999999993</v>
      </c>
      <c r="AI23" s="9">
        <v>9.14</v>
      </c>
      <c r="AJ23" s="9">
        <v>11.48</v>
      </c>
      <c r="AK23" s="58">
        <v>8.83</v>
      </c>
      <c r="AL23" s="9">
        <v>8.9499999999999993</v>
      </c>
      <c r="AM23" s="9">
        <v>8.6</v>
      </c>
      <c r="AN23" s="9">
        <v>8.68</v>
      </c>
      <c r="AO23" s="58">
        <v>8.82</v>
      </c>
      <c r="AP23" s="9">
        <v>9.02</v>
      </c>
      <c r="AQ23" s="9">
        <v>9.2100000000000009</v>
      </c>
      <c r="AR23" s="9">
        <v>9.58</v>
      </c>
      <c r="AS23" s="9"/>
      <c r="AT23" s="9"/>
      <c r="AU23" s="9"/>
    </row>
    <row r="24" spans="1:47" x14ac:dyDescent="0.25">
      <c r="A24" s="86"/>
      <c r="B24" s="2" t="s">
        <v>110</v>
      </c>
      <c r="C24" s="58">
        <v>8.0530000000000008</v>
      </c>
      <c r="D24" s="65">
        <v>8.5120000000000005</v>
      </c>
      <c r="E24" s="9">
        <v>8.5340000000000007</v>
      </c>
      <c r="F24" s="9">
        <v>8.8989999999999991</v>
      </c>
      <c r="G24" s="58">
        <v>8.8350000000000009</v>
      </c>
      <c r="H24" s="9">
        <v>9.8629999999999995</v>
      </c>
      <c r="I24" s="9">
        <v>10.042999999999999</v>
      </c>
      <c r="J24" s="9">
        <v>9.5869999999999997</v>
      </c>
      <c r="K24" s="9">
        <v>9.3960000000000008</v>
      </c>
      <c r="L24" s="67">
        <v>9.1890000000000001</v>
      </c>
      <c r="M24" s="9">
        <v>8.9930000000000003</v>
      </c>
      <c r="N24" s="9">
        <v>8.8239999999999998</v>
      </c>
      <c r="O24" s="9">
        <v>8.5340000000000007</v>
      </c>
      <c r="P24" s="9">
        <v>9.0120000000000005</v>
      </c>
      <c r="Q24" s="72">
        <v>8.9290000000000003</v>
      </c>
      <c r="R24" s="9">
        <v>10.558999999999999</v>
      </c>
      <c r="S24" s="24">
        <v>10.058999999999999</v>
      </c>
      <c r="T24" s="9">
        <v>9.6780000000000008</v>
      </c>
      <c r="U24" s="40">
        <v>9.4510000000000005</v>
      </c>
      <c r="V24" s="9">
        <v>9.3490000000000002</v>
      </c>
      <c r="W24" s="9">
        <v>8.4540000000000006</v>
      </c>
      <c r="X24" s="9">
        <v>8.7189999999999994</v>
      </c>
      <c r="Y24" s="58">
        <v>8.9179999999999993</v>
      </c>
      <c r="Z24" s="9">
        <v>9.0760000000000005</v>
      </c>
      <c r="AA24" s="9"/>
      <c r="AB24" s="9">
        <v>9.6839999999999993</v>
      </c>
      <c r="AC24" s="50">
        <v>9.5120000000000005</v>
      </c>
      <c r="AD24" s="9">
        <v>9.09</v>
      </c>
      <c r="AE24" s="50">
        <v>9.6010000000000009</v>
      </c>
      <c r="AF24" s="9">
        <v>8.4559999999999995</v>
      </c>
      <c r="AG24" s="9">
        <v>8.76</v>
      </c>
      <c r="AH24" s="36">
        <v>8.91</v>
      </c>
      <c r="AI24" s="9">
        <v>9.1419999999999995</v>
      </c>
      <c r="AJ24" s="9">
        <v>11.494999999999999</v>
      </c>
      <c r="AK24" s="58">
        <v>8.83</v>
      </c>
      <c r="AL24" s="9">
        <v>8.9459999999999997</v>
      </c>
      <c r="AM24" s="9">
        <v>8.5860000000000003</v>
      </c>
      <c r="AN24" s="9">
        <v>8.6660000000000004</v>
      </c>
      <c r="AO24" s="58">
        <v>8.7910000000000004</v>
      </c>
      <c r="AP24" s="9">
        <v>8.968</v>
      </c>
      <c r="AQ24" s="9">
        <v>9.2219999999999995</v>
      </c>
      <c r="AR24" s="9">
        <v>9.5679999999999996</v>
      </c>
      <c r="AS24" s="9"/>
      <c r="AT24" s="9"/>
      <c r="AU24" s="9"/>
    </row>
    <row r="25" spans="1:47" x14ac:dyDescent="0.25">
      <c r="A25" s="86"/>
      <c r="B25" s="2" t="s">
        <v>111</v>
      </c>
      <c r="C25" s="58">
        <v>8.1720000000000006</v>
      </c>
      <c r="D25" s="65">
        <v>8.3670000000000009</v>
      </c>
      <c r="E25" s="9">
        <v>8.407</v>
      </c>
      <c r="F25" s="9">
        <v>8.89</v>
      </c>
      <c r="G25" s="58">
        <v>8.7270000000000003</v>
      </c>
      <c r="H25" s="9">
        <v>9.7080000000000002</v>
      </c>
      <c r="I25" s="9">
        <v>9.9209999999999994</v>
      </c>
      <c r="J25" s="9">
        <v>9.4710000000000001</v>
      </c>
      <c r="K25" s="9">
        <v>9.2270000000000003</v>
      </c>
      <c r="L25" s="67">
        <v>9.0310000000000006</v>
      </c>
      <c r="M25" s="9">
        <v>8.8070000000000004</v>
      </c>
      <c r="N25" s="9">
        <v>8.6419999999999995</v>
      </c>
      <c r="O25" s="9">
        <v>8.36</v>
      </c>
      <c r="P25" s="9">
        <v>8.8960000000000008</v>
      </c>
      <c r="Q25" s="72">
        <v>8.7629999999999999</v>
      </c>
      <c r="R25" s="9">
        <v>10.413</v>
      </c>
      <c r="S25" s="9">
        <v>9.8800000000000008</v>
      </c>
      <c r="T25" s="9">
        <v>9.5259999999999998</v>
      </c>
      <c r="U25" s="40">
        <v>9.3079999999999998</v>
      </c>
      <c r="V25" s="9">
        <v>9.1560000000000006</v>
      </c>
      <c r="W25" s="9">
        <v>8.2769999999999992</v>
      </c>
      <c r="X25" s="9">
        <v>8.5779999999999994</v>
      </c>
      <c r="Y25" s="58">
        <v>8.7850000000000001</v>
      </c>
      <c r="Z25" s="9">
        <v>8.9290000000000003</v>
      </c>
      <c r="AA25" s="9"/>
      <c r="AB25" s="9">
        <v>9.5120000000000005</v>
      </c>
      <c r="AC25" s="50">
        <v>9.3330000000000002</v>
      </c>
      <c r="AD25" s="9"/>
      <c r="AE25" s="50">
        <v>9.4269999999999996</v>
      </c>
      <c r="AF25" s="9">
        <v>8.3239999999999998</v>
      </c>
      <c r="AG25" s="9">
        <v>8.5969999999999995</v>
      </c>
      <c r="AH25" s="36">
        <v>8.8049999999999997</v>
      </c>
      <c r="AI25" s="9">
        <v>9.0009999999999994</v>
      </c>
      <c r="AJ25" s="9">
        <v>11.398999999999999</v>
      </c>
      <c r="AK25" s="58">
        <v>8.6780000000000008</v>
      </c>
      <c r="AL25" s="9">
        <v>8.8239999999999998</v>
      </c>
      <c r="AM25" s="9">
        <v>8.4450000000000003</v>
      </c>
      <c r="AN25" s="9">
        <v>8.4260000000000002</v>
      </c>
      <c r="AO25" s="58">
        <v>8.6310000000000002</v>
      </c>
      <c r="AP25" s="9">
        <v>8.8710000000000004</v>
      </c>
      <c r="AQ25" s="9">
        <v>9.0310000000000006</v>
      </c>
      <c r="AR25" s="9">
        <v>9.407</v>
      </c>
      <c r="AS25" s="9"/>
      <c r="AT25" s="9"/>
      <c r="AU25" s="9"/>
    </row>
    <row r="26" spans="1:47" x14ac:dyDescent="0.25">
      <c r="A26" s="86"/>
      <c r="B26" s="2" t="s">
        <v>65</v>
      </c>
      <c r="C26" s="58">
        <v>7.9530000000000003</v>
      </c>
      <c r="D26" s="65">
        <v>8.359</v>
      </c>
      <c r="E26" s="9">
        <v>8.2940000000000005</v>
      </c>
      <c r="F26" s="9">
        <v>8.8149999999999995</v>
      </c>
      <c r="G26" s="58">
        <v>8.6479999999999997</v>
      </c>
      <c r="H26" s="9">
        <v>9.5980000000000008</v>
      </c>
      <c r="I26" s="9">
        <v>9.8350000000000009</v>
      </c>
      <c r="J26" s="9">
        <v>9.3680000000000003</v>
      </c>
      <c r="K26" s="9">
        <v>9.0980000000000008</v>
      </c>
      <c r="L26" s="67">
        <v>8.9009999999999998</v>
      </c>
      <c r="M26" s="9">
        <v>8.6609999999999996</v>
      </c>
      <c r="N26" s="9">
        <v>8.5399999999999991</v>
      </c>
      <c r="O26" s="9">
        <v>8.2210000000000001</v>
      </c>
      <c r="P26" s="9">
        <v>8.8040000000000003</v>
      </c>
      <c r="Q26" s="72">
        <v>8.6720000000000006</v>
      </c>
      <c r="R26" s="9">
        <v>10.318</v>
      </c>
      <c r="S26" s="9">
        <v>9.7490000000000006</v>
      </c>
      <c r="T26" s="9">
        <v>9.3789999999999996</v>
      </c>
      <c r="U26" s="40">
        <v>9.1470000000000002</v>
      </c>
      <c r="V26" s="9">
        <v>8.9879999999999995</v>
      </c>
      <c r="W26" s="9">
        <v>8.1370000000000005</v>
      </c>
      <c r="X26" s="9">
        <v>8.4689999999999994</v>
      </c>
      <c r="Y26" s="58">
        <v>8.702</v>
      </c>
      <c r="Z26" s="9">
        <v>8.8390000000000004</v>
      </c>
      <c r="AA26" s="9"/>
      <c r="AB26" s="9">
        <v>9.3770000000000007</v>
      </c>
      <c r="AC26" s="50">
        <v>9.1880000000000006</v>
      </c>
      <c r="AD26" s="9">
        <v>9.2409999999999997</v>
      </c>
      <c r="AE26" s="50">
        <v>9.2959999999999994</v>
      </c>
      <c r="AF26" s="9">
        <v>8.0860000000000003</v>
      </c>
      <c r="AG26" s="9">
        <v>8.4749999999999996</v>
      </c>
      <c r="AH26" s="36">
        <v>8.6929999999999996</v>
      </c>
      <c r="AI26" s="9">
        <v>8.923</v>
      </c>
      <c r="AJ26" s="9">
        <v>11.276</v>
      </c>
      <c r="AK26" s="58">
        <v>8.58</v>
      </c>
      <c r="AL26" s="9">
        <v>8.7100000000000009</v>
      </c>
      <c r="AM26" s="9">
        <v>8.27</v>
      </c>
      <c r="AN26" s="9">
        <v>8.3290000000000006</v>
      </c>
      <c r="AO26" s="58">
        <v>8.5150000000000006</v>
      </c>
      <c r="AP26" s="9">
        <v>8.8640000000000008</v>
      </c>
      <c r="AQ26" s="9">
        <v>8.8469999999999995</v>
      </c>
      <c r="AR26" s="9">
        <v>9.2899999999999991</v>
      </c>
      <c r="AS26" s="9"/>
      <c r="AT26" s="9"/>
      <c r="AU26" s="9"/>
    </row>
    <row r="27" spans="1:47" x14ac:dyDescent="0.25">
      <c r="A27" s="86"/>
      <c r="B27" s="2" t="s">
        <v>66</v>
      </c>
      <c r="C27" s="58">
        <v>3.6190000000000002</v>
      </c>
      <c r="D27" s="65">
        <v>3.3010000000000002</v>
      </c>
      <c r="E27" s="9">
        <v>3.855</v>
      </c>
      <c r="F27" s="9">
        <v>3.665</v>
      </c>
      <c r="G27" s="58">
        <v>3.7410000000000001</v>
      </c>
      <c r="H27" s="9">
        <v>3.6920000000000002</v>
      </c>
      <c r="I27" s="9">
        <v>3.6320000000000001</v>
      </c>
      <c r="J27" s="9">
        <v>3.7490000000000001</v>
      </c>
      <c r="K27" s="9">
        <v>3.831</v>
      </c>
      <c r="L27" s="67">
        <v>3.883</v>
      </c>
      <c r="M27" s="9">
        <v>4.0069999999999997</v>
      </c>
      <c r="N27" s="9">
        <v>3.82</v>
      </c>
      <c r="O27" s="9">
        <v>3.923</v>
      </c>
      <c r="P27" s="9">
        <v>3.7650000000000001</v>
      </c>
      <c r="Q27" s="72">
        <v>3.7869999999999999</v>
      </c>
      <c r="R27" s="9">
        <v>3.9169999999999998</v>
      </c>
      <c r="S27" s="9">
        <v>3.931</v>
      </c>
      <c r="T27" s="9">
        <v>3.9660000000000002</v>
      </c>
      <c r="U27" s="40">
        <v>4.0039999999999996</v>
      </c>
      <c r="V27" s="9">
        <v>4.0590000000000002</v>
      </c>
      <c r="W27" s="9">
        <v>3.92</v>
      </c>
      <c r="X27" s="9">
        <v>3.798</v>
      </c>
      <c r="Y27" s="58">
        <v>3.738</v>
      </c>
      <c r="Z27" s="9">
        <v>3.7109999999999999</v>
      </c>
      <c r="AA27" s="9"/>
      <c r="AB27" s="9">
        <v>3.9390000000000001</v>
      </c>
      <c r="AC27" s="50">
        <v>3.9580000000000002</v>
      </c>
      <c r="AD27" s="9"/>
      <c r="AE27" s="50">
        <v>4.0419999999999998</v>
      </c>
      <c r="AF27" s="9">
        <v>3.9550000000000001</v>
      </c>
      <c r="AG27" s="9">
        <v>3.8519999999999999</v>
      </c>
      <c r="AH27" s="36">
        <v>3.798</v>
      </c>
      <c r="AI27" s="9">
        <v>3.7709999999999999</v>
      </c>
      <c r="AJ27" s="9">
        <v>3.9340000000000002</v>
      </c>
      <c r="AK27" s="58">
        <v>3.8029999999999999</v>
      </c>
      <c r="AL27" s="9">
        <v>3.7650000000000001</v>
      </c>
      <c r="AM27" s="9">
        <v>3.8769999999999998</v>
      </c>
      <c r="AN27" s="9">
        <v>3.98</v>
      </c>
      <c r="AO27" s="58">
        <v>3.879</v>
      </c>
      <c r="AP27" s="9">
        <v>3.7930000000000001</v>
      </c>
      <c r="AQ27" s="9">
        <v>3.9529999999999998</v>
      </c>
      <c r="AR27" s="9">
        <v>3.847</v>
      </c>
      <c r="AS27" s="9"/>
      <c r="AT27" s="9"/>
      <c r="AU27" s="9"/>
    </row>
    <row r="28" spans="1:47" x14ac:dyDescent="0.25">
      <c r="A28" s="86"/>
      <c r="B28" s="2" t="s">
        <v>112</v>
      </c>
      <c r="C28" s="58">
        <v>3.149</v>
      </c>
      <c r="D28" s="65">
        <v>2.794</v>
      </c>
      <c r="E28" s="9">
        <v>3.4889999999999999</v>
      </c>
      <c r="F28" s="9">
        <v>3.3010000000000002</v>
      </c>
      <c r="G28" s="58">
        <v>3.3860000000000001</v>
      </c>
      <c r="H28" s="9">
        <v>3.2530000000000001</v>
      </c>
      <c r="I28" s="9">
        <v>3.2010000000000001</v>
      </c>
      <c r="J28" s="9">
        <v>3.2770000000000001</v>
      </c>
      <c r="K28" s="9">
        <v>3.3450000000000002</v>
      </c>
      <c r="L28" s="67">
        <v>3.391</v>
      </c>
      <c r="M28" s="9">
        <v>3.472</v>
      </c>
      <c r="N28" s="9">
        <v>3.5049999999999999</v>
      </c>
      <c r="O28" s="9">
        <v>3.5859999999999999</v>
      </c>
      <c r="P28" s="9">
        <v>3.4750000000000001</v>
      </c>
      <c r="Q28" s="72">
        <v>3.4889999999999999</v>
      </c>
      <c r="R28" s="9">
        <v>3.4809999999999999</v>
      </c>
      <c r="S28" s="9">
        <v>3.4860000000000002</v>
      </c>
      <c r="T28" s="9">
        <v>3.4940000000000002</v>
      </c>
      <c r="U28" s="40">
        <v>3.524</v>
      </c>
      <c r="V28" s="9">
        <v>3.5459999999999998</v>
      </c>
      <c r="W28" s="9">
        <v>3.6080000000000001</v>
      </c>
      <c r="X28" s="9">
        <v>3.4940000000000002</v>
      </c>
      <c r="Y28" s="58">
        <v>3.456</v>
      </c>
      <c r="Z28" s="9">
        <v>3.4340000000000002</v>
      </c>
      <c r="AA28" s="9"/>
      <c r="AB28" s="9">
        <v>3.4860000000000002</v>
      </c>
      <c r="AC28" s="50">
        <v>3.4910000000000001</v>
      </c>
      <c r="AD28" s="9">
        <v>3.5209999999999999</v>
      </c>
      <c r="AE28" s="50">
        <v>3.4729999999999999</v>
      </c>
      <c r="AF28" s="9">
        <v>3.6539999999999999</v>
      </c>
      <c r="AG28" s="9">
        <v>3.5510000000000002</v>
      </c>
      <c r="AH28" s="36">
        <v>3.516</v>
      </c>
      <c r="AI28" s="9">
        <v>3.4889999999999999</v>
      </c>
      <c r="AJ28" s="9">
        <v>3.5590000000000002</v>
      </c>
      <c r="AK28" s="58">
        <v>3.5270000000000001</v>
      </c>
      <c r="AL28" s="9">
        <v>3.4940000000000002</v>
      </c>
      <c r="AM28" s="9">
        <v>3.6030000000000002</v>
      </c>
      <c r="AN28" s="9">
        <v>3.7109999999999999</v>
      </c>
      <c r="AO28" s="58">
        <v>3.613</v>
      </c>
      <c r="AP28" s="9">
        <v>3.5670000000000002</v>
      </c>
      <c r="AQ28" s="9">
        <v>3.6869999999999998</v>
      </c>
      <c r="AR28" s="9">
        <v>3.605</v>
      </c>
      <c r="AS28" s="9"/>
      <c r="AT28" s="9"/>
      <c r="AU28" s="9"/>
    </row>
    <row r="29" spans="1:47" x14ac:dyDescent="0.25">
      <c r="A29" s="86"/>
      <c r="B29" s="9" t="s">
        <v>8</v>
      </c>
      <c r="C29" s="59"/>
      <c r="D29" s="66"/>
      <c r="E29" s="9"/>
      <c r="F29" s="9"/>
      <c r="G29" s="58"/>
      <c r="H29" s="9"/>
      <c r="I29" s="9"/>
      <c r="J29" s="9"/>
      <c r="K29" s="9"/>
      <c r="L29" s="67"/>
      <c r="M29" s="9"/>
      <c r="N29" s="9"/>
      <c r="O29" s="9"/>
      <c r="P29" s="9"/>
      <c r="Q29" s="72"/>
      <c r="R29" s="9"/>
      <c r="S29" s="9"/>
      <c r="T29" s="9"/>
      <c r="U29" s="40"/>
      <c r="V29" s="9"/>
      <c r="W29" s="9"/>
      <c r="X29" s="9"/>
      <c r="Y29" s="58"/>
      <c r="Z29" s="9"/>
      <c r="AA29" s="9"/>
      <c r="AB29" s="9"/>
      <c r="AC29" s="50"/>
      <c r="AD29" s="9"/>
      <c r="AE29" s="50"/>
      <c r="AF29" s="9"/>
      <c r="AG29" s="9"/>
      <c r="AH29" s="36"/>
      <c r="AI29" s="9"/>
      <c r="AJ29" s="9"/>
      <c r="AK29" s="58"/>
      <c r="AL29" s="9"/>
      <c r="AM29" s="9"/>
      <c r="AN29" s="9"/>
      <c r="AO29" s="58"/>
      <c r="AP29" s="9"/>
      <c r="AQ29" s="9"/>
      <c r="AR29" s="9"/>
      <c r="AS29" s="9"/>
      <c r="AT29" s="9"/>
      <c r="AU29" s="9"/>
    </row>
    <row r="30" spans="1:47" s="9" customFormat="1" x14ac:dyDescent="0.25">
      <c r="A30" s="87" t="s">
        <v>61</v>
      </c>
      <c r="B30" s="13" t="s">
        <v>67</v>
      </c>
      <c r="C30" s="60">
        <v>345</v>
      </c>
      <c r="D30" s="67">
        <v>345</v>
      </c>
      <c r="E30" s="13">
        <v>345</v>
      </c>
      <c r="F30" s="13">
        <v>345</v>
      </c>
      <c r="G30" s="60">
        <v>345</v>
      </c>
      <c r="H30" s="13">
        <v>345</v>
      </c>
      <c r="I30" s="13">
        <v>345</v>
      </c>
      <c r="J30" s="13">
        <v>345</v>
      </c>
      <c r="K30" s="13">
        <v>345</v>
      </c>
      <c r="L30" s="67">
        <v>345</v>
      </c>
      <c r="M30" s="13">
        <v>345</v>
      </c>
      <c r="N30" s="13">
        <v>345</v>
      </c>
      <c r="O30" s="13">
        <v>345</v>
      </c>
      <c r="P30" s="13">
        <v>345</v>
      </c>
      <c r="Q30" s="69">
        <v>345</v>
      </c>
      <c r="R30" s="13">
        <v>345</v>
      </c>
      <c r="S30" s="13">
        <v>345</v>
      </c>
      <c r="T30" s="13">
        <v>345</v>
      </c>
      <c r="U30" s="39">
        <v>345</v>
      </c>
      <c r="V30" s="13">
        <v>345</v>
      </c>
      <c r="W30" s="13">
        <v>345</v>
      </c>
      <c r="X30" s="13">
        <v>345</v>
      </c>
      <c r="Y30" s="60">
        <v>345</v>
      </c>
      <c r="Z30" s="13">
        <v>345</v>
      </c>
      <c r="AA30" s="13">
        <v>345</v>
      </c>
      <c r="AB30" s="13">
        <v>345</v>
      </c>
      <c r="AC30" s="51">
        <v>345</v>
      </c>
      <c r="AD30" s="13">
        <v>345</v>
      </c>
      <c r="AE30" s="51">
        <v>345</v>
      </c>
      <c r="AF30" s="13">
        <v>345</v>
      </c>
      <c r="AG30" s="13">
        <v>345</v>
      </c>
      <c r="AH30" s="37">
        <v>345</v>
      </c>
      <c r="AI30" s="13">
        <v>345</v>
      </c>
      <c r="AJ30" s="13">
        <v>345</v>
      </c>
      <c r="AK30" s="60">
        <v>345</v>
      </c>
      <c r="AL30" s="13">
        <v>345</v>
      </c>
      <c r="AM30" s="13">
        <v>345</v>
      </c>
      <c r="AN30" s="13">
        <v>345</v>
      </c>
      <c r="AO30" s="60">
        <v>345</v>
      </c>
      <c r="AP30" s="13">
        <v>345</v>
      </c>
      <c r="AQ30" s="13">
        <v>345</v>
      </c>
      <c r="AR30" s="13">
        <v>345</v>
      </c>
      <c r="AS30" s="13"/>
      <c r="AT30" s="13"/>
      <c r="AU30" s="13"/>
    </row>
    <row r="31" spans="1:47" x14ac:dyDescent="0.25">
      <c r="A31" s="87"/>
      <c r="B31" s="13" t="s">
        <v>68</v>
      </c>
      <c r="C31" s="60">
        <v>6.8</v>
      </c>
      <c r="D31" s="67">
        <v>7</v>
      </c>
      <c r="E31" s="13">
        <v>7.2</v>
      </c>
      <c r="F31" s="13">
        <v>7.5</v>
      </c>
      <c r="G31" s="60">
        <v>7.4</v>
      </c>
      <c r="H31" s="13">
        <v>8.1999999999999993</v>
      </c>
      <c r="I31" s="13">
        <v>8.3000000000000007</v>
      </c>
      <c r="J31" s="13">
        <v>8</v>
      </c>
      <c r="K31" s="13">
        <v>7.8</v>
      </c>
      <c r="L31" s="67">
        <v>7.7</v>
      </c>
      <c r="M31" s="13">
        <v>7.6</v>
      </c>
      <c r="N31" s="13">
        <v>7.3</v>
      </c>
      <c r="O31" s="13">
        <v>7.1</v>
      </c>
      <c r="P31" s="13">
        <v>7.5</v>
      </c>
      <c r="Q31" s="69">
        <v>7.4</v>
      </c>
      <c r="R31" s="13">
        <v>8.9</v>
      </c>
      <c r="S31" s="13">
        <v>8.4</v>
      </c>
      <c r="T31" s="13">
        <v>8.1</v>
      </c>
      <c r="U31" s="39">
        <v>8</v>
      </c>
      <c r="V31" s="13">
        <v>7.9</v>
      </c>
      <c r="W31" s="13">
        <v>7</v>
      </c>
      <c r="X31" s="13">
        <v>7.3</v>
      </c>
      <c r="Y31" s="60">
        <v>7.4</v>
      </c>
      <c r="Z31" s="13">
        <v>7.5</v>
      </c>
      <c r="AA31" s="13"/>
      <c r="AB31" s="13">
        <v>8.1</v>
      </c>
      <c r="AC31" s="51">
        <v>7.95</v>
      </c>
      <c r="AD31" s="13">
        <v>7.9</v>
      </c>
      <c r="AE31" s="51">
        <v>8</v>
      </c>
      <c r="AF31" s="13">
        <v>7</v>
      </c>
      <c r="AG31" s="13">
        <v>7.3</v>
      </c>
      <c r="AH31" s="37">
        <v>7.4</v>
      </c>
      <c r="AI31" s="13">
        <v>7.6</v>
      </c>
      <c r="AJ31" s="13">
        <v>9.6</v>
      </c>
      <c r="AK31" s="60">
        <v>7.3</v>
      </c>
      <c r="AL31" s="13">
        <v>7.4</v>
      </c>
      <c r="AM31" s="13">
        <v>7.1</v>
      </c>
      <c r="AN31" s="13">
        <v>7.2</v>
      </c>
      <c r="AO31" s="60">
        <v>7.3</v>
      </c>
      <c r="AP31" s="13">
        <v>7.5</v>
      </c>
      <c r="AQ31" s="13">
        <v>7.7</v>
      </c>
      <c r="AR31" s="13">
        <v>8</v>
      </c>
      <c r="AS31" s="13"/>
      <c r="AT31" s="13"/>
      <c r="AU31" s="13"/>
    </row>
    <row r="32" spans="1:47" s="7" customFormat="1" x14ac:dyDescent="0.25">
      <c r="A32" s="87"/>
      <c r="B32" s="15" t="s">
        <v>54</v>
      </c>
      <c r="C32" s="15">
        <v>400</v>
      </c>
      <c r="D32" s="15">
        <v>400</v>
      </c>
      <c r="E32" s="15">
        <v>500</v>
      </c>
      <c r="F32" s="15">
        <v>500</v>
      </c>
      <c r="G32" s="15">
        <v>500</v>
      </c>
      <c r="H32" s="15">
        <v>500</v>
      </c>
      <c r="I32" s="15">
        <v>500</v>
      </c>
      <c r="J32" s="15">
        <v>500</v>
      </c>
      <c r="K32" s="15">
        <v>500</v>
      </c>
      <c r="L32" s="15">
        <v>500</v>
      </c>
      <c r="M32" s="15">
        <v>500</v>
      </c>
      <c r="N32" s="15">
        <v>600</v>
      </c>
      <c r="O32" s="15">
        <v>600</v>
      </c>
      <c r="P32" s="15">
        <v>600</v>
      </c>
      <c r="Q32" s="54">
        <v>600</v>
      </c>
      <c r="R32" s="15">
        <v>600</v>
      </c>
      <c r="S32" s="15">
        <v>600</v>
      </c>
      <c r="T32" s="15">
        <v>600</v>
      </c>
      <c r="U32" s="54">
        <v>600</v>
      </c>
      <c r="V32" s="15">
        <v>600</v>
      </c>
      <c r="W32" s="15">
        <v>700</v>
      </c>
      <c r="X32" s="15">
        <v>700</v>
      </c>
      <c r="Y32" s="15">
        <v>700</v>
      </c>
      <c r="Z32" s="15">
        <v>700</v>
      </c>
      <c r="AA32" s="15">
        <v>700</v>
      </c>
      <c r="AB32" s="15">
        <v>700</v>
      </c>
      <c r="AC32" s="15">
        <v>700</v>
      </c>
      <c r="AD32" s="15">
        <v>700</v>
      </c>
      <c r="AE32" s="15" t="s">
        <v>140</v>
      </c>
      <c r="AF32" s="15">
        <v>800</v>
      </c>
      <c r="AG32" s="15">
        <v>800</v>
      </c>
      <c r="AH32" s="60">
        <v>800</v>
      </c>
      <c r="AI32" s="15">
        <v>800</v>
      </c>
      <c r="AJ32" s="15">
        <v>800</v>
      </c>
      <c r="AK32" s="60">
        <v>900</v>
      </c>
      <c r="AL32" s="15">
        <v>900</v>
      </c>
      <c r="AM32" s="15">
        <v>900</v>
      </c>
      <c r="AN32" s="15">
        <v>1000</v>
      </c>
      <c r="AO32" s="60">
        <v>1000</v>
      </c>
      <c r="AP32" s="15">
        <v>1000</v>
      </c>
      <c r="AQ32" s="15">
        <v>1100</v>
      </c>
      <c r="AR32" s="15">
        <v>1100</v>
      </c>
      <c r="AS32" s="15"/>
      <c r="AT32" s="15"/>
      <c r="AU32" s="15"/>
    </row>
    <row r="33" spans="1:47" s="6" customFormat="1" x14ac:dyDescent="0.25">
      <c r="A33" s="87"/>
      <c r="B33" s="13" t="s">
        <v>69</v>
      </c>
      <c r="C33" s="60">
        <v>5000</v>
      </c>
      <c r="D33" s="67">
        <v>5000</v>
      </c>
      <c r="E33" s="13">
        <v>5000</v>
      </c>
      <c r="F33" s="13">
        <v>5000</v>
      </c>
      <c r="G33" s="60">
        <v>5000</v>
      </c>
      <c r="H33" s="13">
        <v>5000</v>
      </c>
      <c r="I33" s="13">
        <v>5000</v>
      </c>
      <c r="J33" s="13">
        <v>5000</v>
      </c>
      <c r="K33" s="13">
        <v>5000</v>
      </c>
      <c r="L33" s="67">
        <v>5000</v>
      </c>
      <c r="M33" s="13">
        <v>5000</v>
      </c>
      <c r="N33" s="13">
        <v>5000</v>
      </c>
      <c r="O33" s="13">
        <v>5000</v>
      </c>
      <c r="P33" s="13">
        <v>5000</v>
      </c>
      <c r="Q33" s="69">
        <v>5000</v>
      </c>
      <c r="R33" s="13">
        <v>5000</v>
      </c>
      <c r="S33" s="13">
        <v>5000</v>
      </c>
      <c r="T33" s="13">
        <v>5000</v>
      </c>
      <c r="U33" s="39">
        <v>5000</v>
      </c>
      <c r="V33" s="13">
        <v>5000</v>
      </c>
      <c r="W33" s="13">
        <v>5000</v>
      </c>
      <c r="X33" s="13">
        <v>5000</v>
      </c>
      <c r="Y33" s="60">
        <v>5000</v>
      </c>
      <c r="Z33" s="13">
        <v>5000</v>
      </c>
      <c r="AA33" s="13">
        <v>5000</v>
      </c>
      <c r="AB33" s="13">
        <v>5000</v>
      </c>
      <c r="AC33" s="51">
        <v>5000</v>
      </c>
      <c r="AD33" s="13">
        <v>5000</v>
      </c>
      <c r="AE33" s="51">
        <v>5000</v>
      </c>
      <c r="AF33" s="13">
        <v>5000</v>
      </c>
      <c r="AG33" s="13">
        <v>5000</v>
      </c>
      <c r="AH33" s="37">
        <v>5000</v>
      </c>
      <c r="AI33" s="13">
        <v>5000</v>
      </c>
      <c r="AJ33" s="13">
        <v>5000</v>
      </c>
      <c r="AK33" s="60">
        <v>5000</v>
      </c>
      <c r="AL33" s="13">
        <v>5000</v>
      </c>
      <c r="AM33" s="13">
        <v>5000</v>
      </c>
      <c r="AN33" s="13">
        <v>5000</v>
      </c>
      <c r="AO33" s="60">
        <v>5000</v>
      </c>
      <c r="AP33" s="13">
        <v>5000</v>
      </c>
      <c r="AQ33" s="13">
        <v>5000</v>
      </c>
      <c r="AR33" s="13">
        <v>5000</v>
      </c>
      <c r="AS33" s="13"/>
      <c r="AT33" s="13"/>
      <c r="AU33" s="13"/>
    </row>
    <row r="34" spans="1:47" x14ac:dyDescent="0.25">
      <c r="A34" s="87"/>
      <c r="B34" s="13" t="s">
        <v>70</v>
      </c>
      <c r="C34" s="60">
        <v>380</v>
      </c>
      <c r="D34" s="67">
        <v>285</v>
      </c>
      <c r="E34" s="13">
        <v>300</v>
      </c>
      <c r="F34" s="13">
        <v>270</v>
      </c>
      <c r="G34" s="60">
        <v>275</v>
      </c>
      <c r="H34" s="13">
        <v>275</v>
      </c>
      <c r="I34" s="13">
        <v>270</v>
      </c>
      <c r="J34" s="13">
        <v>280</v>
      </c>
      <c r="K34" s="13">
        <v>330</v>
      </c>
      <c r="L34" s="67">
        <v>400</v>
      </c>
      <c r="M34" s="13">
        <v>530</v>
      </c>
      <c r="N34" s="13">
        <v>275</v>
      </c>
      <c r="O34" s="13">
        <v>300</v>
      </c>
      <c r="P34" s="13">
        <v>270</v>
      </c>
      <c r="Q34" s="69">
        <v>272</v>
      </c>
      <c r="R34" s="13">
        <v>275</v>
      </c>
      <c r="S34" s="13">
        <v>310</v>
      </c>
      <c r="T34" s="13">
        <v>380</v>
      </c>
      <c r="U34" s="39">
        <v>430</v>
      </c>
      <c r="V34" s="13">
        <v>500</v>
      </c>
      <c r="W34" s="13">
        <v>330</v>
      </c>
      <c r="X34" s="13">
        <v>275</v>
      </c>
      <c r="Y34" s="60">
        <v>270</v>
      </c>
      <c r="Z34" s="13">
        <v>268</v>
      </c>
      <c r="AA34" s="13"/>
      <c r="AB34" s="13">
        <v>375</v>
      </c>
      <c r="AC34" s="51"/>
      <c r="AD34" s="13"/>
      <c r="AE34" s="51"/>
      <c r="AF34" s="13">
        <v>300</v>
      </c>
      <c r="AG34" s="13">
        <v>275</v>
      </c>
      <c r="AH34" s="37">
        <v>271</v>
      </c>
      <c r="AI34" s="13">
        <v>268</v>
      </c>
      <c r="AJ34" s="13">
        <v>271</v>
      </c>
      <c r="AK34" s="60">
        <v>271</v>
      </c>
      <c r="AL34" s="13">
        <v>268</v>
      </c>
      <c r="AM34" s="13">
        <v>278</v>
      </c>
      <c r="AN34" s="13">
        <v>278</v>
      </c>
      <c r="AO34" s="60">
        <v>273</v>
      </c>
      <c r="AP34" s="13">
        <v>269</v>
      </c>
      <c r="AQ34" s="13">
        <v>276</v>
      </c>
      <c r="AR34" s="13">
        <v>270</v>
      </c>
      <c r="AS34" s="13"/>
      <c r="AT34" s="13"/>
      <c r="AU34" s="13"/>
    </row>
    <row r="35" spans="1:47" ht="16.2" x14ac:dyDescent="0.25">
      <c r="A35" s="87"/>
      <c r="B35" s="13" t="s">
        <v>71</v>
      </c>
      <c r="C35" s="60">
        <v>95.4</v>
      </c>
      <c r="D35" s="67">
        <v>85.2</v>
      </c>
      <c r="E35" s="13">
        <v>115.3</v>
      </c>
      <c r="F35" s="13">
        <v>102.1</v>
      </c>
      <c r="G35" s="60">
        <v>106.5</v>
      </c>
      <c r="H35" s="13">
        <v>106.6</v>
      </c>
      <c r="I35" s="13">
        <v>100.8</v>
      </c>
      <c r="J35" s="13">
        <v>110.9</v>
      </c>
      <c r="K35" s="13">
        <v>118.3</v>
      </c>
      <c r="L35" s="67">
        <v>123.8</v>
      </c>
      <c r="M35" s="13">
        <v>132.4</v>
      </c>
      <c r="N35" s="13">
        <v>115.1</v>
      </c>
      <c r="O35" s="13">
        <v>119.7</v>
      </c>
      <c r="P35" s="13">
        <v>113.1</v>
      </c>
      <c r="Q35" s="69">
        <v>113.4</v>
      </c>
      <c r="R35" s="13">
        <v>132.30000000000001</v>
      </c>
      <c r="S35" s="13">
        <v>136.30000000000001</v>
      </c>
      <c r="T35" s="13">
        <v>139.1</v>
      </c>
      <c r="U35" s="39">
        <v>141.19999999999999</v>
      </c>
      <c r="V35" s="13">
        <v>143.6</v>
      </c>
      <c r="W35" s="13">
        <v>119.1</v>
      </c>
      <c r="X35" s="13">
        <v>113.9</v>
      </c>
      <c r="Y35" s="60">
        <v>112</v>
      </c>
      <c r="Z35" s="13">
        <v>110.4</v>
      </c>
      <c r="AA35" s="13"/>
      <c r="AB35" s="13">
        <v>136.5</v>
      </c>
      <c r="AC35" s="51">
        <v>137.80000000000001</v>
      </c>
      <c r="AD35" s="13">
        <v>139.6</v>
      </c>
      <c r="AE35" s="51">
        <v>143.69999999999999</v>
      </c>
      <c r="AF35" s="13">
        <v>121.3</v>
      </c>
      <c r="AG35" s="13">
        <v>116.1</v>
      </c>
      <c r="AH35" s="37">
        <v>113.6</v>
      </c>
      <c r="AI35" s="13">
        <v>112.2</v>
      </c>
      <c r="AJ35" s="13">
        <v>126.8</v>
      </c>
      <c r="AK35" s="60">
        <v>113.5</v>
      </c>
      <c r="AL35" s="13">
        <v>112</v>
      </c>
      <c r="AM35" s="13">
        <v>118.3</v>
      </c>
      <c r="AN35" s="13">
        <v>133.6</v>
      </c>
      <c r="AO35" s="60">
        <v>126.5</v>
      </c>
      <c r="AP35" s="13">
        <v>120.1</v>
      </c>
      <c r="AQ35" s="13">
        <v>148.19999999999999</v>
      </c>
      <c r="AR35" s="13">
        <v>137.19999999999999</v>
      </c>
      <c r="AS35" s="13"/>
      <c r="AT35" s="13"/>
      <c r="AU35" s="13"/>
    </row>
    <row r="36" spans="1:47" ht="16.2" x14ac:dyDescent="0.25">
      <c r="A36" s="87"/>
      <c r="B36" s="13" t="s">
        <v>72</v>
      </c>
      <c r="C36" s="60">
        <v>478.35300000000001</v>
      </c>
      <c r="D36" s="67">
        <v>478.74900000000002</v>
      </c>
      <c r="E36" s="13">
        <v>473.94200000000001</v>
      </c>
      <c r="F36" s="13">
        <v>476.31200000000001</v>
      </c>
      <c r="G36" s="60">
        <v>474.774</v>
      </c>
      <c r="H36" s="13">
        <v>475.04500000000002</v>
      </c>
      <c r="I36" s="13">
        <v>475.31700000000001</v>
      </c>
      <c r="J36" s="13">
        <v>476.48700000000002</v>
      </c>
      <c r="K36" s="13">
        <v>475.27</v>
      </c>
      <c r="L36" s="67">
        <v>473.86599999999999</v>
      </c>
      <c r="M36" s="13">
        <v>475.86799999999999</v>
      </c>
      <c r="N36" s="13">
        <v>475.09300000000002</v>
      </c>
      <c r="O36" s="13">
        <v>476.791</v>
      </c>
      <c r="P36" s="13">
        <v>477.74799999999999</v>
      </c>
      <c r="Q36" s="69">
        <v>477.87299999999999</v>
      </c>
      <c r="R36" s="13">
        <v>479.42500000000001</v>
      </c>
      <c r="S36" s="13">
        <v>478.14400000000001</v>
      </c>
      <c r="T36" s="13">
        <v>478.31099999999998</v>
      </c>
      <c r="U36" s="39">
        <v>478.43900000000002</v>
      </c>
      <c r="V36" s="13">
        <v>480.14</v>
      </c>
      <c r="W36" s="13">
        <v>478.58699999999999</v>
      </c>
      <c r="X36" s="13">
        <v>478.14299999999997</v>
      </c>
      <c r="Y36" s="60">
        <v>479.28100000000001</v>
      </c>
      <c r="Z36" s="13">
        <v>477.673</v>
      </c>
      <c r="AA36" s="13"/>
      <c r="AB36" s="13">
        <v>479.726</v>
      </c>
      <c r="AC36" s="51">
        <v>479.74799999999999</v>
      </c>
      <c r="AD36" s="13">
        <v>478.435</v>
      </c>
      <c r="AE36" s="51">
        <v>479.93099999999998</v>
      </c>
      <c r="AF36" s="13">
        <v>480.98700000000002</v>
      </c>
      <c r="AG36" s="13">
        <v>479.19299999999998</v>
      </c>
      <c r="AH36" s="37">
        <v>480.471</v>
      </c>
      <c r="AI36" s="13">
        <v>480.392</v>
      </c>
      <c r="AJ36" s="13">
        <v>478.553</v>
      </c>
      <c r="AK36" s="60">
        <v>478.36900000000003</v>
      </c>
      <c r="AL36" s="13">
        <v>478.31299999999999</v>
      </c>
      <c r="AM36" s="13">
        <v>479.02</v>
      </c>
      <c r="AN36" s="13">
        <v>480.71199999999999</v>
      </c>
      <c r="AO36" s="60">
        <v>480.53500000000003</v>
      </c>
      <c r="AP36" s="13">
        <v>478.93099999999998</v>
      </c>
      <c r="AQ36" s="13">
        <v>480.529</v>
      </c>
      <c r="AR36" s="13">
        <v>478.97300000000001</v>
      </c>
      <c r="AS36" s="13"/>
      <c r="AT36" s="13"/>
      <c r="AU36" s="13"/>
    </row>
    <row r="37" spans="1:47" x14ac:dyDescent="0.25">
      <c r="A37" s="87"/>
      <c r="B37" s="13" t="s">
        <v>73</v>
      </c>
      <c r="C37" s="60">
        <v>4506.42</v>
      </c>
      <c r="D37" s="67">
        <v>4517.79</v>
      </c>
      <c r="E37" s="13">
        <v>4510.54</v>
      </c>
      <c r="F37" s="13">
        <v>4504.99</v>
      </c>
      <c r="G37" s="60">
        <v>4518.0200000000004</v>
      </c>
      <c r="H37" s="13">
        <v>4513.79</v>
      </c>
      <c r="I37" s="13">
        <v>4502.38</v>
      </c>
      <c r="J37" s="13">
        <v>4507.2299999999996</v>
      </c>
      <c r="K37" s="13">
        <v>4509.76</v>
      </c>
      <c r="L37" s="67">
        <v>4513.95</v>
      </c>
      <c r="M37" s="13">
        <v>4505.57</v>
      </c>
      <c r="N37" s="13">
        <v>4518.3900000000003</v>
      </c>
      <c r="O37" s="13">
        <v>4515.91</v>
      </c>
      <c r="P37" s="13">
        <v>4519.05</v>
      </c>
      <c r="Q37" s="69">
        <v>4514.7299999999996</v>
      </c>
      <c r="R37" s="13">
        <v>4501.74</v>
      </c>
      <c r="S37" s="13">
        <v>4518.3500000000004</v>
      </c>
      <c r="T37" s="13">
        <v>4513.07</v>
      </c>
      <c r="U37" s="39">
        <v>4512.16</v>
      </c>
      <c r="V37" s="13">
        <v>4504.1400000000003</v>
      </c>
      <c r="W37" s="13">
        <v>4516.84</v>
      </c>
      <c r="X37" s="13">
        <v>4512.1899999999996</v>
      </c>
      <c r="Y37" s="60">
        <v>4523.67</v>
      </c>
      <c r="Z37" s="13">
        <v>4495.72</v>
      </c>
      <c r="AA37" s="13"/>
      <c r="AB37" s="13">
        <v>4491.8100000000004</v>
      </c>
      <c r="AC37" s="51">
        <v>4495.2</v>
      </c>
      <c r="AD37" s="13">
        <v>4485.84</v>
      </c>
      <c r="AE37" s="51">
        <v>4491.9399999999996</v>
      </c>
      <c r="AF37" s="13">
        <v>4486.24</v>
      </c>
      <c r="AG37" s="13">
        <v>4490.24</v>
      </c>
      <c r="AH37" s="37">
        <v>4490.08</v>
      </c>
      <c r="AI37" s="13">
        <v>4495.7700000000004</v>
      </c>
      <c r="AJ37" s="13">
        <v>4480.09</v>
      </c>
      <c r="AK37" s="60">
        <v>4482.1400000000003</v>
      </c>
      <c r="AL37" s="13">
        <v>4481.88</v>
      </c>
      <c r="AM37" s="13">
        <v>4472.29</v>
      </c>
      <c r="AN37" s="13">
        <v>4493.16</v>
      </c>
      <c r="AO37" s="60">
        <v>4488.32</v>
      </c>
      <c r="AP37" s="13">
        <v>4494.8900000000003</v>
      </c>
      <c r="AQ37" s="13">
        <v>4487.79</v>
      </c>
      <c r="AR37" s="13">
        <v>4492.45</v>
      </c>
      <c r="AS37" s="13"/>
      <c r="AT37" s="13"/>
      <c r="AU37" s="13"/>
    </row>
    <row r="38" spans="1:47" x14ac:dyDescent="0.25">
      <c r="A38" s="87"/>
      <c r="B38" s="13" t="s">
        <v>74</v>
      </c>
      <c r="C38" s="60">
        <v>3978</v>
      </c>
      <c r="D38" s="67">
        <v>3704.28</v>
      </c>
      <c r="E38" s="13">
        <v>4603.03</v>
      </c>
      <c r="F38" s="13">
        <v>4817</v>
      </c>
      <c r="G38" s="60">
        <v>4818.25</v>
      </c>
      <c r="H38" s="13">
        <v>4618.7299999999996</v>
      </c>
      <c r="I38" s="13">
        <v>4580.6400000000003</v>
      </c>
      <c r="J38" s="13">
        <v>4675.7700000000004</v>
      </c>
      <c r="K38" s="13">
        <v>4625.49</v>
      </c>
      <c r="L38" s="67">
        <v>4567.78</v>
      </c>
      <c r="M38" s="13">
        <v>4434.3500000000004</v>
      </c>
      <c r="N38" s="13">
        <v>4842.6499999999996</v>
      </c>
      <c r="O38" s="13">
        <v>4670.62</v>
      </c>
      <c r="P38" s="13">
        <v>4945.8100000000004</v>
      </c>
      <c r="Q38" s="69">
        <v>4932.0200000000004</v>
      </c>
      <c r="R38" s="13">
        <v>4812.04</v>
      </c>
      <c r="S38" s="13">
        <v>4774.46</v>
      </c>
      <c r="T38" s="13">
        <v>4688.6000000000004</v>
      </c>
      <c r="U38" s="39">
        <v>4646.49</v>
      </c>
      <c r="V38" s="13">
        <v>4553.25</v>
      </c>
      <c r="W38" s="13">
        <v>4584.8</v>
      </c>
      <c r="X38" s="13">
        <v>4800.47</v>
      </c>
      <c r="Y38" s="60">
        <v>4913.42</v>
      </c>
      <c r="Z38" s="13">
        <v>4939.53</v>
      </c>
      <c r="AA38" s="13">
        <v>5000.57</v>
      </c>
      <c r="AB38" s="13">
        <v>4665.05</v>
      </c>
      <c r="AC38" s="51">
        <v>4624.49</v>
      </c>
      <c r="AD38" s="13">
        <v>4553.16</v>
      </c>
      <c r="AE38" s="51">
        <v>4510.7</v>
      </c>
      <c r="AF38" s="13">
        <v>4655.42</v>
      </c>
      <c r="AG38" s="13">
        <v>4843.1899999999996</v>
      </c>
      <c r="AH38" s="37">
        <v>4953.37</v>
      </c>
      <c r="AI38" s="13">
        <v>5005.28</v>
      </c>
      <c r="AJ38" s="13">
        <v>4748.78</v>
      </c>
      <c r="AK38" s="60">
        <v>4861</v>
      </c>
      <c r="AL38" s="13">
        <v>4880</v>
      </c>
      <c r="AM38" s="13">
        <v>4693.3900000000003</v>
      </c>
      <c r="AN38" s="13">
        <v>4571.2299999999996</v>
      </c>
      <c r="AO38" s="60">
        <v>4660.4799999999996</v>
      </c>
      <c r="AP38" s="13">
        <v>4746.9399999999996</v>
      </c>
      <c r="AQ38" s="13">
        <v>4764.2700000000004</v>
      </c>
      <c r="AR38" s="13">
        <v>4782.08</v>
      </c>
      <c r="AS38" s="13"/>
      <c r="AT38" s="13"/>
      <c r="AU38" s="13"/>
    </row>
    <row r="39" spans="1:47" x14ac:dyDescent="0.25">
      <c r="A39" s="87"/>
      <c r="B39" s="13" t="s">
        <v>55</v>
      </c>
      <c r="C39" s="60" cm="1">
        <f t="array" ref="C39">C35/3600*([1]!Enthalpy("carbon dioxide","TP","SI",C17+273.15,C28)-[1]!Enthalpy("carbon dioxide","TP","SI",C14+273.15,C26))*1000</f>
        <v>4369.0952714912182</v>
      </c>
      <c r="D39" s="60" cm="1">
        <f t="array" ref="D39">D35/3600*([1]!Enthalpy("carbon dioxide","TP","SI",D17+273.15,D28)-[1]!Enthalpy("carbon dioxide","TP","SI",D14+273.15,D26))*1000</f>
        <v>4041.0201683604619</v>
      </c>
      <c r="E39" s="60" cm="1">
        <f t="array" ref="E39">E35/3600*([1]!Enthalpy("carbon dioxide","TP","SI",E17+273.15,E28)-[1]!Enthalpy("carbon dioxide","TP","SI",E14+273.15,E26))*1000</f>
        <v>5261.1333343304377</v>
      </c>
      <c r="F39" s="60" cm="1">
        <f t="array" ref="F39">F35/3600*([1]!Enthalpy("carbon dioxide","TP","SI",F17+273.15,F28)-[1]!Enthalpy("carbon dioxide","TP","SI",F14+273.15,F26))*1000</f>
        <v>5298.2630688993631</v>
      </c>
      <c r="G39" s="60" cm="1">
        <f t="array" ref="G39">G35/3600*([1]!Enthalpy("carbon dioxide","TP","SI",G17+273.15,G28)-[1]!Enthalpy("carbon dioxide","TP","SI",G14+273.15,G26))*1000</f>
        <v>5232.9277611807529</v>
      </c>
      <c r="H39" s="60" cm="1">
        <f t="array" ref="H39">H35/3600*([1]!Enthalpy("carbon dioxide","TP","SI",H17+273.15,H28)-[1]!Enthalpy("carbon dioxide","TP","SI",H14+273.15,H26))*1000</f>
        <v>5111.5262765719845</v>
      </c>
      <c r="I39" s="60" cm="1">
        <f t="array" ref="I39">I35/3600*([1]!Enthalpy("carbon dioxide","TP","SI",I17+273.15,I28)-[1]!Enthalpy("carbon dioxide","TP","SI",I14+273.15,I26))*1000</f>
        <v>5020.4560218335055</v>
      </c>
      <c r="J39" s="60" cm="1">
        <f t="array" ref="J39">J35/3600*([1]!Enthalpy("carbon dioxide","TP","SI",J17+273.15,J28)-[1]!Enthalpy("carbon dioxide","TP","SI",J14+273.15,J26))*1000</f>
        <v>5175.3566849415338</v>
      </c>
      <c r="K39" s="60" cm="1">
        <f t="array" ref="K39">K35/3600*([1]!Enthalpy("carbon dioxide","TP","SI",K17+273.15,K28)-[1]!Enthalpy("carbon dioxide","TP","SI",K14+273.15,K26))*1000</f>
        <v>5215.3031111515802</v>
      </c>
      <c r="L39" s="60" cm="1">
        <f t="array" ref="L39">L35/3600*([1]!Enthalpy("carbon dioxide","TP","SI",L17+273.15,L28)-[1]!Enthalpy("carbon dioxide","TP","SI",L14+273.15,L26))*1000</f>
        <v>5210.1949607169981</v>
      </c>
      <c r="M39" s="60" cm="1">
        <f t="array" ref="M39">M35/3600*([1]!Enthalpy("carbon dioxide","TP","SI",M17+273.15,M28)-[1]!Enthalpy("carbon dioxide","TP","SI",M14+273.15,M26))*1000</f>
        <v>5084.3019173578823</v>
      </c>
      <c r="N39" s="60" cm="1">
        <f t="array" ref="N39">N35/3600*([1]!Enthalpy("carbon dioxide","TP","SI",N17+273.15,N28)-[1]!Enthalpy("carbon dioxide","TP","SI",N14+273.15,N26))*1000</f>
        <v>5527.3415340882666</v>
      </c>
      <c r="O39" s="60" cm="1">
        <f t="array" ref="O39">O35/3600*([1]!Enthalpy("carbon dioxide","TP","SI",O17+273.15,O28)-[1]!Enthalpy("carbon dioxide","TP","SI",O14+273.15,O26))*1000</f>
        <v>5391.4118675224345</v>
      </c>
      <c r="P39" s="60" cm="1">
        <f t="array" ref="P39">P35/3600*([1]!Enthalpy("carbon dioxide","TP","SI",P17+273.15,P28)-[1]!Enthalpy("carbon dioxide","TP","SI",P14+273.15,P26))*1000</f>
        <v>5674.6418721714053</v>
      </c>
      <c r="Q39" s="60" cm="1">
        <f t="array" ref="Q39">Q35/3600*([1]!Enthalpy("carbon dioxide","TP","SI",Q17+273.15,Q28)-[1]!Enthalpy("carbon dioxide","TP","SI",Q14+273.15,Q26))*1000</f>
        <v>5578.4667509111368</v>
      </c>
      <c r="R39" s="60" cm="1">
        <f t="array" ref="R39">R35/3600*([1]!Enthalpy("carbon dioxide","TP","SI",R17+273.15,R28)-[1]!Enthalpy("carbon dioxide","TP","SI",R14+273.15,R26))*1000</f>
        <v>5664.0303405122149</v>
      </c>
      <c r="S39" s="60" cm="1">
        <f t="array" ref="S39">S35/3600*([1]!Enthalpy("carbon dioxide","TP","SI",S17+273.15,S28)-[1]!Enthalpy("carbon dioxide","TP","SI",S14+273.15,S26))*1000</f>
        <v>5668.5276074251915</v>
      </c>
      <c r="T39" s="60" cm="1">
        <f t="array" ref="T39">T35/3600*([1]!Enthalpy("carbon dioxide","TP","SI",T17+273.15,T28)-[1]!Enthalpy("carbon dioxide","TP","SI",T14+273.15,T26))*1000</f>
        <v>5629.7182758627077</v>
      </c>
      <c r="U39" s="60" cm="1">
        <f t="array" ref="U39">U35/3600*([1]!Enthalpy("carbon dioxide","TP","SI",U17+273.15,U28)-[1]!Enthalpy("carbon dioxide","TP","SI",U14+273.15,U26))*1000</f>
        <v>5519.817086988498</v>
      </c>
      <c r="V39" s="60" cm="1">
        <f t="array" ref="V39">V35/3600*([1]!Enthalpy("carbon dioxide","TP","SI",V17+273.15,V28)-[1]!Enthalpy("carbon dioxide","TP","SI",V14+273.15,V26))*1000</f>
        <v>5490.3860565767754</v>
      </c>
      <c r="W39" s="60" cm="1">
        <f t="array" ref="W39">W35/3600*([1]!Enthalpy("carbon dioxide","TP","SI",W17+273.15,W28)-[1]!Enthalpy("carbon dioxide","TP","SI",W14+273.15,W26))*1000</f>
        <v>5265.1497177465553</v>
      </c>
      <c r="X39" s="60" cm="1">
        <f t="array" ref="X39">X35/3600*([1]!Enthalpy("carbon dioxide","TP","SI",X17+273.15,X28)-[1]!Enthalpy("carbon dioxide","TP","SI",X14+273.15,X26))*1000</f>
        <v>5500.2679711083756</v>
      </c>
      <c r="Y39" s="60" cm="1">
        <f t="array" ref="Y39">Y35/3600*([1]!Enthalpy("carbon dioxide","TP","SI",Y17+273.15,Y28)-[1]!Enthalpy("carbon dioxide","TP","SI",Y14+273.15,Y26))*1000</f>
        <v>5625.2483505403588</v>
      </c>
      <c r="Z39" s="60" cm="1">
        <f t="array" ref="Z39">Z35/3600*([1]!Enthalpy("carbon dioxide","TP","SI",Z17+273.15,Z28)-[1]!Enthalpy("carbon dioxide","TP","SI",Z14+273.15,Z26))*1000</f>
        <v>5629.7527375261961</v>
      </c>
      <c r="AA39" s="60" t="e" cm="1">
        <f t="array" ref="AA39">AA35/3600*([1]!Enthalpy("carbon dioxide","TP","SI",AA17+273.15,AA28)-[1]!Enthalpy("carbon dioxide","TP","SI",AA14+273.15,AA26))*1000</f>
        <v>#VALUE!</v>
      </c>
      <c r="AB39" s="60" cm="1">
        <f t="array" ref="AB39">AB35/3600*([1]!Enthalpy("carbon dioxide","TP","SI",AB17+273.15,AB28)-[1]!Enthalpy("carbon dioxide","TP","SI",AB14+273.15,AB26))*1000</f>
        <v>5494.9989963346543</v>
      </c>
      <c r="AC39" s="60" cm="1">
        <f t="array" ref="AC39">AC35/3600*([1]!Enthalpy("carbon dioxide","TP","SI",AC17+273.15,AC28)-[1]!Enthalpy("carbon dioxide","TP","SI",AC14+273.15,AC26))*1000</f>
        <v>5504.3517106580703</v>
      </c>
      <c r="AD39" s="60" cm="1">
        <f t="array" ref="AD39">AD35/3600*([1]!Enthalpy("carbon dioxide","TP","SI",AD17+273.15,AD28)-[1]!Enthalpy("carbon dioxide","TP","SI",AD14+273.15,AD26))*1000</f>
        <v>5475.2139759904176</v>
      </c>
      <c r="AE39" s="60" cm="1">
        <f t="array" ref="AE39">AE35/3600*([1]!Enthalpy("carbon dioxide","TP","SI",AE17+273.15,AE28)-[1]!Enthalpy("carbon dioxide","TP","SI",AE14+273.15,AE26))*1000</f>
        <v>5693.2129186307093</v>
      </c>
      <c r="AF39" s="60" cm="1">
        <f t="array" ref="AF39">AF35/3600*([1]!Enthalpy("carbon dioxide","TP","SI",AF17+273.15,AF28)-[1]!Enthalpy("carbon dioxide","TP","SI",AF14+273.15,AF26))*1000</f>
        <v>5466.7570996798368</v>
      </c>
      <c r="AG39" s="60" cm="1">
        <f t="array" ref="AG39">AG35/3600*([1]!Enthalpy("carbon dioxide","TP","SI",AG17+273.15,AG28)-[1]!Enthalpy("carbon dioxide","TP","SI",AG14+273.15,AG26))*1000</f>
        <v>5660.2395708381846</v>
      </c>
      <c r="AH39" s="60" cm="1">
        <f t="array" ref="AH39">AH35/3600*([1]!Enthalpy("carbon dioxide","TP","SI",AH17+273.15,AH28)-[1]!Enthalpy("carbon dioxide","TP","SI",AH14+273.15,AH26))*1000</f>
        <v>5660.6864096587506</v>
      </c>
      <c r="AI39" s="60" cm="1">
        <f t="array" ref="AI39">AI35/3600*([1]!Enthalpy("carbon dioxide","TP","SI",AI17+273.15,AI28)-[1]!Enthalpy("carbon dioxide","TP","SI",AI14+273.15,AI26))*1000</f>
        <v>5753.8459908402847</v>
      </c>
      <c r="AJ39" s="60" cm="1">
        <f t="array" ref="AJ39">AJ35/3600*([1]!Enthalpy("carbon dioxide","TP","SI",AJ17+273.15,AJ28)-[1]!Enthalpy("carbon dioxide","TP","SI",AJ14+273.15,AJ26))*1000</f>
        <v>5559.8679297023291</v>
      </c>
      <c r="AK39" s="60" cm="1">
        <f t="array" ref="AK39">AK35/3600*([1]!Enthalpy("carbon dioxide","TP","SI",AK17+273.15,AK28)-[1]!Enthalpy("carbon dioxide","TP","SI",AK14+273.15,AK26))*1000</f>
        <v>5656.5931931549103</v>
      </c>
      <c r="AL39" s="60" cm="1">
        <f t="array" ref="AL39">AL35/3600*([1]!Enthalpy("carbon dioxide","TP","SI",AL17+273.15,AL28)-[1]!Enthalpy("carbon dioxide","TP","SI",AL14+273.15,AL26))*1000</f>
        <v>5711.4985830060568</v>
      </c>
      <c r="AM39" s="60" cm="1">
        <f t="array" ref="AM39">AM35/3600*([1]!Enthalpy("carbon dioxide","TP","SI",AM17+273.15,AM28)-[1]!Enthalpy("carbon dioxide","TP","SI",AM14+273.15,AM26))*1000</f>
        <v>5603.8556998634822</v>
      </c>
      <c r="AN39" s="60" cm="1">
        <f t="array" ref="AN39">AN35/3600*([1]!Enthalpy("carbon dioxide","TP","SI",AN17+273.15,AN28)-[1]!Enthalpy("carbon dioxide","TP","SI",AN14+273.15,AN26))*1000</f>
        <v>6856.9169316433117</v>
      </c>
      <c r="AO39" s="60" cm="1">
        <f t="array" ref="AO39">AO35/3600*([1]!Enthalpy("carbon dioxide","TP","SI",AO17+273.15,AO28)-[1]!Enthalpy("carbon dioxide","TP","SI",AO14+273.15,AO26))*1000</f>
        <v>6668.6838359605426</v>
      </c>
      <c r="AP39" s="60" cm="1">
        <f t="array" ref="AP39">AP35/3600*([1]!Enthalpy("carbon dioxide","TP","SI",AP17+273.15,AP28)-[1]!Enthalpy("carbon dioxide","TP","SI",AP14+273.15,AP26))*1000</f>
        <v>6504.9377340702385</v>
      </c>
      <c r="AQ39" s="60" cm="1">
        <f t="array" ref="AQ39">AQ35/3600*([1]!Enthalpy("carbon dioxide","TP","SI",AQ17+273.15,AQ28)-[1]!Enthalpy("carbon dioxide","TP","SI",AQ14+273.15,AQ26))*1000</f>
        <v>8440.0429553546273</v>
      </c>
      <c r="AR39" s="60" cm="1">
        <f t="array" ref="AR39">AR35/3600*([1]!Enthalpy("carbon dioxide","TP","SI",AR17+273.15,AR28)-[1]!Enthalpy("carbon dioxide","TP","SI",AR14+273.15,AR26))*1000</f>
        <v>7996.4451729432367</v>
      </c>
      <c r="AS39" s="13"/>
      <c r="AT39" s="13"/>
      <c r="AU39" s="13"/>
    </row>
    <row r="40" spans="1:47" x14ac:dyDescent="0.25">
      <c r="A40" s="87"/>
      <c r="B40" s="15" t="s">
        <v>56</v>
      </c>
      <c r="C40" s="60"/>
      <c r="D40" s="67"/>
      <c r="E40" s="13"/>
      <c r="F40" s="13"/>
      <c r="G40" s="60"/>
      <c r="H40" s="13"/>
      <c r="I40" s="13"/>
      <c r="J40" s="13"/>
      <c r="K40" s="13"/>
      <c r="L40" s="67"/>
      <c r="M40" s="13"/>
      <c r="N40" s="13"/>
      <c r="O40" s="13"/>
      <c r="P40" s="13"/>
      <c r="Q40" s="69"/>
      <c r="R40" s="13"/>
      <c r="S40" s="13"/>
      <c r="T40" s="13"/>
      <c r="U40" s="39"/>
      <c r="V40" s="13"/>
      <c r="W40" s="13"/>
      <c r="X40" s="13"/>
      <c r="Y40" s="60"/>
      <c r="Z40" s="13"/>
      <c r="AA40" s="13"/>
      <c r="AB40" s="13"/>
      <c r="AC40" s="51"/>
      <c r="AD40" s="13"/>
      <c r="AE40" s="51"/>
      <c r="AF40" s="13"/>
      <c r="AG40" s="13"/>
      <c r="AH40" s="37"/>
      <c r="AI40" s="13"/>
      <c r="AJ40" s="13"/>
      <c r="AK40" s="60"/>
      <c r="AL40" s="13"/>
      <c r="AM40" s="13"/>
      <c r="AN40" s="13"/>
      <c r="AO40" s="60"/>
      <c r="AP40" s="13"/>
      <c r="AQ40" s="13"/>
      <c r="AR40" s="13"/>
      <c r="AS40" s="13"/>
      <c r="AT40" s="13"/>
      <c r="AU40" s="13"/>
    </row>
    <row r="41" spans="1:47" x14ac:dyDescent="0.25">
      <c r="A41" s="87"/>
      <c r="B41" s="13" t="s">
        <v>75</v>
      </c>
      <c r="C41" s="60">
        <f>C30*C31</f>
        <v>2346</v>
      </c>
      <c r="D41" s="67">
        <f t="shared" ref="D41:I41" si="0">D30*D31</f>
        <v>2415</v>
      </c>
      <c r="E41" s="13">
        <f t="shared" si="0"/>
        <v>2484</v>
      </c>
      <c r="F41" s="13">
        <f t="shared" si="0"/>
        <v>2587.5</v>
      </c>
      <c r="G41" s="60">
        <f t="shared" si="0"/>
        <v>2553</v>
      </c>
      <c r="H41" s="13">
        <f t="shared" si="0"/>
        <v>2828.9999999999995</v>
      </c>
      <c r="I41" s="13">
        <f t="shared" si="0"/>
        <v>2863.5000000000005</v>
      </c>
      <c r="J41" s="13">
        <f t="shared" ref="J41:M41" si="1">J30*J31</f>
        <v>2760</v>
      </c>
      <c r="K41" s="13">
        <f t="shared" si="1"/>
        <v>2691</v>
      </c>
      <c r="L41" s="67">
        <f t="shared" si="1"/>
        <v>2656.5</v>
      </c>
      <c r="M41" s="13">
        <f t="shared" si="1"/>
        <v>2622</v>
      </c>
      <c r="N41" s="13">
        <f t="shared" ref="N41:R41" si="2">N30*N31</f>
        <v>2518.5</v>
      </c>
      <c r="O41" s="13">
        <f t="shared" si="2"/>
        <v>2449.5</v>
      </c>
      <c r="P41" s="13">
        <f t="shared" si="2"/>
        <v>2587.5</v>
      </c>
      <c r="Q41" s="69">
        <f t="shared" si="2"/>
        <v>2553</v>
      </c>
      <c r="R41" s="13">
        <f t="shared" si="2"/>
        <v>3070.5</v>
      </c>
      <c r="S41" s="13">
        <f t="shared" ref="S41:W41" si="3">S30*S31</f>
        <v>2898</v>
      </c>
      <c r="T41" s="13">
        <f t="shared" si="3"/>
        <v>2794.5</v>
      </c>
      <c r="U41" s="39">
        <f t="shared" si="3"/>
        <v>2760</v>
      </c>
      <c r="V41" s="13">
        <f t="shared" si="3"/>
        <v>2725.5</v>
      </c>
      <c r="W41" s="13">
        <f t="shared" si="3"/>
        <v>2415</v>
      </c>
      <c r="X41" s="13">
        <f t="shared" ref="X41:AC41" si="4">X30*X31</f>
        <v>2518.5</v>
      </c>
      <c r="Y41" s="60">
        <f t="shared" si="4"/>
        <v>2553</v>
      </c>
      <c r="Z41" s="13">
        <f t="shared" si="4"/>
        <v>2587.5</v>
      </c>
      <c r="AA41" s="13"/>
      <c r="AB41" s="13">
        <f t="shared" si="4"/>
        <v>2794.5</v>
      </c>
      <c r="AC41" s="51">
        <f t="shared" si="4"/>
        <v>2742.75</v>
      </c>
      <c r="AD41" s="13">
        <f t="shared" ref="AD41:AF41" si="5">AD30*AD31</f>
        <v>2725.5</v>
      </c>
      <c r="AE41" s="51">
        <f t="shared" si="5"/>
        <v>2760</v>
      </c>
      <c r="AF41" s="13">
        <f t="shared" si="5"/>
        <v>2415</v>
      </c>
      <c r="AG41" s="13">
        <f t="shared" ref="AG41:AI41" si="6">AG30*AG31</f>
        <v>2518.5</v>
      </c>
      <c r="AH41" s="37">
        <f t="shared" si="6"/>
        <v>2553</v>
      </c>
      <c r="AI41" s="13">
        <f t="shared" si="6"/>
        <v>2622</v>
      </c>
      <c r="AJ41" s="13">
        <f>AJ30*AJ31</f>
        <v>3312</v>
      </c>
      <c r="AK41" s="60">
        <f t="shared" ref="AK41:AR41" si="7">AK30*AK31</f>
        <v>2518.5</v>
      </c>
      <c r="AL41" s="13">
        <f t="shared" si="7"/>
        <v>2553</v>
      </c>
      <c r="AM41" s="13">
        <f t="shared" si="7"/>
        <v>2449.5</v>
      </c>
      <c r="AN41" s="13">
        <f t="shared" si="7"/>
        <v>2484</v>
      </c>
      <c r="AO41" s="60">
        <f t="shared" si="7"/>
        <v>2518.5</v>
      </c>
      <c r="AP41" s="13">
        <f t="shared" si="7"/>
        <v>2587.5</v>
      </c>
      <c r="AQ41" s="13">
        <f t="shared" si="7"/>
        <v>2656.5</v>
      </c>
      <c r="AR41" s="13">
        <f t="shared" si="7"/>
        <v>2760</v>
      </c>
      <c r="AS41" s="13"/>
      <c r="AT41" s="13"/>
      <c r="AU41" s="13"/>
    </row>
    <row r="42" spans="1:47" x14ac:dyDescent="0.25">
      <c r="A42" s="87"/>
      <c r="B42" s="15" t="s">
        <v>76</v>
      </c>
      <c r="C42" s="60"/>
      <c r="D42" s="67"/>
      <c r="E42" s="13"/>
      <c r="F42" s="13"/>
      <c r="G42" s="60"/>
      <c r="H42" s="13"/>
      <c r="I42" s="13"/>
      <c r="J42" s="13"/>
      <c r="K42" s="13"/>
      <c r="L42" s="67"/>
      <c r="M42" s="13"/>
      <c r="N42" s="13"/>
      <c r="O42" s="13"/>
      <c r="P42" s="13"/>
      <c r="Q42" s="69"/>
      <c r="R42" s="13"/>
      <c r="S42" s="13"/>
      <c r="T42" s="13"/>
      <c r="U42" s="39"/>
      <c r="V42" s="13"/>
      <c r="W42" s="13"/>
      <c r="X42" s="13"/>
      <c r="Y42" s="60"/>
      <c r="Z42" s="13"/>
      <c r="AA42" s="13"/>
      <c r="AB42" s="13"/>
      <c r="AC42" s="51"/>
      <c r="AD42" s="13"/>
      <c r="AE42" s="51"/>
      <c r="AF42" s="13"/>
      <c r="AG42" s="13"/>
      <c r="AH42" s="37"/>
      <c r="AI42" s="13"/>
      <c r="AJ42" s="13"/>
      <c r="AK42" s="60"/>
      <c r="AL42" s="13"/>
      <c r="AM42" s="13"/>
      <c r="AN42" s="13"/>
      <c r="AO42" s="60"/>
      <c r="AP42" s="13"/>
      <c r="AQ42" s="13"/>
      <c r="AR42" s="13"/>
      <c r="AS42" s="13"/>
      <c r="AT42" s="13"/>
      <c r="AU42" s="13"/>
    </row>
    <row r="43" spans="1:47" s="7" customFormat="1" x14ac:dyDescent="0.25">
      <c r="A43" s="87"/>
      <c r="B43" s="15" t="s">
        <v>77</v>
      </c>
      <c r="C43" s="15">
        <f>C38/C41</f>
        <v>1.6956521739130435</v>
      </c>
      <c r="D43" s="15">
        <f t="shared" ref="D43:I43" si="8">D38/D41</f>
        <v>1.5338633540372673</v>
      </c>
      <c r="E43" s="15">
        <f t="shared" si="8"/>
        <v>1.8530716586151368</v>
      </c>
      <c r="F43" s="15">
        <f t="shared" si="8"/>
        <v>1.8616425120772946</v>
      </c>
      <c r="G43" s="15">
        <f t="shared" si="8"/>
        <v>1.8872894633764199</v>
      </c>
      <c r="H43" s="15">
        <f t="shared" ref="H43" si="9">H38/H41</f>
        <v>1.6326369741958291</v>
      </c>
      <c r="I43" s="15">
        <f t="shared" si="8"/>
        <v>1.5996647459402826</v>
      </c>
      <c r="J43" s="15">
        <f t="shared" ref="J43:K43" si="10">J38/J41</f>
        <v>1.6941195652173915</v>
      </c>
      <c r="K43" s="15">
        <f t="shared" si="10"/>
        <v>1.7188740245261984</v>
      </c>
      <c r="L43" s="15">
        <f t="shared" ref="L43:M43" si="11">L38/L41</f>
        <v>1.7194729907773385</v>
      </c>
      <c r="M43" s="15">
        <f t="shared" si="11"/>
        <v>1.6912090007627767</v>
      </c>
      <c r="N43" s="15">
        <f t="shared" ref="N43:R43" si="12">N38/N41</f>
        <v>1.9228310502283104</v>
      </c>
      <c r="O43" s="15">
        <f t="shared" si="12"/>
        <v>1.906764645846091</v>
      </c>
      <c r="P43" s="15">
        <f t="shared" si="12"/>
        <v>1.9114241545893722</v>
      </c>
      <c r="Q43" s="54">
        <f t="shared" si="12"/>
        <v>1.931852722287505</v>
      </c>
      <c r="R43" s="15">
        <f t="shared" si="12"/>
        <v>1.567184497638821</v>
      </c>
      <c r="S43" s="15">
        <f t="shared" ref="S43:W43" si="13">S38/S41</f>
        <v>1.6475017253278124</v>
      </c>
      <c r="T43" s="15">
        <f t="shared" si="13"/>
        <v>1.6777956700662016</v>
      </c>
      <c r="U43" s="54">
        <f t="shared" si="13"/>
        <v>1.6835108695652172</v>
      </c>
      <c r="V43" s="15">
        <f t="shared" si="13"/>
        <v>1.670610897083104</v>
      </c>
      <c r="W43" s="15">
        <f t="shared" si="13"/>
        <v>1.8984679089026917</v>
      </c>
      <c r="X43" s="15">
        <f t="shared" ref="X43:AC43" si="14">X38/X41</f>
        <v>1.9060829859043082</v>
      </c>
      <c r="Y43" s="15">
        <f t="shared" si="14"/>
        <v>1.9245671758715237</v>
      </c>
      <c r="Z43" s="15">
        <f t="shared" si="14"/>
        <v>1.9089971014492753</v>
      </c>
      <c r="AA43" s="15"/>
      <c r="AB43" s="15">
        <f t="shared" si="14"/>
        <v>1.6693684022186439</v>
      </c>
      <c r="AC43" s="15">
        <f t="shared" si="14"/>
        <v>1.6860778415823534</v>
      </c>
      <c r="AD43" s="15">
        <f t="shared" ref="AD43:AF43" si="15">AD38/AD41</f>
        <v>1.6705778756191525</v>
      </c>
      <c r="AE43" s="15">
        <f t="shared" si="15"/>
        <v>1.6343115942028985</v>
      </c>
      <c r="AF43" s="15">
        <f t="shared" si="15"/>
        <v>1.9277101449275362</v>
      </c>
      <c r="AG43" s="15">
        <f t="shared" ref="AG43:AI43" si="16">AG38/AG41</f>
        <v>1.9230454635695848</v>
      </c>
      <c r="AH43" s="60">
        <f t="shared" si="16"/>
        <v>1.9402154328241283</v>
      </c>
      <c r="AI43" s="15">
        <f t="shared" si="16"/>
        <v>1.9089549961861174</v>
      </c>
      <c r="AJ43" s="15">
        <f>AJ38/AJ41</f>
        <v>1.43381038647343</v>
      </c>
      <c r="AK43" s="60">
        <f t="shared" ref="AK43:AR43" si="17">AK38/AK41</f>
        <v>1.9301171332142149</v>
      </c>
      <c r="AL43" s="15">
        <f t="shared" si="17"/>
        <v>1.9114766940853898</v>
      </c>
      <c r="AM43" s="15">
        <f t="shared" si="17"/>
        <v>1.9160604204939784</v>
      </c>
      <c r="AN43" s="15">
        <f t="shared" si="17"/>
        <v>1.840269726247987</v>
      </c>
      <c r="AO43" s="60">
        <f t="shared" si="17"/>
        <v>1.8504983124875916</v>
      </c>
      <c r="AP43" s="15">
        <f t="shared" si="17"/>
        <v>1.834566183574879</v>
      </c>
      <c r="AQ43" s="15">
        <f t="shared" si="17"/>
        <v>1.7934387351778658</v>
      </c>
      <c r="AR43" s="15">
        <f t="shared" si="17"/>
        <v>1.7326376811594202</v>
      </c>
      <c r="AS43" s="15"/>
      <c r="AT43" s="15"/>
      <c r="AU43" s="15"/>
    </row>
    <row r="44" spans="1:47" x14ac:dyDescent="0.25">
      <c r="A44" s="87"/>
      <c r="B44" s="13" t="s">
        <v>78</v>
      </c>
      <c r="C44" s="60">
        <f>C39/C41</f>
        <v>1.8623594507635202</v>
      </c>
      <c r="D44" s="67">
        <f t="shared" ref="D44:J44" si="18">D39/D41</f>
        <v>1.6733002767538145</v>
      </c>
      <c r="E44" s="13">
        <f t="shared" si="18"/>
        <v>2.1180085886998543</v>
      </c>
      <c r="F44" s="13">
        <f t="shared" si="18"/>
        <v>2.0476379010239083</v>
      </c>
      <c r="G44" s="60">
        <f t="shared" si="18"/>
        <v>2.0497171019117717</v>
      </c>
      <c r="H44" s="13">
        <f t="shared" si="18"/>
        <v>1.8068314869466191</v>
      </c>
      <c r="I44" s="13">
        <f t="shared" si="18"/>
        <v>1.7532586072406162</v>
      </c>
      <c r="J44" s="13">
        <f t="shared" si="18"/>
        <v>1.8751292336744687</v>
      </c>
      <c r="K44" s="13">
        <f t="shared" ref="K44:AR44" si="19">K39/K41</f>
        <v>1.938053924619688</v>
      </c>
      <c r="L44" s="67">
        <f t="shared" si="19"/>
        <v>1.9613005686869935</v>
      </c>
      <c r="M44" s="13">
        <f t="shared" si="19"/>
        <v>1.9390930272150582</v>
      </c>
      <c r="N44" s="13">
        <f t="shared" si="19"/>
        <v>2.194695864239931</v>
      </c>
      <c r="O44" s="13">
        <f t="shared" si="19"/>
        <v>2.2010254613277951</v>
      </c>
      <c r="P44" s="13">
        <f t="shared" si="19"/>
        <v>2.1930983080855673</v>
      </c>
      <c r="Q44" s="69">
        <f t="shared" si="19"/>
        <v>2.1850633571919849</v>
      </c>
      <c r="R44" s="13">
        <f t="shared" si="19"/>
        <v>1.8446605896473587</v>
      </c>
      <c r="S44" s="13">
        <f t="shared" si="19"/>
        <v>1.9560136671584512</v>
      </c>
      <c r="T44" s="13">
        <f t="shared" si="19"/>
        <v>2.0145708627170182</v>
      </c>
      <c r="U44" s="29">
        <f t="shared" si="19"/>
        <v>1.9999337271697457</v>
      </c>
      <c r="V44" s="13">
        <f t="shared" si="19"/>
        <v>2.014450947193827</v>
      </c>
      <c r="W44" s="13">
        <f t="shared" si="19"/>
        <v>2.1801862185285943</v>
      </c>
      <c r="X44" s="13">
        <f t="shared" si="19"/>
        <v>2.1839459881311796</v>
      </c>
      <c r="Y44" s="60">
        <f t="shared" si="19"/>
        <v>2.2033875246926593</v>
      </c>
      <c r="Z44" s="13">
        <f t="shared" si="19"/>
        <v>2.1757498502516701</v>
      </c>
      <c r="AA44" s="13" t="e">
        <f t="shared" si="19"/>
        <v>#VALUE!</v>
      </c>
      <c r="AB44" s="13">
        <f t="shared" si="19"/>
        <v>1.966362138606067</v>
      </c>
      <c r="AC44" s="51">
        <f t="shared" si="19"/>
        <v>2.0068732879985673</v>
      </c>
      <c r="AD44" s="13">
        <f t="shared" si="19"/>
        <v>2.0088842326143523</v>
      </c>
      <c r="AE44" s="51">
        <f t="shared" si="19"/>
        <v>2.0627583038517061</v>
      </c>
      <c r="AF44" s="13">
        <f t="shared" si="19"/>
        <v>2.2636675360993115</v>
      </c>
      <c r="AG44" s="13">
        <f t="shared" si="19"/>
        <v>2.2474645903665613</v>
      </c>
      <c r="AH44" s="37">
        <f t="shared" si="19"/>
        <v>2.2172684722517628</v>
      </c>
      <c r="AI44" s="13">
        <f t="shared" si="19"/>
        <v>2.194449271868911</v>
      </c>
      <c r="AJ44" s="13">
        <f t="shared" si="19"/>
        <v>1.678704085055051</v>
      </c>
      <c r="AK44" s="37">
        <f t="shared" si="19"/>
        <v>2.2460167532876358</v>
      </c>
      <c r="AL44" s="13">
        <f t="shared" si="19"/>
        <v>2.237171399532337</v>
      </c>
      <c r="AM44" s="13">
        <f t="shared" si="19"/>
        <v>2.2877549295217317</v>
      </c>
      <c r="AN44" s="13">
        <f t="shared" si="19"/>
        <v>2.7604335473604316</v>
      </c>
      <c r="AO44" s="37">
        <f t="shared" si="19"/>
        <v>2.6478792280963046</v>
      </c>
      <c r="AP44" s="13">
        <f t="shared" si="19"/>
        <v>2.5139855977083045</v>
      </c>
      <c r="AQ44" s="13">
        <f t="shared" si="19"/>
        <v>3.1771289122358848</v>
      </c>
      <c r="AR44" s="13">
        <f t="shared" si="19"/>
        <v>2.8972627438200131</v>
      </c>
      <c r="AS44" s="13"/>
      <c r="AT44" s="13"/>
      <c r="AU44" s="13"/>
    </row>
    <row r="45" spans="1:47" x14ac:dyDescent="0.25">
      <c r="A45" s="87"/>
      <c r="B45" s="15" t="s">
        <v>21</v>
      </c>
      <c r="C45" s="60"/>
      <c r="D45" s="67"/>
      <c r="E45" s="13"/>
      <c r="F45" s="13"/>
      <c r="G45" s="60"/>
      <c r="H45" s="13"/>
      <c r="I45" s="13"/>
      <c r="J45" s="13"/>
      <c r="K45" s="13"/>
      <c r="L45" s="67"/>
      <c r="M45" s="13"/>
      <c r="N45" s="13"/>
      <c r="O45" s="13"/>
      <c r="P45" s="13"/>
      <c r="Q45" s="69"/>
      <c r="R45" s="13"/>
      <c r="S45" s="13"/>
      <c r="T45" s="13"/>
      <c r="U45" s="39"/>
      <c r="V45" s="13"/>
      <c r="W45" s="13"/>
      <c r="X45" s="13"/>
      <c r="Y45" s="60"/>
      <c r="Z45" s="13"/>
      <c r="AA45" s="13"/>
      <c r="AB45" s="13"/>
      <c r="AC45" s="51"/>
      <c r="AD45" s="13"/>
      <c r="AE45" s="51"/>
      <c r="AF45" s="13"/>
      <c r="AG45" s="13"/>
      <c r="AH45" s="37"/>
      <c r="AI45" s="13"/>
      <c r="AJ45" s="13"/>
      <c r="AK45" s="60"/>
      <c r="AL45" s="13"/>
      <c r="AM45" s="13"/>
      <c r="AN45" s="13"/>
      <c r="AO45" s="60"/>
      <c r="AP45" s="13"/>
      <c r="AQ45" s="13"/>
      <c r="AR45" s="13"/>
      <c r="AS45" s="13"/>
      <c r="AT45" s="13"/>
      <c r="AU45" s="13"/>
    </row>
    <row r="46" spans="1:47" x14ac:dyDescent="0.25">
      <c r="A46" s="87"/>
      <c r="B46" s="13" t="s">
        <v>57</v>
      </c>
      <c r="C46" s="60">
        <v>10.82</v>
      </c>
      <c r="D46" s="67">
        <v>11.63</v>
      </c>
      <c r="E46" s="13">
        <v>9.11</v>
      </c>
      <c r="F46" s="13">
        <v>8.51</v>
      </c>
      <c r="G46" s="60">
        <v>8.51</v>
      </c>
      <c r="H46" s="13">
        <v>9.01</v>
      </c>
      <c r="I46" s="13">
        <v>9.15</v>
      </c>
      <c r="J46" s="13">
        <v>8.94</v>
      </c>
      <c r="K46" s="13">
        <v>9.0500000000000007</v>
      </c>
      <c r="L46" s="67">
        <v>9.1999999999999993</v>
      </c>
      <c r="M46" s="13">
        <v>9.6300000000000008</v>
      </c>
      <c r="N46" s="13">
        <v>8.4700000000000006</v>
      </c>
      <c r="O46" s="13">
        <v>9</v>
      </c>
      <c r="P46" s="13">
        <v>8.24</v>
      </c>
      <c r="Q46" s="69">
        <v>8.2799999999999994</v>
      </c>
      <c r="R46" s="13">
        <v>8.68</v>
      </c>
      <c r="S46" s="13">
        <v>8.77</v>
      </c>
      <c r="T46" s="13">
        <v>8.98</v>
      </c>
      <c r="U46" s="39">
        <v>9.14</v>
      </c>
      <c r="V46" s="13">
        <v>9.41</v>
      </c>
      <c r="W46" s="13">
        <v>9.32</v>
      </c>
      <c r="X46" s="13">
        <v>8.7200000000000006</v>
      </c>
      <c r="Y46" s="60">
        <v>8.42</v>
      </c>
      <c r="Z46" s="13">
        <v>8.2799999999999994</v>
      </c>
      <c r="AA46" s="13"/>
      <c r="AB46" s="13">
        <v>9.1199999999999992</v>
      </c>
      <c r="AC46" s="51">
        <v>9.25</v>
      </c>
      <c r="AD46" s="13">
        <v>9.43</v>
      </c>
      <c r="AE46" s="51">
        <v>9.41</v>
      </c>
      <c r="AF46" s="13">
        <v>9.16</v>
      </c>
      <c r="AG46" s="13">
        <v>8.58</v>
      </c>
      <c r="AH46" s="37">
        <v>8.2899999999999991</v>
      </c>
      <c r="AI46" s="13">
        <v>8.14</v>
      </c>
      <c r="AJ46" s="13">
        <v>8.6</v>
      </c>
      <c r="AK46" s="60">
        <v>8.42</v>
      </c>
      <c r="AL46" s="13">
        <v>8.3000000000000007</v>
      </c>
      <c r="AM46" s="13">
        <v>8.93</v>
      </c>
      <c r="AN46" s="13">
        <v>9.2799999999999994</v>
      </c>
      <c r="AO46" s="60">
        <v>8.84</v>
      </c>
      <c r="AP46" s="13">
        <v>8.4499999999999993</v>
      </c>
      <c r="AQ46" s="13">
        <v>8.9</v>
      </c>
      <c r="AR46" s="13">
        <v>8.5299999999999994</v>
      </c>
      <c r="AS46" s="13"/>
      <c r="AT46" s="13"/>
      <c r="AU46" s="13"/>
    </row>
    <row r="47" spans="1:47" x14ac:dyDescent="0.25">
      <c r="A47" s="87"/>
      <c r="B47" s="13" t="s">
        <v>79</v>
      </c>
      <c r="C47" s="60">
        <v>10.56</v>
      </c>
      <c r="D47" s="67">
        <v>11.22</v>
      </c>
      <c r="E47" s="13">
        <v>8.76</v>
      </c>
      <c r="F47" s="13">
        <v>8.24</v>
      </c>
      <c r="G47" s="60">
        <v>8.2200000000000006</v>
      </c>
      <c r="H47" s="13">
        <v>8.76</v>
      </c>
      <c r="I47" s="13">
        <v>8.86</v>
      </c>
      <c r="J47" s="13">
        <v>8.6300000000000008</v>
      </c>
      <c r="K47" s="13">
        <v>8.73</v>
      </c>
      <c r="L47" s="67">
        <v>8.86</v>
      </c>
      <c r="M47" s="13">
        <v>9.27</v>
      </c>
      <c r="N47" s="13">
        <v>8.1199999999999992</v>
      </c>
      <c r="O47" s="13">
        <v>8.66</v>
      </c>
      <c r="P47" s="13">
        <v>7.93</v>
      </c>
      <c r="Q47" s="69">
        <v>7.95</v>
      </c>
      <c r="R47" s="13">
        <v>8.36</v>
      </c>
      <c r="S47" s="13">
        <v>8.41</v>
      </c>
      <c r="T47" s="13">
        <v>8.6199999999999992</v>
      </c>
      <c r="U47" s="39">
        <v>8.76</v>
      </c>
      <c r="V47" s="13">
        <v>9.0500000000000007</v>
      </c>
      <c r="W47" s="13">
        <v>8.94</v>
      </c>
      <c r="X47" s="13">
        <v>8.33</v>
      </c>
      <c r="Y47" s="60">
        <v>8.06</v>
      </c>
      <c r="Z47" s="13">
        <v>7.94</v>
      </c>
      <c r="AA47" s="13"/>
      <c r="AB47" s="13">
        <v>8.74</v>
      </c>
      <c r="AC47" s="51">
        <v>8.85</v>
      </c>
      <c r="AD47" s="13">
        <v>9.02</v>
      </c>
      <c r="AE47" s="51">
        <v>9.17</v>
      </c>
      <c r="AF47" s="13">
        <v>8.7899999999999991</v>
      </c>
      <c r="AG47" s="13">
        <v>8.2200000000000006</v>
      </c>
      <c r="AH47" s="37">
        <v>7.99</v>
      </c>
      <c r="AI47" s="13">
        <v>7.84</v>
      </c>
      <c r="AJ47" s="13">
        <v>8.52</v>
      </c>
      <c r="AK47" s="60">
        <v>8.19</v>
      </c>
      <c r="AL47" s="13">
        <v>8.14</v>
      </c>
      <c r="AM47" s="13">
        <v>8.66</v>
      </c>
      <c r="AN47" s="13">
        <v>9.0399999999999991</v>
      </c>
      <c r="AO47" s="60">
        <v>8.77</v>
      </c>
      <c r="AP47" s="13">
        <v>8.51</v>
      </c>
      <c r="AQ47" s="13">
        <v>8.66</v>
      </c>
      <c r="AR47" s="13">
        <v>8.42</v>
      </c>
      <c r="AS47" s="13"/>
      <c r="AT47" s="13"/>
      <c r="AU47" s="13"/>
    </row>
    <row r="48" spans="1:47" x14ac:dyDescent="0.25">
      <c r="A48" s="87"/>
      <c r="B48" s="13" t="s">
        <v>80</v>
      </c>
      <c r="C48" s="60">
        <v>35.659999999999997</v>
      </c>
      <c r="D48" s="67">
        <v>35.81</v>
      </c>
      <c r="E48" s="13">
        <v>36.49</v>
      </c>
      <c r="F48" s="13">
        <v>36.71</v>
      </c>
      <c r="G48" s="60">
        <v>36.94</v>
      </c>
      <c r="H48" s="13">
        <v>36.799999999999997</v>
      </c>
      <c r="I48" s="13">
        <v>36.659999999999997</v>
      </c>
      <c r="J48" s="13">
        <v>36.51</v>
      </c>
      <c r="K48" s="13">
        <v>36.65</v>
      </c>
      <c r="L48" s="67">
        <v>36.53</v>
      </c>
      <c r="M48" s="13">
        <v>36.450000000000003</v>
      </c>
      <c r="N48" s="13">
        <v>36.81</v>
      </c>
      <c r="O48" s="13">
        <v>36.36</v>
      </c>
      <c r="P48" s="13">
        <v>36.92</v>
      </c>
      <c r="Q48" s="69">
        <v>36.89</v>
      </c>
      <c r="R48" s="13">
        <v>36.99</v>
      </c>
      <c r="S48" s="13">
        <v>36.909999999999997</v>
      </c>
      <c r="T48" s="13">
        <v>36.799999999999997</v>
      </c>
      <c r="U48" s="39">
        <v>36.57</v>
      </c>
      <c r="V48" s="13">
        <v>36.700000000000003</v>
      </c>
      <c r="W48" s="13">
        <v>36.33</v>
      </c>
      <c r="X48" s="13">
        <v>36.61</v>
      </c>
      <c r="Y48" s="60">
        <v>36.79</v>
      </c>
      <c r="Z48" s="13">
        <v>36.86</v>
      </c>
      <c r="AA48" s="13"/>
      <c r="AB48" s="13">
        <v>36.979999999999997</v>
      </c>
      <c r="AC48" s="51">
        <v>36.6</v>
      </c>
      <c r="AD48" s="13">
        <v>36.75</v>
      </c>
      <c r="AE48" s="51">
        <v>37.57</v>
      </c>
      <c r="AF48" s="13">
        <v>36.35</v>
      </c>
      <c r="AG48" s="13">
        <v>36.770000000000003</v>
      </c>
      <c r="AH48" s="37">
        <v>36.869999999999997</v>
      </c>
      <c r="AI48" s="13">
        <v>36.96</v>
      </c>
      <c r="AJ48" s="13">
        <v>37.54</v>
      </c>
      <c r="AK48" s="60">
        <v>36.6</v>
      </c>
      <c r="AL48" s="13">
        <v>36.619999999999997</v>
      </c>
      <c r="AM48" s="13">
        <v>36.4</v>
      </c>
      <c r="AN48" s="13">
        <v>36.56</v>
      </c>
      <c r="AO48" s="60">
        <v>36.770000000000003</v>
      </c>
      <c r="AP48" s="13">
        <v>36.94</v>
      </c>
      <c r="AQ48" s="13">
        <v>36.630000000000003</v>
      </c>
      <c r="AR48" s="13">
        <v>36.76</v>
      </c>
      <c r="AS48" s="13"/>
      <c r="AT48" s="13"/>
      <c r="AU48" s="13"/>
    </row>
    <row r="49" spans="1:47" x14ac:dyDescent="0.25">
      <c r="A49" s="87"/>
      <c r="B49" s="13" t="s">
        <v>81</v>
      </c>
      <c r="C49" s="60">
        <v>26.56</v>
      </c>
      <c r="D49" s="67">
        <v>26.36</v>
      </c>
      <c r="E49" s="13">
        <v>25.64</v>
      </c>
      <c r="F49" s="13">
        <v>25.63</v>
      </c>
      <c r="G49" s="60">
        <v>25.88</v>
      </c>
      <c r="H49" s="13">
        <v>25.41</v>
      </c>
      <c r="I49" s="13">
        <v>25.29</v>
      </c>
      <c r="J49" s="13">
        <v>25.12</v>
      </c>
      <c r="K49" s="13">
        <v>25.12</v>
      </c>
      <c r="L49" s="67">
        <v>25.07</v>
      </c>
      <c r="M49" s="13">
        <v>24.96</v>
      </c>
      <c r="N49" s="13">
        <v>25.02</v>
      </c>
      <c r="O49" s="13">
        <v>24.85</v>
      </c>
      <c r="P49" s="13">
        <v>25.25</v>
      </c>
      <c r="Q49" s="69">
        <v>25.01</v>
      </c>
      <c r="R49" s="13">
        <v>25.08</v>
      </c>
      <c r="S49" s="13">
        <v>24.98</v>
      </c>
      <c r="T49" s="13">
        <v>24.8</v>
      </c>
      <c r="U49" s="39">
        <v>24.93</v>
      </c>
      <c r="V49" s="13">
        <v>24.87</v>
      </c>
      <c r="W49" s="13">
        <v>24.87</v>
      </c>
      <c r="X49" s="13">
        <v>24.78</v>
      </c>
      <c r="Y49" s="60">
        <v>24.97</v>
      </c>
      <c r="Z49" s="13">
        <v>24.9</v>
      </c>
      <c r="AA49" s="13"/>
      <c r="AB49" s="13">
        <v>24.91</v>
      </c>
      <c r="AC49" s="51">
        <v>24.99</v>
      </c>
      <c r="AD49" s="13">
        <v>25.28</v>
      </c>
      <c r="AE49" s="51">
        <v>25.62</v>
      </c>
      <c r="AF49" s="13">
        <v>24.69</v>
      </c>
      <c r="AG49" s="13">
        <v>25.27</v>
      </c>
      <c r="AH49" s="37">
        <v>25.03</v>
      </c>
      <c r="AI49" s="13">
        <v>25.06</v>
      </c>
      <c r="AJ49" s="13">
        <v>25.7</v>
      </c>
      <c r="AK49" s="60">
        <v>24.99</v>
      </c>
      <c r="AL49" s="13">
        <v>25</v>
      </c>
      <c r="AM49" s="13">
        <v>24.79</v>
      </c>
      <c r="AN49" s="13">
        <v>25.61</v>
      </c>
      <c r="AO49" s="60">
        <v>25.26</v>
      </c>
      <c r="AP49" s="13">
        <v>25.26</v>
      </c>
      <c r="AQ49" s="13">
        <v>24.94</v>
      </c>
      <c r="AR49" s="13">
        <v>24.95</v>
      </c>
      <c r="AS49" s="13"/>
      <c r="AT49" s="13"/>
      <c r="AU49" s="13"/>
    </row>
    <row r="50" spans="1:47" ht="13.5" customHeight="1" x14ac:dyDescent="0.25">
      <c r="A50" s="87"/>
      <c r="B50" s="13" t="s">
        <v>82</v>
      </c>
      <c r="C50" s="60">
        <f>C38/C39</f>
        <v>0.91048598229405664</v>
      </c>
      <c r="D50" s="67">
        <f t="shared" ref="D50:E50" si="20">D38/D39</f>
        <v>0.91666951553545817</v>
      </c>
      <c r="E50" s="13">
        <f t="shared" si="20"/>
        <v>0.8749122494128555</v>
      </c>
      <c r="F50" s="13">
        <f>F38/F39</f>
        <v>0.90916587896052914</v>
      </c>
      <c r="G50" s="60">
        <f>G38/G39</f>
        <v>0.92075607000407256</v>
      </c>
      <c r="H50" s="13">
        <f>H38/H39</f>
        <v>0.90359116829142549</v>
      </c>
      <c r="I50" s="13">
        <f t="shared" ref="I50:J50" si="21">I38/I39</f>
        <v>0.9123952047541527</v>
      </c>
      <c r="J50" s="13">
        <f t="shared" si="21"/>
        <v>0.90346816357698501</v>
      </c>
      <c r="K50" s="13">
        <f t="shared" ref="K50:AA50" si="22">K38/K39</f>
        <v>0.88690722311222581</v>
      </c>
      <c r="L50" s="67">
        <f t="shared" si="22"/>
        <v>0.87670039882181439</v>
      </c>
      <c r="M50" s="13">
        <f t="shared" si="22"/>
        <v>0.87216496425223367</v>
      </c>
      <c r="N50" s="13">
        <f t="shared" si="22"/>
        <v>0.87612642897754167</v>
      </c>
      <c r="O50" s="13">
        <f t="shared" si="22"/>
        <v>0.86630740050404154</v>
      </c>
      <c r="P50" s="13">
        <f t="shared" si="22"/>
        <v>0.87156337111851656</v>
      </c>
      <c r="Q50" s="69">
        <f t="shared" si="22"/>
        <v>0.88411748608064189</v>
      </c>
      <c r="R50" s="13">
        <f t="shared" si="22"/>
        <v>0.84957878237015816</v>
      </c>
      <c r="S50" s="13">
        <f t="shared" si="22"/>
        <v>0.84227516043953732</v>
      </c>
      <c r="T50" s="13">
        <f t="shared" si="22"/>
        <v>0.83283030699817939</v>
      </c>
      <c r="U50" s="29">
        <f t="shared" si="22"/>
        <v>0.84178332846442783</v>
      </c>
      <c r="V50" s="13">
        <f t="shared" si="22"/>
        <v>0.8293132674242083</v>
      </c>
      <c r="W50" s="13">
        <f t="shared" si="22"/>
        <v>0.87078245553903455</v>
      </c>
      <c r="X50" s="13">
        <f t="shared" si="22"/>
        <v>0.87277020414564332</v>
      </c>
      <c r="Y50" s="60">
        <f t="shared" si="22"/>
        <v>0.87345832464943862</v>
      </c>
      <c r="Z50" s="13">
        <f t="shared" si="22"/>
        <v>0.87739732636472922</v>
      </c>
      <c r="AA50" s="13" t="e">
        <f t="shared" si="22"/>
        <v>#VALUE!</v>
      </c>
      <c r="AB50" s="13">
        <f t="shared" ref="AB50:AF50" si="23">AB38/AB39</f>
        <v>0.84896284842121761</v>
      </c>
      <c r="AC50" s="51">
        <f t="shared" si="23"/>
        <v>0.84015161877203537</v>
      </c>
      <c r="AD50" s="13">
        <f t="shared" si="23"/>
        <v>0.83159489655860863</v>
      </c>
      <c r="AE50" s="51">
        <f t="shared" si="23"/>
        <v>0.79229427468609082</v>
      </c>
      <c r="AF50" s="13">
        <f t="shared" si="23"/>
        <v>0.85158713202615988</v>
      </c>
      <c r="AG50" s="13">
        <f t="shared" ref="AG50:AI50" si="24">AG38/AG39</f>
        <v>0.85565106200669283</v>
      </c>
      <c r="AH50" s="37">
        <f t="shared" si="24"/>
        <v>0.8750475899085548</v>
      </c>
      <c r="AI50" s="13">
        <f t="shared" si="24"/>
        <v>0.86990162892229839</v>
      </c>
      <c r="AJ50" s="13">
        <f>AJ38/AJ39</f>
        <v>0.85411741070875502</v>
      </c>
      <c r="AK50" s="60">
        <f t="shared" ref="AK50" si="25">AK38/AK39</f>
        <v>0.85935117375637615</v>
      </c>
      <c r="AL50" s="13">
        <f>AL38/AL39</f>
        <v>0.85441674003385193</v>
      </c>
      <c r="AM50" s="13">
        <f t="shared" ref="AM50:AR50" si="26">AM38/AM39</f>
        <v>0.83752870369491095</v>
      </c>
      <c r="AN50" s="13">
        <f t="shared" si="26"/>
        <v>0.66665967308203478</v>
      </c>
      <c r="AO50" s="60">
        <f t="shared" si="26"/>
        <v>0.69886054199609748</v>
      </c>
      <c r="AP50" s="13">
        <f t="shared" si="26"/>
        <v>0.72974411040669052</v>
      </c>
      <c r="AQ50" s="13">
        <f t="shared" si="26"/>
        <v>0.56448409388454579</v>
      </c>
      <c r="AR50" s="13">
        <f t="shared" si="26"/>
        <v>0.59802573475781973</v>
      </c>
      <c r="AS50" s="13"/>
      <c r="AT50" s="13"/>
      <c r="AU50" s="13"/>
    </row>
    <row r="51" spans="1:47" x14ac:dyDescent="0.25">
      <c r="A51" s="87"/>
      <c r="B51" s="13" t="s">
        <v>83</v>
      </c>
      <c r="C51" s="60">
        <f>C35/3600*( [1]!Enthalpy("carbon dioxide","TP","SI",C9+273.15,C23)- [1]!Enthalpy("carbon dioxide","TP","SI",C8+273.15,C22))*1000</f>
        <v>2015.905563703594</v>
      </c>
      <c r="D51" s="67">
        <f>D35/3600*( [1]!Enthalpy("carbon dioxide","TP","SI",D9+273.15,D23)- [1]!Enthalpy("carbon dioxide","TP","SI",D8+273.15,D22))*1000</f>
        <v>2090.350854200844</v>
      </c>
      <c r="E51" s="13">
        <f>E35/3600*( [1]!Enthalpy("carbon dioxide","TP","SI",E9+273.15,E23)- [1]!Enthalpy("carbon dioxide","TP","SI",E8+273.15,E22))*1000</f>
        <v>2115.0399008160398</v>
      </c>
      <c r="F51" s="13">
        <f>F35/3600*( [1]!Enthalpy("carbon dioxide","TP","SI",F9+273.15,F23)- [1]!Enthalpy("carbon dioxide","TP","SI",F8+273.15,F22))*1000</f>
        <v>2229.5504554748882</v>
      </c>
      <c r="G51" s="60">
        <f>G35/3600*( [1]!Enthalpy("carbon dioxide","TP","SI",G9+273.15,G23)- [1]!Enthalpy("carbon dioxide","TP","SI",G8+273.15,G22))*1000</f>
        <v>2185.6563677627064</v>
      </c>
      <c r="H51" s="13">
        <f>H35/3600*( [1]!Enthalpy("carbon dioxide","TP","SI",H9+273.15,H23)- [1]!Enthalpy("carbon dioxide","TP","SI",H8+273.15,H22))*1000</f>
        <v>2417.1704563253538</v>
      </c>
      <c r="I51" s="13">
        <f>I35/3600*( [1]!Enthalpy("carbon dioxide","TP","SI",I9+273.15,I23)- [1]!Enthalpy("carbon dioxide","TP","SI",I8+273.15,I22))*1000</f>
        <v>2449.917304929008</v>
      </c>
      <c r="J51" s="13">
        <f>J35/3600*( [1]!Enthalpy("carbon dioxide","TP","SI",J9+273.15,J23)- [1]!Enthalpy("carbon dioxide","TP","SI",J8+273.15,J22))*1000</f>
        <v>2358.2283887824801</v>
      </c>
      <c r="K51" s="13">
        <f>K35/3600*( [1]!Enthalpy("carbon dioxide","TP","SI",K9+273.15,K23)- [1]!Enthalpy("carbon dioxide","TP","SI",K8+273.15,K22))*1000</f>
        <v>2279.6769542949914</v>
      </c>
      <c r="L51" s="67">
        <f>L35/3600*( [1]!Enthalpy("carbon dioxide","TP","SI",L9+273.15,L23)- [1]!Enthalpy("carbon dioxide","TP","SI",L8+273.15,L22))*1000</f>
        <v>2229.617742817386</v>
      </c>
      <c r="M51" s="13">
        <f>M35/3600*( [1]!Enthalpy("carbon dioxide","TP","SI",M9+273.15,M23)- [1]!Enthalpy("carbon dioxide","TP","SI",M8+273.15,M22))*1000</f>
        <v>2147.3704387835587</v>
      </c>
      <c r="N51" s="13">
        <f>N35/3600*( [1]!Enthalpy("carbon dioxide","TP","SI",N9+273.15,N23)- [1]!Enthalpy("carbon dioxide","TP","SI",N8+273.15,N22))*1000</f>
        <v>2173.6583302499525</v>
      </c>
      <c r="O51" s="13">
        <f>O35/3600*( [1]!Enthalpy("carbon dioxide","TP","SI",O9+273.15,O23)- [1]!Enthalpy("carbon dioxide","TP","SI",O8+273.15,O22))*1000</f>
        <v>2109.1075639884075</v>
      </c>
      <c r="P51" s="13">
        <f>P35/3600*( [1]!Enthalpy("carbon dioxide","TP","SI",P9+273.15,P23)- [1]!Enthalpy("carbon dioxide","TP","SI",P8+273.15,P22))*1000</f>
        <v>2237.2798615698534</v>
      </c>
      <c r="Q51" s="60">
        <f>Q35/3600*( [1]!Enthalpy("carbon dioxide","TP","SI",Q9+273.15,Q23)- [1]!Enthalpy("carbon dioxide","TP","SI",Q8+273.15,Q22))*1000</f>
        <v>2194.2645939296594</v>
      </c>
      <c r="R51" s="13">
        <f>R35/3600*( [1]!Enthalpy("carbon dioxide","TP","SI",R9+273.15,R23)- [1]!Enthalpy("carbon dioxide","TP","SI",R8+273.15,R22))*1000</f>
        <v>2405.9786439334853</v>
      </c>
      <c r="S51" s="13">
        <f>S35/3600*( [1]!Enthalpy("carbon dioxide","TP","SI",S9+273.15,S23)- [1]!Enthalpy("carbon dioxide","TP","SI",S8+273.15,S22))*1000</f>
        <v>2276.5390401018471</v>
      </c>
      <c r="T51" s="13">
        <f>T35/3600*( [1]!Enthalpy("carbon dioxide","TP","SI",T9+273.15,T23)- [1]!Enthalpy("carbon dioxide","TP","SI",T8+273.15,T22))*1000</f>
        <v>2171.4511934407701</v>
      </c>
      <c r="U51" s="29">
        <f>U35/3600*( [1]!Enthalpy("carbon dioxide","TP","SI",U9+273.15,U23)- [1]!Enthalpy("carbon dioxide","TP","SI",U8+273.15,U22))*1000</f>
        <v>2122.810779816486</v>
      </c>
      <c r="V51" s="13">
        <f>V35/3600*( [1]!Enthalpy("carbon dioxide","TP","SI",V9+273.15,V23)- [1]!Enthalpy("carbon dioxide","TP","SI",V8+273.15,V22))*1000</f>
        <v>2070.7278035201803</v>
      </c>
      <c r="W51" s="13">
        <f>W35/3600*( [1]!Enthalpy("carbon dioxide","TP","SI",W9+273.15,W23)- [1]!Enthalpy("carbon dioxide","TP","SI",W8+273.15,W22))*1000</f>
        <v>2087.7809364929863</v>
      </c>
      <c r="X51" s="13">
        <f>X35/3600*( [1]!Enthalpy("carbon dioxide","TP","SI",X9+273.15,X23)- [1]!Enthalpy("carbon dioxide","TP","SI",X8+273.15,X22))*1000</f>
        <v>2155.1062405926173</v>
      </c>
      <c r="Y51" s="60">
        <f>Y35/3600*( [1]!Enthalpy("carbon dioxide","TP","SI",Y9+273.15,Y23)- [1]!Enthalpy("carbon dioxide","TP","SI",Y8+273.15,Y22))*1000</f>
        <v>2221.4653778738198</v>
      </c>
      <c r="Z51" s="13">
        <f>Z35/3600*( [1]!Enthalpy("carbon dioxide","TP","SI",Z9+273.15,Z23)- [1]!Enthalpy("carbon dioxide","TP","SI",Z8+273.15,Z22))*1000</f>
        <v>2249.1188878163439</v>
      </c>
      <c r="AA51" s="13" t="e">
        <f>AA35/3600*( [1]!Enthalpy("carbon dioxide","TP","SI",AA9+273.15,AA23)- [1]!Enthalpy("carbon dioxide","TP","SI",AA8+273.15,AA22))*1000</f>
        <v>#VALUE!</v>
      </c>
      <c r="AB51" s="13">
        <f>AB35/3600*( [1]!Enthalpy("carbon dioxide","TP","SI",AB9+273.15,AB23)- [1]!Enthalpy("carbon dioxide","TP","SI",AB8+273.15,AB22))*1000</f>
        <v>2224.8235266647662</v>
      </c>
      <c r="AC51" s="51">
        <f>AC35/3600*( [1]!Enthalpy("carbon dioxide","TP","SI",AC9+273.15,AC23)- [1]!Enthalpy("carbon dioxide","TP","SI",AC8+273.15,AC22))*1000</f>
        <v>2176.3023216059728</v>
      </c>
      <c r="AD51" s="13">
        <f>AD35/3600*( [1]!Enthalpy("carbon dioxide","TP","SI",AD9+273.15,AD23)- [1]!Enthalpy("carbon dioxide","TP","SI",AD8+273.15,AD22))*1000</f>
        <v>2143.3255882855851</v>
      </c>
      <c r="AE51" s="51">
        <f>AE35/3600*( [1]!Enthalpy("carbon dioxide","TP","SI",AE9+273.15,AE23)- [1]!Enthalpy("carbon dioxide","TP","SI",AE8+273.15,AE22))*1000</f>
        <v>2066.6091103626791</v>
      </c>
      <c r="AF51" s="13">
        <f>AF35/3600*( [1]!Enthalpy("carbon dioxide","TP","SI",AF9+273.15,AF23)- [1]!Enthalpy("carbon dioxide","TP","SI",AF8+273.15,AF22))*1000</f>
        <v>2111.7731740200306</v>
      </c>
      <c r="AG51" s="13">
        <f>AG35/3600*( [1]!Enthalpy("carbon dioxide","TP","SI",AG9+273.15,AG23)- [1]!Enthalpy("carbon dioxide","TP","SI",AG8+273.15,AG22))*1000</f>
        <v>2189.7575044681389</v>
      </c>
      <c r="AH51" s="37">
        <f>AH35/3600*( [1]!Enthalpy("carbon dioxide","TP","SI",AH9+273.15,AH23)- [1]!Enthalpy("carbon dioxide","TP","SI",AH8+273.15,AH22))*1000</f>
        <v>2233.252875594349</v>
      </c>
      <c r="AI51" s="13">
        <f>AI35/3600*( [1]!Enthalpy("carbon dioxide","TP","SI",AI9+273.15,AI23)- [1]!Enthalpy("carbon dioxide","TP","SI",AI8+273.15,AI22))*1000</f>
        <v>2283.2778902468981</v>
      </c>
      <c r="AJ51" s="13">
        <f>AJ35/3600*( [1]!Enthalpy("carbon dioxide","TP","SI",AJ9+273.15,AJ23)- [1]!Enthalpy("carbon dioxide","TP","SI",AJ8+273.15,AJ22))*1000</f>
        <v>2769.2880136020904</v>
      </c>
      <c r="AK51" s="37">
        <f>AK35/3600*( [1]!Enthalpy("carbon dioxide","TP","SI",AK9+273.15,AK23)- [1]!Enthalpy("carbon dioxide","TP","SI",AK8+273.15,AK22))*1000</f>
        <v>2232.4753720983772</v>
      </c>
      <c r="AL51" s="13">
        <f>AL35/3600*( [1]!Enthalpy("carbon dioxide","TP","SI",AL9+273.15,AL23)- [1]!Enthalpy("carbon dioxide","TP","SI",AL8+273.15,AL22))*1000</f>
        <v>2275.9851063204605</v>
      </c>
      <c r="AM51" s="13">
        <f>AM35/3600*( [1]!Enthalpy("carbon dioxide","TP","SI",AM9+273.15,AM23)- [1]!Enthalpy("carbon dioxide","TP","SI",AM8+273.15,AM22))*1000</f>
        <v>2187.7015394586879</v>
      </c>
      <c r="AN51" s="13">
        <f>AN35/3600*( [1]!Enthalpy("carbon dioxide","TP","SI",AN9+273.15,AN23)- [1]!Enthalpy("carbon dioxide","TP","SI",AN8+273.15,AN22))*1000</f>
        <v>2197.5987812919766</v>
      </c>
      <c r="AO51" s="37">
        <f>AO35/3600*( [1]!Enthalpy("carbon dioxide","TP","SI",AO9+273.15,AO23)- [1]!Enthalpy("carbon dioxide","TP","SI",AO8+273.15,AO22))*1000</f>
        <v>2229.3803049523131</v>
      </c>
      <c r="AP51" s="13">
        <f>AP35/3600*( [1]!Enthalpy("carbon dioxide","TP","SI",AP9+273.15,AP23)- [1]!Enthalpy("carbon dioxide","TP","SI",AP8+273.15,AP22))*1000</f>
        <v>2290.8115848652628</v>
      </c>
      <c r="AQ51" s="13">
        <f>AQ35/3600*( [1]!Enthalpy("carbon dioxide","TP","SI",AQ9+273.15,AQ23)- [1]!Enthalpy("carbon dioxide","TP","SI",AQ8+273.15,AQ22))*1000</f>
        <v>2291.1834337886535</v>
      </c>
      <c r="AR51" s="13">
        <f>AR35/3600*( [1]!Enthalpy("carbon dioxide","TP","SI",AR9+273.15,AR23)- [1]!Enthalpy("carbon dioxide","TP","SI",AR8+273.15,AR22))*1000</f>
        <v>2385.5892022927392</v>
      </c>
      <c r="AS51" s="13"/>
      <c r="AT51" s="13"/>
      <c r="AU51" s="13"/>
    </row>
    <row r="52" spans="1:47" x14ac:dyDescent="0.25">
      <c r="A52" s="87"/>
      <c r="B52" s="13" t="s">
        <v>84</v>
      </c>
      <c r="C52" s="60">
        <f>C35/3600*1000*( [1]!Enthalpy("carbon dioxide","PS","SI",C23, [1]!Entropy("carbon dioxide","TP","SI",C8+273.15,C22))- [1]!Enthalpy("carbon dioxide","TP","SI",C8+273.15,C22))</f>
        <v>1586.6619402352935</v>
      </c>
      <c r="D52" s="67">
        <f>D35/3600*1000*( [1]!Enthalpy("carbon dioxide","PS","SI",D23, [1]!Entropy("carbon dioxide","TP","SI",D8+273.15,D22))- [1]!Enthalpy("carbon dioxide","TP","SI",D8+273.15,D22))</f>
        <v>1539.259177016798</v>
      </c>
      <c r="E52" s="13">
        <f>E35/3600*1000*( [1]!Enthalpy("carbon dioxide","PS","SI",E23, [1]!Entropy("carbon dioxide","TP","SI",E8+273.15,E22))- [1]!Enthalpy("carbon dioxide","TP","SI",E8+273.15,E22))</f>
        <v>1715.5376482748843</v>
      </c>
      <c r="F52" s="13">
        <f>F35/3600*1000*( [1]!Enthalpy("carbon dioxide","PS","SI",F23, [1]!Entropy("carbon dioxide","TP","SI",F8+273.15,F22))- [1]!Enthalpy("carbon dioxide","TP","SI",F8+273.15,F22))</f>
        <v>1720.2253087701388</v>
      </c>
      <c r="G52" s="60">
        <f>G35/3600*1000*( [1]!Enthalpy("carbon dioxide","PS","SI",G23, [1]!Entropy("carbon dioxide","TP","SI",G8+273.15,G22))- [1]!Enthalpy("carbon dioxide","TP","SI",G8+273.15,G22))</f>
        <v>1707.2993565225913</v>
      </c>
      <c r="H52" s="13">
        <f>H35/3600*1000*( [1]!Enthalpy("carbon dioxide","PS","SI",H23, [1]!Entropy("carbon dioxide","TP","SI",H8+273.15,H22))- [1]!Enthalpy("carbon dioxide","TP","SI",H8+273.15,H22))</f>
        <v>1744.3792670723783</v>
      </c>
      <c r="I52" s="13">
        <f>I35/3600*1000*( [1]!Enthalpy("carbon dioxide","PS","SI",I23, [1]!Entropy("carbon dioxide","TP","SI",I8+273.15,I22))- [1]!Enthalpy("carbon dioxide","TP","SI",I8+273.15,I22))</f>
        <v>1722.0173212937859</v>
      </c>
      <c r="J52" s="13">
        <f>J35/3600*1000*( [1]!Enthalpy("carbon dioxide","PS","SI",J23, [1]!Entropy("carbon dioxide","TP","SI",J8+273.15,J22))- [1]!Enthalpy("carbon dioxide","TP","SI",J8+273.15,J22))</f>
        <v>1739.4788489090463</v>
      </c>
      <c r="K52" s="13">
        <f>K35/3600*1000*( [1]!Enthalpy("carbon dioxide","PS","SI",K23, [1]!Entropy("carbon dioxide","TP","SI",K8+273.15,K22))- [1]!Enthalpy("carbon dioxide","TP","SI",K8+273.15,K22))</f>
        <v>1736.6188354795127</v>
      </c>
      <c r="L52" s="67">
        <f>L35/3600*1000*( [1]!Enthalpy("carbon dioxide","PS","SI",L23, [1]!Entropy("carbon dioxide","TP","SI",L8+273.15,L22))- [1]!Enthalpy("carbon dioxide","TP","SI",L8+273.15,L22))</f>
        <v>1737.752352748746</v>
      </c>
      <c r="M52" s="13">
        <f>M35/3600*1000*( [1]!Enthalpy("carbon dioxide","PS","SI",M23, [1]!Entropy("carbon dioxide","TP","SI",M8+273.15,M22))- [1]!Enthalpy("carbon dioxide","TP","SI",M8+273.15,M22))</f>
        <v>1737.9390993042414</v>
      </c>
      <c r="N52" s="13">
        <f>N35/3600*1000*( [1]!Enthalpy("carbon dioxide","PS","SI",N23, [1]!Entropy("carbon dioxide","TP","SI",N8+273.15,N22))- [1]!Enthalpy("carbon dioxide","TP","SI",N8+273.15,N22))</f>
        <v>1704.0872945073888</v>
      </c>
      <c r="O52" s="13">
        <f>O35/3600*1000*( [1]!Enthalpy("carbon dioxide","PS","SI",O23, [1]!Entropy("carbon dioxide","TP","SI",O8+273.15,O22))- [1]!Enthalpy("carbon dioxide","TP","SI",O8+273.15,O22))</f>
        <v>1677.9295134178431</v>
      </c>
      <c r="P52" s="13">
        <f>P35/3600*1000*( [1]!Enthalpy("carbon dioxide","PS","SI",P23, [1]!Entropy("carbon dioxide","TP","SI",P8+273.15,P22))- [1]!Enthalpy("carbon dioxide","TP","SI",P8+273.15,P22))</f>
        <v>1731.1412704715735</v>
      </c>
      <c r="Q52" s="60">
        <f>Q35/3600*1000*( [1]!Enthalpy("carbon dioxide","PS","SI",Q23, [1]!Entropy("carbon dioxide","TP","SI",Q8+273.15,Q22))- [1]!Enthalpy("carbon dioxide","TP","SI",Q8+273.15,Q22))</f>
        <v>1714.4517359092861</v>
      </c>
      <c r="R52" s="13">
        <f>R35/3600*1000*( [1]!Enthalpy("carbon dioxide","PS","SI",R23, [1]!Entropy("carbon dioxide","TP","SI",R8+273.15,R22))- [1]!Enthalpy("carbon dioxide","TP","SI",R8+273.15,R22))</f>
        <v>1873.3867782227644</v>
      </c>
      <c r="S52" s="13">
        <f>S35/3600*1000*( [1]!Enthalpy("carbon dioxide","PS","SI",S23, [1]!Entropy("carbon dioxide","TP","SI",S8+273.15,S22))- [1]!Enthalpy("carbon dioxide","TP","SI",S8+273.15,S22))</f>
        <v>1847.5539671162433</v>
      </c>
      <c r="T52" s="13">
        <f>T35/3600*1000*( [1]!Enthalpy("carbon dioxide","PS","SI",T23, [1]!Entropy("carbon dioxide","TP","SI",T8+273.15,T22))- [1]!Enthalpy("carbon dioxide","TP","SI",T8+273.15,T22))</f>
        <v>1821.0026214280183</v>
      </c>
      <c r="U52" s="29">
        <f>U35/3600*1000*( [1]!Enthalpy("carbon dioxide","PS","SI",U23, [1]!Entropy("carbon dioxide","TP","SI",U8+273.15,U22))- [1]!Enthalpy("carbon dioxide","TP","SI",U8+273.15,U22))</f>
        <v>1799.9230874955108</v>
      </c>
      <c r="V52" s="13">
        <f>V35/3600*1000*( [1]!Enthalpy("carbon dioxide","PS","SI",V23, [1]!Entropy("carbon dioxide","TP","SI",V8+273.15,V22))- [1]!Enthalpy("carbon dioxide","TP","SI",V8+273.15,V22))</f>
        <v>1790.8943708538479</v>
      </c>
      <c r="W52" s="13">
        <f>W35/3600*1000*( [1]!Enthalpy("carbon dioxide","PS","SI",W23, [1]!Entropy("carbon dioxide","TP","SI",W8+273.15,W22))- [1]!Enthalpy("carbon dioxide","TP","SI",W8+273.15,W22))</f>
        <v>1640.6867828482423</v>
      </c>
      <c r="X52" s="13">
        <f>X35/3600*1000*( [1]!Enthalpy("carbon dioxide","PS","SI",X23, [1]!Entropy("carbon dioxide","TP","SI",X8+273.15,X22))- [1]!Enthalpy("carbon dioxide","TP","SI",X8+273.15,X22))</f>
        <v>1679.9854396967164</v>
      </c>
      <c r="Y52" s="60">
        <f>Y35/3600*1000*( [1]!Enthalpy("carbon dioxide","PS","SI",Y23, [1]!Entropy("carbon dioxide","TP","SI",Y8+273.15,Y22))- [1]!Enthalpy("carbon dioxide","TP","SI",Y8+273.15,Y22))</f>
        <v>1702.6415184479736</v>
      </c>
      <c r="Z52" s="13">
        <f>Z35/3600*1000*( [1]!Enthalpy("carbon dioxide","PS","SI",Z23, [1]!Entropy("carbon dioxide","TP","SI",Z8+273.15,Z22))- [1]!Enthalpy("carbon dioxide","TP","SI",Z8+273.15,Z22))</f>
        <v>1714.0423481460289</v>
      </c>
      <c r="AA52" s="13" t="e">
        <f>AA35/3600*1000*( [1]!Enthalpy("carbon dioxide","PS","SI",AA23, [1]!Entropy("carbon dioxide","TP","SI",AA8+273.15,AA22))- [1]!Enthalpy("carbon dioxide","TP","SI",AA8+273.15,AA22))</f>
        <v>#VALUE!</v>
      </c>
      <c r="AB52" s="13">
        <f>AB35/3600*1000*( [1]!Enthalpy("carbon dioxide","PS","SI",AB23, [1]!Entropy("carbon dioxide","TP","SI",AB8+273.15,AB22))- [1]!Enthalpy("carbon dioxide","TP","SI",AB8+273.15,AB22))</f>
        <v>1785.8083690209528</v>
      </c>
      <c r="AC52" s="51">
        <f>AC35/3600*1000*( [1]!Enthalpy("carbon dioxide","PS","SI",AC23, [1]!Entropy("carbon dioxide","TP","SI",AC8+273.15,AC22))- [1]!Enthalpy("carbon dioxide","TP","SI",AC8+273.15,AC22))</f>
        <v>1769.654450027039</v>
      </c>
      <c r="AD52" s="13">
        <f>AD35/3600*1000*( [1]!Enthalpy("carbon dioxide","PS","SI",AD23, [1]!Entropy("carbon dioxide","TP","SI",AD8+273.15,AD22))- [1]!Enthalpy("carbon dioxide","TP","SI",AD8+273.15,AD22))</f>
        <v>1761.5060958230881</v>
      </c>
      <c r="AE52" s="51">
        <f>AE35/3600*1000*( [1]!Enthalpy("carbon dioxide","PS","SI",AE23, [1]!Entropy("carbon dioxide","TP","SI",AE8+273.15,AE22))- [1]!Enthalpy("carbon dioxide","TP","SI",AE8+273.15,AE22))</f>
        <v>1805.6924729729571</v>
      </c>
      <c r="AF52" s="13">
        <f>AF35/3600*1000*( [1]!Enthalpy("carbon dioxide","PS","SI",AF23, [1]!Entropy("carbon dioxide","TP","SI",AF8+273.15,AF22))- [1]!Enthalpy("carbon dioxide","TP","SI",AF8+273.15,AF22))</f>
        <v>1645.7715314655882</v>
      </c>
      <c r="AG52" s="13">
        <f>AG35/3600*1000*( [1]!Enthalpy("carbon dioxide","PS","SI",AG23, [1]!Entropy("carbon dioxide","TP","SI",AG8+273.15,AG22))- [1]!Enthalpy("carbon dioxide","TP","SI",AG8+273.15,AG22))</f>
        <v>1677.3873152146432</v>
      </c>
      <c r="AH52" s="37">
        <f>AH35/3600*1000*( [1]!Enthalpy("carbon dioxide","PS","SI",AH23, [1]!Entropy("carbon dioxide","TP","SI",AH8+273.15,AH22))- [1]!Enthalpy("carbon dioxide","TP","SI",AH8+273.15,AH22))</f>
        <v>1687.675248496417</v>
      </c>
      <c r="AI52" s="13">
        <f>AI35/3600*1000*( [1]!Enthalpy("carbon dioxide","PS","SI",AI23, [1]!Entropy("carbon dioxide","TP","SI",AI8+273.15,AI22))- [1]!Enthalpy("carbon dioxide","TP","SI",AI8+273.15,AI22))</f>
        <v>1710.9505278067081</v>
      </c>
      <c r="AJ52" s="13">
        <f>AJ35/3600*1000*( [1]!Enthalpy("carbon dioxide","PS","SI",AJ23, [1]!Entropy("carbon dioxide","TP","SI",AJ8+273.15,AJ22))- [1]!Enthalpy("carbon dioxide","TP","SI",AJ8+273.15,AJ22))</f>
        <v>1859.345065962548</v>
      </c>
      <c r="AK52" s="37">
        <f>AK35/3600*1000*( [1]!Enthalpy("carbon dioxide","PS","SI",AK23, [1]!Entropy("carbon dioxide","TP","SI",AK8+273.15,AK22))- [1]!Enthalpy("carbon dioxide","TP","SI",AK8+273.15,AK22))</f>
        <v>1650.7926704029055</v>
      </c>
      <c r="AL52" s="13">
        <f>AL35/3600*1000*( [1]!Enthalpy("carbon dioxide","PS","SI",AL23, [1]!Entropy("carbon dioxide","TP","SI",AL8+273.15,AL22))- [1]!Enthalpy("carbon dioxide","TP","SI",AL8+273.15,AL22))</f>
        <v>1666.0833169712964</v>
      </c>
      <c r="AM52" s="13">
        <f>AM35/3600*1000*( [1]!Enthalpy("carbon dioxide","PS","SI",AM23, [1]!Entropy("carbon dioxide","TP","SI",AM8+273.15,AM22))- [1]!Enthalpy("carbon dioxide","TP","SI",AM8+273.15,AM22))</f>
        <v>1635.1974751026994</v>
      </c>
      <c r="AN52" s="13">
        <f>AN35/3600*1000*( [1]!Enthalpy("carbon dioxide","PS","SI",AN23, [1]!Entropy("carbon dioxide","TP","SI",AN8+273.15,AN22))- [1]!Enthalpy("carbon dioxide","TP","SI",AN8+273.15,AN22))</f>
        <v>1652.9295806215046</v>
      </c>
      <c r="AO52" s="37">
        <f>AO35/3600*1000*( [1]!Enthalpy("carbon dioxide","PS","SI",AO23, [1]!Entropy("carbon dioxide","TP","SI",AO8+273.15,AO22))- [1]!Enthalpy("carbon dioxide","TP","SI",AO8+273.15,AO22))</f>
        <v>1681.6091969632901</v>
      </c>
      <c r="AP52" s="13">
        <f>AP35/3600*1000*( [1]!Enthalpy("carbon dioxide","PS","SI",AP23, [1]!Entropy("carbon dioxide","TP","SI",AP8+273.15,AP22))- [1]!Enthalpy("carbon dioxide","TP","SI",AP8+273.15,AP22))</f>
        <v>1676.264185544929</v>
      </c>
      <c r="AQ52" s="13">
        <f>AQ35/3600*1000*( [1]!Enthalpy("carbon dioxide","PS","SI",AQ23, [1]!Entropy("carbon dioxide","TP","SI",AQ8+273.15,AQ22))- [1]!Enthalpy("carbon dioxide","TP","SI",AQ8+273.15,AQ22))</f>
        <v>1728.4777200695246</v>
      </c>
      <c r="AR52" s="13">
        <f>AR35/3600*1000*( [1]!Enthalpy("carbon dioxide","PS","SI",AR23, [1]!Entropy("carbon dioxide","TP","SI",AR8+273.15,AR22))- [1]!Enthalpy("carbon dioxide","TP","SI",AR8+273.15,AR22))</f>
        <v>1736.8156013968353</v>
      </c>
      <c r="AS52" s="13"/>
      <c r="AT52" s="13"/>
      <c r="AU52" s="13"/>
    </row>
    <row r="53" spans="1:47" x14ac:dyDescent="0.25">
      <c r="A53" s="87"/>
      <c r="B53" s="13" t="s">
        <v>58</v>
      </c>
      <c r="C53" s="60">
        <f>C23/C22</f>
        <v>2.9214285714285717</v>
      </c>
      <c r="D53" s="67">
        <f t="shared" ref="D53:E53" si="27">D23/D22</f>
        <v>3.4039999999999999</v>
      </c>
      <c r="E53" s="13">
        <f t="shared" si="27"/>
        <v>2.7388535031847132</v>
      </c>
      <c r="F53" s="13">
        <f>F23/F22</f>
        <v>3.0437710437710432</v>
      </c>
      <c r="G53" s="60">
        <f>G23/G22</f>
        <v>2.9114754098360658</v>
      </c>
      <c r="H53" s="13">
        <f>H23/H22</f>
        <v>3.3561643835616444</v>
      </c>
      <c r="I53" s="13">
        <f t="shared" ref="I53:J53" si="28">I23/I22</f>
        <v>3.4517241379310346</v>
      </c>
      <c r="J53" s="13">
        <f t="shared" si="28"/>
        <v>3.2619047619047619</v>
      </c>
      <c r="K53" s="13">
        <f t="shared" ref="K53:AA53" si="29">K23/K22</f>
        <v>3.1304347826086953</v>
      </c>
      <c r="L53" s="67">
        <f t="shared" si="29"/>
        <v>3.0463576158940393</v>
      </c>
      <c r="M53" s="13">
        <f t="shared" si="29"/>
        <v>2.9253246753246751</v>
      </c>
      <c r="N53" s="13">
        <f t="shared" si="29"/>
        <v>2.7704402515723272</v>
      </c>
      <c r="O53" s="13">
        <f t="shared" si="29"/>
        <v>2.6358024691358022</v>
      </c>
      <c r="P53" s="13">
        <f t="shared" si="29"/>
        <v>2.8698412698412699</v>
      </c>
      <c r="Q53" s="69">
        <f t="shared" si="29"/>
        <v>2.8291139240506324</v>
      </c>
      <c r="R53" s="13">
        <f t="shared" si="29"/>
        <v>3.3555555555555556</v>
      </c>
      <c r="S53" s="13">
        <f t="shared" si="29"/>
        <v>3.2076677316293929</v>
      </c>
      <c r="T53" s="13">
        <f t="shared" si="29"/>
        <v>3.0990415335463259</v>
      </c>
      <c r="U53" s="29">
        <f t="shared" si="29"/>
        <v>3.0222929936305731</v>
      </c>
      <c r="V53" s="13">
        <f t="shared" si="29"/>
        <v>2.962025316455696</v>
      </c>
      <c r="W53" s="13">
        <f t="shared" si="29"/>
        <v>2.5950920245398779</v>
      </c>
      <c r="X53" s="13">
        <f t="shared" si="29"/>
        <v>2.7570977917981074</v>
      </c>
      <c r="Y53" s="60">
        <f t="shared" si="29"/>
        <v>2.8439490445859872</v>
      </c>
      <c r="Z53" s="13">
        <f t="shared" si="29"/>
        <v>2.9070512820512819</v>
      </c>
      <c r="AA53" s="13" t="e">
        <f t="shared" si="29"/>
        <v>#DIV/0!</v>
      </c>
      <c r="AB53" s="13">
        <f t="shared" ref="AB53:AF53" si="30">AB23/AB22</f>
        <v>3.1025641025641022</v>
      </c>
      <c r="AC53" s="51">
        <f t="shared" si="30"/>
        <v>3.0480769230769229</v>
      </c>
      <c r="AD53" s="13">
        <f t="shared" si="30"/>
        <v>3</v>
      </c>
      <c r="AE53" s="51">
        <f t="shared" si="30"/>
        <v>3.0031249999999998</v>
      </c>
      <c r="AF53" s="13">
        <f t="shared" si="30"/>
        <v>2.5787878787878791</v>
      </c>
      <c r="AG53" s="13">
        <f t="shared" ref="AG53:AI53" si="31">AG23/AG22</f>
        <v>2.7204968944099375</v>
      </c>
      <c r="AH53" s="37">
        <f t="shared" si="31"/>
        <v>2.7968749999999996</v>
      </c>
      <c r="AI53" s="13">
        <f t="shared" si="31"/>
        <v>2.8742138364779874</v>
      </c>
      <c r="AJ53" s="13">
        <f>AJ23/AJ22</f>
        <v>3.5323076923076924</v>
      </c>
      <c r="AK53" s="60">
        <f t="shared" ref="AK53:AR53" si="32">AK23/AK22</f>
        <v>2.7507788161993769</v>
      </c>
      <c r="AL53" s="13">
        <f t="shared" si="32"/>
        <v>2.8144654088050309</v>
      </c>
      <c r="AM53" s="13">
        <f t="shared" si="32"/>
        <v>2.6299694189602447</v>
      </c>
      <c r="AN53" s="13">
        <f t="shared" si="32"/>
        <v>2.5756676557863498</v>
      </c>
      <c r="AO53" s="60">
        <f t="shared" si="32"/>
        <v>2.6808510638297873</v>
      </c>
      <c r="AP53" s="13">
        <f t="shared" si="32"/>
        <v>2.7753846153846151</v>
      </c>
      <c r="AQ53" s="13">
        <f t="shared" si="32"/>
        <v>2.7824773413897281</v>
      </c>
      <c r="AR53" s="13">
        <f t="shared" si="32"/>
        <v>2.9386503067484666</v>
      </c>
      <c r="AS53" s="13"/>
      <c r="AT53" s="13"/>
      <c r="AU53" s="13"/>
    </row>
    <row r="54" spans="1:47" x14ac:dyDescent="0.25">
      <c r="A54" s="87"/>
      <c r="B54" s="13" t="s">
        <v>85</v>
      </c>
      <c r="C54" s="60">
        <f>C51/C41</f>
        <v>0.85929478418738026</v>
      </c>
      <c r="D54" s="67">
        <f t="shared" ref="D54:E54" si="33">D51/D41</f>
        <v>0.86556971188440746</v>
      </c>
      <c r="E54" s="13">
        <f t="shared" si="33"/>
        <v>0.85146533849276962</v>
      </c>
      <c r="F54" s="13">
        <f>F51/F41</f>
        <v>0.8616620117777346</v>
      </c>
      <c r="G54" s="60">
        <f>G51/G41</f>
        <v>0.85611295251183173</v>
      </c>
      <c r="H54" s="13">
        <f>H51/H41</f>
        <v>0.85442575338471338</v>
      </c>
      <c r="I54" s="13">
        <f t="shared" ref="I54:J54" si="34">I51/I41</f>
        <v>0.85556741921739399</v>
      </c>
      <c r="J54" s="13">
        <f t="shared" si="34"/>
        <v>0.85443057564582614</v>
      </c>
      <c r="K54" s="13">
        <f t="shared" ref="K54:AA54" si="35">K51/K41</f>
        <v>0.8471486266425089</v>
      </c>
      <c r="L54" s="67">
        <f t="shared" si="35"/>
        <v>0.83930650962446296</v>
      </c>
      <c r="M54" s="13">
        <f t="shared" si="35"/>
        <v>0.81898186071073942</v>
      </c>
      <c r="N54" s="13">
        <f t="shared" si="35"/>
        <v>0.86307656551516876</v>
      </c>
      <c r="O54" s="13">
        <f t="shared" si="35"/>
        <v>0.86103595182217085</v>
      </c>
      <c r="P54" s="13">
        <f t="shared" si="35"/>
        <v>0.86464922186274529</v>
      </c>
      <c r="Q54" s="69">
        <f t="shared" si="35"/>
        <v>0.85948476064616508</v>
      </c>
      <c r="R54" s="13">
        <f t="shared" si="35"/>
        <v>0.78357877998159431</v>
      </c>
      <c r="S54" s="13">
        <f t="shared" si="35"/>
        <v>0.78555522432775959</v>
      </c>
      <c r="T54" s="13">
        <f t="shared" si="35"/>
        <v>0.77704462102013605</v>
      </c>
      <c r="U54" s="29">
        <f t="shared" si="35"/>
        <v>0.76913434051321961</v>
      </c>
      <c r="V54" s="13">
        <f t="shared" si="35"/>
        <v>0.75976070574946997</v>
      </c>
      <c r="W54" s="13">
        <f t="shared" si="35"/>
        <v>0.8645055637652117</v>
      </c>
      <c r="X54" s="13">
        <f t="shared" si="35"/>
        <v>0.8557102404576602</v>
      </c>
      <c r="Y54" s="60">
        <f t="shared" si="35"/>
        <v>0.8701392001072541</v>
      </c>
      <c r="Z54" s="13">
        <f t="shared" si="35"/>
        <v>0.86922469094351451</v>
      </c>
      <c r="AA54" s="13" t="e">
        <f t="shared" si="35"/>
        <v>#VALUE!</v>
      </c>
      <c r="AB54" s="13">
        <f t="shared" ref="AB54:AF54" si="36">AB51/AB41</f>
        <v>0.79614368461791596</v>
      </c>
      <c r="AC54" s="51">
        <f t="shared" si="36"/>
        <v>0.79347454985178112</v>
      </c>
      <c r="AD54" s="13">
        <f t="shared" si="36"/>
        <v>0.78639720722274264</v>
      </c>
      <c r="AE54" s="51">
        <f t="shared" si="36"/>
        <v>0.74877141679807213</v>
      </c>
      <c r="AF54" s="13">
        <f t="shared" si="36"/>
        <v>0.87444023768945367</v>
      </c>
      <c r="AG54" s="13">
        <f t="shared" ref="AG54:AI54" si="37">AG51/AG41</f>
        <v>0.86946893169272932</v>
      </c>
      <c r="AH54" s="37">
        <f t="shared" si="37"/>
        <v>0.87475631633151152</v>
      </c>
      <c r="AI54" s="13">
        <f t="shared" si="37"/>
        <v>0.87081536622688716</v>
      </c>
      <c r="AJ54" s="13">
        <f>AJ51/AJ41</f>
        <v>0.83613768526633159</v>
      </c>
      <c r="AK54" s="60">
        <f t="shared" ref="AK54:AR54" si="38">AK51/AK41</f>
        <v>0.88643056267555176</v>
      </c>
      <c r="AL54" s="13">
        <f t="shared" si="38"/>
        <v>0.89149436205266763</v>
      </c>
      <c r="AM54" s="13">
        <f t="shared" si="38"/>
        <v>0.89312167358999306</v>
      </c>
      <c r="AN54" s="13">
        <f t="shared" si="38"/>
        <v>0.88470160277454779</v>
      </c>
      <c r="AO54" s="60">
        <f t="shared" si="38"/>
        <v>0.88520162991952078</v>
      </c>
      <c r="AP54" s="13">
        <f t="shared" si="38"/>
        <v>0.88533781057594696</v>
      </c>
      <c r="AQ54" s="13">
        <f t="shared" si="38"/>
        <v>0.86248200029687694</v>
      </c>
      <c r="AR54" s="13">
        <f t="shared" si="38"/>
        <v>0.86434391387418086</v>
      </c>
      <c r="AS54" s="13"/>
      <c r="AT54" s="13"/>
      <c r="AU54" s="13"/>
    </row>
    <row r="55" spans="1:47" s="43" customFormat="1" x14ac:dyDescent="0.25">
      <c r="A55" s="87"/>
      <c r="B55" s="41" t="s">
        <v>86</v>
      </c>
      <c r="C55" s="60">
        <f t="shared" ref="C55:E55" si="39">C52/C51</f>
        <v>0.78707156168580639</v>
      </c>
      <c r="D55" s="67">
        <f t="shared" si="39"/>
        <v>0.73636402899706888</v>
      </c>
      <c r="E55" s="41">
        <f t="shared" si="39"/>
        <v>0.81111360954135348</v>
      </c>
      <c r="F55" s="41">
        <f>F52/F51</f>
        <v>0.77155702152689587</v>
      </c>
      <c r="G55" s="60">
        <f>G52/G51</f>
        <v>0.78113805157314209</v>
      </c>
      <c r="H55" s="41">
        <f>H52/H51</f>
        <v>0.72166166953911459</v>
      </c>
      <c r="I55" s="41">
        <f t="shared" ref="I55:J55" si="40">I52/I51</f>
        <v>0.70288793741292643</v>
      </c>
      <c r="J55" s="41">
        <f t="shared" si="40"/>
        <v>0.73762102821903286</v>
      </c>
      <c r="K55" s="41">
        <f t="shared" ref="K55:AA55" si="41">K52/K51</f>
        <v>0.76178286235146686</v>
      </c>
      <c r="L55" s="67">
        <f t="shared" si="41"/>
        <v>0.77939474528619879</v>
      </c>
      <c r="M55" s="41">
        <f t="shared" si="41"/>
        <v>0.80933362400608821</v>
      </c>
      <c r="N55" s="41">
        <f t="shared" si="41"/>
        <v>0.78397201197275246</v>
      </c>
      <c r="O55" s="41">
        <f t="shared" si="41"/>
        <v>0.7955637455705723</v>
      </c>
      <c r="P55" s="41">
        <f t="shared" si="41"/>
        <v>0.77377055066185019</v>
      </c>
      <c r="Q55" s="73">
        <f t="shared" si="41"/>
        <v>0.78133318135481222</v>
      </c>
      <c r="R55" s="41">
        <f t="shared" si="41"/>
        <v>0.77863815746926279</v>
      </c>
      <c r="S55" s="41">
        <f t="shared" si="41"/>
        <v>0.81156261086284198</v>
      </c>
      <c r="T55" s="41">
        <f t="shared" si="41"/>
        <v>0.83861089161417024</v>
      </c>
      <c r="U55" s="74">
        <f t="shared" si="41"/>
        <v>0.84789615005210761</v>
      </c>
      <c r="V55" s="44">
        <f t="shared" si="41"/>
        <v>0.86486228069637006</v>
      </c>
      <c r="W55" s="41">
        <f t="shared" si="41"/>
        <v>0.78585198004740664</v>
      </c>
      <c r="X55" s="41">
        <f t="shared" si="41"/>
        <v>0.77953717921337795</v>
      </c>
      <c r="Y55" s="75">
        <f t="shared" si="41"/>
        <v>0.76644972071434392</v>
      </c>
      <c r="Z55" s="41">
        <f t="shared" si="41"/>
        <v>0.76209503972028014</v>
      </c>
      <c r="AA55" s="41" t="e">
        <f t="shared" si="41"/>
        <v>#VALUE!</v>
      </c>
      <c r="AB55" s="41">
        <f t="shared" ref="AB55:AF55" si="42">AB52/AB51</f>
        <v>0.80267416611602393</v>
      </c>
      <c r="AC55" s="52">
        <f t="shared" si="42"/>
        <v>0.81314734283844647</v>
      </c>
      <c r="AD55" s="41">
        <f t="shared" si="42"/>
        <v>0.82185651375164659</v>
      </c>
      <c r="AE55" s="74">
        <f t="shared" si="42"/>
        <v>0.87374649802838988</v>
      </c>
      <c r="AF55" s="41">
        <f t="shared" si="42"/>
        <v>0.77933158338812081</v>
      </c>
      <c r="AG55" s="41">
        <f t="shared" ref="AG55:AR55" si="43">AG52/AG51</f>
        <v>0.76601510066387779</v>
      </c>
      <c r="AH55" s="42">
        <f t="shared" si="43"/>
        <v>0.75570270923630445</v>
      </c>
      <c r="AI55" s="41">
        <f t="shared" si="43"/>
        <v>0.74933959423646745</v>
      </c>
      <c r="AJ55" s="13">
        <f t="shared" si="43"/>
        <v>0.67141628347426596</v>
      </c>
      <c r="AK55" s="60">
        <f t="shared" si="43"/>
        <v>0.73944496366437895</v>
      </c>
      <c r="AL55" s="13">
        <f t="shared" si="43"/>
        <v>0.73202733723720181</v>
      </c>
      <c r="AM55" s="13">
        <f t="shared" si="43"/>
        <v>0.74744998145738983</v>
      </c>
      <c r="AN55" s="13">
        <f t="shared" si="43"/>
        <v>0.75215257429736149</v>
      </c>
      <c r="AO55" s="60">
        <f t="shared" si="43"/>
        <v>0.75429445269063689</v>
      </c>
      <c r="AP55" s="13">
        <f t="shared" si="43"/>
        <v>0.73173376484540553</v>
      </c>
      <c r="AQ55" s="13">
        <f t="shared" si="43"/>
        <v>0.75440390087464526</v>
      </c>
      <c r="AR55" s="13">
        <f t="shared" si="43"/>
        <v>0.72804471102049706</v>
      </c>
      <c r="AS55" s="41"/>
      <c r="AT55" s="41"/>
      <c r="AU55" s="41"/>
    </row>
    <row r="56" spans="1:47" x14ac:dyDescent="0.25">
      <c r="A56" s="87"/>
      <c r="B56" s="13" t="s">
        <v>87</v>
      </c>
      <c r="C56" s="60">
        <f>C35/((C33*5.8/1000000)*60*[1]!Density("carbon dioxide","TP","SI",C8+273.15,C22))</f>
        <v>0.97336851722076123</v>
      </c>
      <c r="D56" s="67">
        <f>D35/((D33*5.8/1000000)*60* [1]!Density("carbon dioxide","TP","SI",D8+273.15,D22))</f>
        <v>0.9096067641862231</v>
      </c>
      <c r="E56" s="13">
        <f>E35/((E33*5.8/1000000)*60* [1]!Density("carbon dioxide","TP","SI",E8+273.15,E22))</f>
        <v>1.0047626369654525</v>
      </c>
      <c r="F56" s="13">
        <f>F35/((F33*5.8/1000000)*60* [1]!Density("carbon dioxide","TP","SI",F8+273.15,F22))</f>
        <v>0.95302573156103498</v>
      </c>
      <c r="G56" s="60">
        <f>G35/((G33*5.8/1000000)*60* [1]!Density("carbon dioxide","TP","SI",G8+273.15,G22))</f>
        <v>0.96404500041475727</v>
      </c>
      <c r="H56" s="13">
        <f>H35/((H33*5.8/1000000)*60* [1]!Density("carbon dioxide","TP","SI",H8+273.15,H22))</f>
        <v>0.89249589792881079</v>
      </c>
      <c r="I56" s="13">
        <f>I35/((I33*5.8/1000000)*60* [1]!Density("carbon dioxide","TP","SI",I8+273.15,I22))</f>
        <v>0.86427448361455617</v>
      </c>
      <c r="J56" s="13">
        <f>J35/((J33*5.8/1000000)*60* [1]!Density("carbon dioxide","TP","SI",J8+273.15,J22))</f>
        <v>0.90818653933211646</v>
      </c>
      <c r="K56" s="13">
        <f>K35/((K33*5.8/1000000)*60* [1]!Density("carbon dioxide","TP","SI",K8+273.15,K22))</f>
        <v>0.92794456550814575</v>
      </c>
      <c r="L56" s="67">
        <f>L35/((L33*5.8/1000000)*60* [1]!Density("carbon dioxide","TP","SI",L8+273.15,L22))</f>
        <v>0.9447132798580482</v>
      </c>
      <c r="M56" s="13">
        <f>M35/((M33*5.8/1000000)*60* [1]!Density("carbon dioxide","TP","SI",M8+273.15,M22))</f>
        <v>0.96579698825315019</v>
      </c>
      <c r="N56" s="13">
        <f>N35/((N33*5.8/1000000)*60* [1]!Density("carbon dioxide","TP","SI",N8+273.15,N22))</f>
        <v>0.97285774868138564</v>
      </c>
      <c r="O56" s="13">
        <f>O35/((O33*5.8/1000000)*60* [1]!Density("carbon dioxide","TP","SI",O8+273.15,O22))</f>
        <v>0.99408383326161298</v>
      </c>
      <c r="P56" s="13">
        <f>P35/((P33*5.8/1000000)*60* [1]!Density("carbon dioxide","TP","SI",P8+273.15,P22))</f>
        <v>0.96044566073516824</v>
      </c>
      <c r="Q56" s="60">
        <f>Q35/((Q33*5.8/1000000)*60* [1]!Density("carbon dioxide","TP","SI",Q8+273.15,Q22))</f>
        <v>0.96280937390324273</v>
      </c>
      <c r="R56" s="13">
        <f>R35/((R33*5.8/1000000)*60* [1]!Density("carbon dioxide","TP","SI",R8+273.15,R22))</f>
        <v>0.88670291656491584</v>
      </c>
      <c r="S56" s="13">
        <f>S35/((S33*5.8/1000000)*60* [1]!Density("carbon dioxide","TP","SI",S8+273.15,S22))</f>
        <v>0.91954174371176822</v>
      </c>
      <c r="T56" s="13">
        <f>T35/((T33*5.8/1000000)*60* [1]!Density("carbon dioxide","TP","SI",T8+273.15,T22))</f>
        <v>0.93800335129397638</v>
      </c>
      <c r="U56" s="29">
        <f>U35/((U33*5.8/1000000)*60* [1]!Density("carbon dioxide","TP","SI",U8+273.15,U22))</f>
        <v>0.94805172427475704</v>
      </c>
      <c r="V56" s="13">
        <f>V35/((V33*5.8/1000000)*60* [1]!Density("carbon dioxide","TP","SI",V8+273.15,V22))</f>
        <v>0.95698022796245386</v>
      </c>
      <c r="W56" s="13">
        <f>W35/((W33*5.8/1000000)*60* [1]!Density("carbon dioxide","TP","SI",W8+273.15,W22))</f>
        <v>0.98354477097296822</v>
      </c>
      <c r="X56" s="13">
        <f>X35/((X33*5.8/1000000)*60* [1]!Density("carbon dioxide","TP","SI",X8+273.15,X22))</f>
        <v>0.96729025873545216</v>
      </c>
      <c r="Y56" s="60">
        <f>Y35/((Y33*5.8/1000000)*60* [1]!Density("carbon dioxide","TP","SI",Y8+273.15,Y22))</f>
        <v>0.9569297311479309</v>
      </c>
      <c r="Z56" s="13">
        <f>Z35/((Z33*5.8/1000000)*60* [1]!Density("carbon dioxide","TP","SI",Z8+273.15,Z22))</f>
        <v>0.94718373467568606</v>
      </c>
      <c r="AA56" s="13" t="e">
        <f>AA35/((AA33*5.8/1000000)*60* [1]!Density("carbon dioxide","TP","SI",AA8+273.15,AA22))</f>
        <v>#VALUE!</v>
      </c>
      <c r="AB56" s="13">
        <f>AB35/((AB33*5.8/1000000)*60* [1]!Density("carbon dioxide","TP","SI",AB8+273.15,AB22))</f>
        <v>0.9218340497530163</v>
      </c>
      <c r="AC56" s="51">
        <f>AC35/((AC33*5.8/1000000)*60* [1]!Density("carbon dioxide","TP","SI",AC8+273.15,AC22))</f>
        <v>0.93007931255007192</v>
      </c>
      <c r="AD56" s="13">
        <f>AD35/((AD33*5.8/1000000)*60* [1]!Density("carbon dioxide","TP","SI",AD8+273.15,AD22))</f>
        <v>0.93493480670232365</v>
      </c>
      <c r="AE56" s="51">
        <f>AE35/((AE33*5.8/1000000)*60* [1]!Density("carbon dioxide","TP","SI",AE8+273.15,AE22))</f>
        <v>0.93899914448348265</v>
      </c>
      <c r="AF56" s="13">
        <f>AF35/((AF33*5.8/1000000)*60* [1]!Density("carbon dioxide","TP","SI",AF8+273.15,AF22))</f>
        <v>0.98166410851797792</v>
      </c>
      <c r="AG56" s="13">
        <f>AG35/((AG33*5.8/1000000)*60* [1]!Density("carbon dioxide","TP","SI",AG8+273.15,AG22))</f>
        <v>0.96479788556132207</v>
      </c>
      <c r="AH56" s="37">
        <f>AH35/((AH33*5.8/1000000)*60* [1]!Density("carbon dioxide","TP","SI",AH8+273.15,AH22))</f>
        <v>0.94745724596183356</v>
      </c>
      <c r="AI56" s="13">
        <f>AI35/((AI33*5.8/1000000)*60* [1]!Density("carbon dioxide","TP","SI",AI8+273.15,AI22))</f>
        <v>0.93862271006159348</v>
      </c>
      <c r="AJ56" s="13">
        <f>AJ35/((AJ33*5.8/1000000)*60* [1]!Density("carbon dioxide","TP","SI",AJ8+273.15,AJ22))</f>
        <v>0.81190787467393011</v>
      </c>
      <c r="AK56" s="37">
        <f>AK35/((AK33*5.8/1000000)*60* [1]!Density("carbon dioxide","TP","SI",AK8+273.15,AK22))</f>
        <v>0.94081224630036675</v>
      </c>
      <c r="AL56" s="13">
        <f>AL35/((AL33*5.8/1000000)*60* [1]!Density("carbon dioxide","TP","SI",AL8+273.15,AL22))</f>
        <v>0.9348510687252245</v>
      </c>
      <c r="AM56" s="13">
        <f>AM35/((AM33*5.8/1000000)*60* [1]!Density("carbon dioxide","TP","SI",AM8+273.15,AM22))</f>
        <v>0.96215781859572636</v>
      </c>
      <c r="AN56" s="13">
        <f>AN35/((AN33*5.8/1000000)*60* [1]!Density("carbon dioxide","TP","SI",AN8+273.15,AN22))</f>
        <v>0.96607197190307192</v>
      </c>
      <c r="AO56" s="37">
        <f>AO35/((AO33*5.8/1000000)*60* [1]!Density("carbon dioxide","TP","SI",AO8+273.15,AO22))</f>
        <v>0.96172795470985872</v>
      </c>
      <c r="AP56" s="13">
        <f>AP35/((AP33*5.8/1000000)*60* [1]!Density("carbon dioxide","TP","SI",AP8+273.15,AP22))</f>
        <v>0.93388341032018651</v>
      </c>
      <c r="AQ56" s="13">
        <f>AQ35/((AQ33*5.8/1000000)*60* [1]!Density("carbon dioxide","TP","SI",AQ8+273.15,AQ22))</f>
        <v>0.94199043610505862</v>
      </c>
      <c r="AR56" s="13">
        <f>AR35/((AR33*5.8/1000000)*60* [1]!Density("carbon dioxide","TP","SI",AR8+273.15,AR22))</f>
        <v>0.9065026914497849</v>
      </c>
      <c r="AS56" s="13"/>
      <c r="AT56" s="13"/>
      <c r="AU56" s="13"/>
    </row>
    <row r="57" spans="1:47" x14ac:dyDescent="0.25">
      <c r="A57" s="87"/>
      <c r="B57" s="13" t="s">
        <v>89</v>
      </c>
      <c r="C57" s="60">
        <f>C54*C55</f>
        <v>0.67632648773882931</v>
      </c>
      <c r="D57" s="67">
        <f t="shared" ref="D57:E57" si="44">D54*D55</f>
        <v>0.63737440042103433</v>
      </c>
      <c r="E57" s="13">
        <f t="shared" si="44"/>
        <v>0.69063512410422068</v>
      </c>
      <c r="F57" s="13">
        <f>F54*F55</f>
        <v>0.664821375370102</v>
      </c>
      <c r="G57" s="60">
        <f>G54*G55</f>
        <v>0.66874240365162219</v>
      </c>
      <c r="H57" s="13">
        <f>H54*H55</f>
        <v>0.61660631568482804</v>
      </c>
      <c r="I57" s="13">
        <f t="shared" ref="I57:J57" si="45">I54*I55</f>
        <v>0.60136801861141465</v>
      </c>
      <c r="J57" s="13">
        <f t="shared" si="45"/>
        <v>0.63024595974965436</v>
      </c>
      <c r="K57" s="13">
        <f t="shared" ref="K57:AA57" si="46">K54*K55</f>
        <v>0.64534330564084452</v>
      </c>
      <c r="L57" s="67">
        <f t="shared" si="46"/>
        <v>0.65415108328580684</v>
      </c>
      <c r="M57" s="13">
        <f t="shared" si="46"/>
        <v>0.66282955732427207</v>
      </c>
      <c r="N57" s="13">
        <f t="shared" si="46"/>
        <v>0.67662787155345994</v>
      </c>
      <c r="O57" s="13">
        <f t="shared" si="46"/>
        <v>0.68500898690256906</v>
      </c>
      <c r="P57" s="13">
        <f t="shared" si="46"/>
        <v>0.66904010453007667</v>
      </c>
      <c r="Q57" s="69">
        <f t="shared" si="46"/>
        <v>0.67154396236164748</v>
      </c>
      <c r="R57" s="13">
        <f t="shared" si="46"/>
        <v>0.61012433747688144</v>
      </c>
      <c r="S57" s="13">
        <f t="shared" si="46"/>
        <v>0.6375272488323821</v>
      </c>
      <c r="T57" s="13">
        <f t="shared" si="46"/>
        <v>0.65163808245769128</v>
      </c>
      <c r="U57" s="29">
        <f t="shared" si="46"/>
        <v>0.65214604619402572</v>
      </c>
      <c r="V57" s="13">
        <f t="shared" si="46"/>
        <v>0.65708837675797027</v>
      </c>
      <c r="W57" s="13">
        <f t="shared" si="46"/>
        <v>0.67937340904689114</v>
      </c>
      <c r="X57" s="13">
        <f t="shared" si="46"/>
        <v>0.66705794707036581</v>
      </c>
      <c r="Y57" s="60">
        <f t="shared" si="46"/>
        <v>0.66691794690480755</v>
      </c>
      <c r="Z57" s="13">
        <f t="shared" si="46"/>
        <v>0.66243182537044587</v>
      </c>
      <c r="AA57" s="13" t="e">
        <f t="shared" si="46"/>
        <v>#VALUE!</v>
      </c>
      <c r="AB57" s="13">
        <f t="shared" ref="AB57:AF57" si="47">AB54*AB55</f>
        <v>0.63904396815922448</v>
      </c>
      <c r="AC57" s="51">
        <f t="shared" si="47"/>
        <v>0.64521172182190822</v>
      </c>
      <c r="AD57" s="13">
        <f t="shared" si="47"/>
        <v>0.64630566715211446</v>
      </c>
      <c r="AE57" s="51">
        <f t="shared" si="47"/>
        <v>0.65423640325107146</v>
      </c>
      <c r="AF57" s="13">
        <f t="shared" si="47"/>
        <v>0.6814788950168067</v>
      </c>
      <c r="AG57" s="13">
        <f t="shared" ref="AG57:AI57" si="48">AG54*AG55</f>
        <v>0.66602633123472033</v>
      </c>
      <c r="AH57" s="37">
        <f t="shared" si="48"/>
        <v>0.66105571817329301</v>
      </c>
      <c r="AI57" s="13">
        <f t="shared" si="48"/>
        <v>0.65253643318333643</v>
      </c>
      <c r="AJ57" s="13">
        <f>AJ54*AJ55</f>
        <v>0.56139645711429587</v>
      </c>
      <c r="AK57" s="60">
        <f t="shared" ref="AK57:AR57" si="49">AK54*AK55</f>
        <v>0.65546661520861838</v>
      </c>
      <c r="AL57" s="13">
        <f t="shared" si="49"/>
        <v>0.65259824401539224</v>
      </c>
      <c r="AM57" s="13">
        <f t="shared" si="49"/>
        <v>0.66756377836403324</v>
      </c>
      <c r="AN57" s="13">
        <f t="shared" si="49"/>
        <v>0.66543058801187782</v>
      </c>
      <c r="AO57" s="60">
        <f t="shared" si="49"/>
        <v>0.66770267896100466</v>
      </c>
      <c r="AP57" s="13">
        <f t="shared" si="49"/>
        <v>0.64783156929272612</v>
      </c>
      <c r="AQ57" s="13">
        <f t="shared" si="49"/>
        <v>0.65065978545813097</v>
      </c>
      <c r="AR57" s="13">
        <f t="shared" si="49"/>
        <v>0.62928101499885336</v>
      </c>
      <c r="AS57" s="13"/>
      <c r="AT57" s="13"/>
      <c r="AU57" s="13"/>
    </row>
    <row r="58" spans="1:47" x14ac:dyDescent="0.25">
      <c r="A58" s="87"/>
      <c r="B58" s="13" t="s">
        <v>88</v>
      </c>
      <c r="C58" s="60"/>
      <c r="D58" s="67"/>
      <c r="E58" s="13"/>
      <c r="F58" s="13"/>
      <c r="G58" s="60"/>
      <c r="H58" s="13"/>
      <c r="I58" s="13"/>
      <c r="J58" s="13"/>
      <c r="K58" s="13"/>
      <c r="L58" s="67"/>
      <c r="M58" s="13"/>
      <c r="N58" s="13"/>
      <c r="O58" s="13"/>
      <c r="P58" s="13"/>
      <c r="Q58" s="69"/>
      <c r="R58" s="13"/>
      <c r="S58" s="13"/>
      <c r="T58" s="13"/>
      <c r="U58" s="39"/>
      <c r="V58" s="13"/>
      <c r="W58" s="13"/>
      <c r="X58" s="13"/>
      <c r="Y58" s="60"/>
      <c r="Z58" s="13"/>
      <c r="AA58" s="13"/>
      <c r="AB58" s="13"/>
      <c r="AC58" s="51"/>
      <c r="AD58" s="13"/>
      <c r="AE58" s="51"/>
      <c r="AF58" s="13"/>
      <c r="AG58" s="13"/>
      <c r="AH58" s="37"/>
      <c r="AI58" s="13"/>
      <c r="AJ58" s="13"/>
      <c r="AK58" s="60"/>
      <c r="AL58" s="13"/>
      <c r="AM58" s="13"/>
      <c r="AN58" s="13"/>
      <c r="AO58" s="60"/>
      <c r="AP58" s="13"/>
      <c r="AQ58" s="13"/>
      <c r="AR58" s="13"/>
      <c r="AS58" s="13"/>
      <c r="AT58" s="13"/>
      <c r="AU58" s="13"/>
    </row>
    <row r="59" spans="1:47" x14ac:dyDescent="0.25">
      <c r="C59"/>
    </row>
    <row r="60" spans="1:47" x14ac:dyDescent="0.25">
      <c r="C60"/>
    </row>
    <row r="61" spans="1:47" x14ac:dyDescent="0.25">
      <c r="C61"/>
    </row>
    <row r="62" spans="1:47" x14ac:dyDescent="0.25">
      <c r="C62"/>
    </row>
    <row r="63" spans="1:47" x14ac:dyDescent="0.25">
      <c r="C63"/>
    </row>
    <row r="64" spans="1:47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</sheetData>
  <mergeCells count="4">
    <mergeCell ref="A4:A7"/>
    <mergeCell ref="A8:A21"/>
    <mergeCell ref="A22:A29"/>
    <mergeCell ref="A30:A58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8" x14ac:dyDescent="0.25"/>
  <cols>
    <col min="2" max="2" width="11.109375" customWidth="1"/>
  </cols>
  <sheetData>
    <row r="1" spans="1:3" x14ac:dyDescent="0.25">
      <c r="B1" t="s">
        <v>90</v>
      </c>
      <c r="C1">
        <f>Sheet2!C35</f>
        <v>95.4</v>
      </c>
    </row>
    <row r="2" spans="1:3" x14ac:dyDescent="0.25">
      <c r="A2" s="88" t="s">
        <v>91</v>
      </c>
      <c r="B2" t="s">
        <v>92</v>
      </c>
      <c r="C2" t="e">
        <f>Sheet2!C28-Sheet2!#REF!</f>
        <v>#REF!</v>
      </c>
    </row>
    <row r="3" spans="1:3" x14ac:dyDescent="0.25">
      <c r="A3" s="88"/>
      <c r="B3" t="s">
        <v>93</v>
      </c>
      <c r="C3" t="e">
        <f>Sheet2!#REF!-Sheet2!C29</f>
        <v>#REF!</v>
      </c>
    </row>
    <row r="4" spans="1:3" x14ac:dyDescent="0.25">
      <c r="A4" s="88"/>
      <c r="B4" t="s">
        <v>94</v>
      </c>
      <c r="C4">
        <f>Sheet2!C29-Sheet2!C22</f>
        <v>-2.8</v>
      </c>
    </row>
    <row r="5" spans="1:3" x14ac:dyDescent="0.25">
      <c r="A5" s="88"/>
      <c r="B5" t="s">
        <v>113</v>
      </c>
      <c r="C5">
        <f>Sheet2!C23-Sheet2!C24</f>
        <v>0.12699999999999889</v>
      </c>
    </row>
    <row r="6" spans="1:3" x14ac:dyDescent="0.25">
      <c r="A6" s="88"/>
      <c r="B6" t="s">
        <v>114</v>
      </c>
      <c r="C6">
        <f>Sheet2!C24-Sheet2!C25</f>
        <v>-0.11899999999999977</v>
      </c>
    </row>
    <row r="7" spans="1:3" x14ac:dyDescent="0.25">
      <c r="A7" s="16"/>
    </row>
    <row r="28" spans="1:7" x14ac:dyDescent="0.25">
      <c r="A28" s="89" t="s">
        <v>98</v>
      </c>
      <c r="B28" s="89" t="s">
        <v>95</v>
      </c>
      <c r="C28" s="89"/>
      <c r="D28" s="89" t="s">
        <v>96</v>
      </c>
      <c r="E28" s="89"/>
      <c r="F28" s="89" t="s">
        <v>97</v>
      </c>
      <c r="G28" s="89"/>
    </row>
    <row r="29" spans="1:7" x14ac:dyDescent="0.25">
      <c r="A29" s="89"/>
      <c r="B29" s="17" t="s">
        <v>100</v>
      </c>
      <c r="C29" s="17" t="s">
        <v>91</v>
      </c>
      <c r="D29" s="17" t="s">
        <v>99</v>
      </c>
      <c r="E29" s="17" t="s">
        <v>91</v>
      </c>
      <c r="F29" s="17" t="s">
        <v>100</v>
      </c>
      <c r="G29" s="17" t="s">
        <v>91</v>
      </c>
    </row>
    <row r="30" spans="1:7" x14ac:dyDescent="0.25">
      <c r="A30" s="89"/>
      <c r="B30" s="17"/>
      <c r="C30" s="17"/>
      <c r="D30" s="17">
        <v>100.3</v>
      </c>
      <c r="E30" s="17">
        <v>0.29199999999999982</v>
      </c>
      <c r="F30" s="17"/>
      <c r="G30" s="17"/>
    </row>
    <row r="31" spans="1:7" x14ac:dyDescent="0.25">
      <c r="A31" s="89"/>
      <c r="B31" s="17">
        <v>99</v>
      </c>
      <c r="C31" s="17">
        <v>0.53900000000000015</v>
      </c>
      <c r="D31" s="17">
        <v>104.7</v>
      </c>
      <c r="E31" s="17">
        <v>0.32200000000000006</v>
      </c>
      <c r="F31" s="17"/>
      <c r="G31" s="17"/>
    </row>
    <row r="32" spans="1:7" x14ac:dyDescent="0.25">
      <c r="A32" s="89"/>
      <c r="B32" s="17">
        <v>105.2</v>
      </c>
      <c r="C32" s="17">
        <v>0.5950000000000002</v>
      </c>
      <c r="D32" s="17">
        <v>106.3</v>
      </c>
      <c r="E32" s="17">
        <v>0.33599999999999985</v>
      </c>
      <c r="F32" s="17">
        <v>106.19</v>
      </c>
      <c r="G32" s="17">
        <v>0.26400000000000001</v>
      </c>
    </row>
    <row r="33" spans="1:7" x14ac:dyDescent="0.25">
      <c r="A33" s="89"/>
      <c r="B33" s="17">
        <v>128.1</v>
      </c>
      <c r="C33" s="17">
        <v>0.82499999999999973</v>
      </c>
      <c r="D33" s="17">
        <v>131.19999999999999</v>
      </c>
      <c r="E33" s="17">
        <v>0.5089999999999999</v>
      </c>
      <c r="F33" s="17">
        <v>118.92</v>
      </c>
      <c r="G33" s="17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8" x14ac:dyDescent="0.25"/>
  <sheetData>
    <row r="1" spans="2:14" x14ac:dyDescent="0.25">
      <c r="B1" s="91" t="s">
        <v>101</v>
      </c>
      <c r="C1" s="92"/>
      <c r="D1" s="92"/>
      <c r="E1" s="93"/>
      <c r="F1" s="90" t="s">
        <v>105</v>
      </c>
      <c r="G1" s="90"/>
      <c r="H1" s="90"/>
      <c r="I1" s="90"/>
      <c r="J1" s="91" t="s">
        <v>106</v>
      </c>
      <c r="K1" s="92"/>
      <c r="L1" s="93"/>
      <c r="M1" s="18"/>
      <c r="N1" s="14"/>
    </row>
    <row r="2" spans="2:14" x14ac:dyDescent="0.25">
      <c r="B2" s="17" t="s">
        <v>102</v>
      </c>
      <c r="C2" s="17" t="s">
        <v>107</v>
      </c>
      <c r="D2" s="17" t="s">
        <v>103</v>
      </c>
      <c r="E2" s="17" t="s">
        <v>104</v>
      </c>
      <c r="F2" s="10" t="s">
        <v>102</v>
      </c>
      <c r="G2" s="10" t="s">
        <v>108</v>
      </c>
      <c r="H2" s="10" t="s">
        <v>103</v>
      </c>
      <c r="I2" s="10" t="s">
        <v>104</v>
      </c>
      <c r="J2" s="17" t="s">
        <v>102</v>
      </c>
      <c r="K2" s="17" t="s">
        <v>109</v>
      </c>
      <c r="L2" s="17" t="s">
        <v>103</v>
      </c>
      <c r="M2" s="14"/>
    </row>
    <row r="3" spans="2:14" x14ac:dyDescent="0.25">
      <c r="B3" s="17">
        <v>302.07900000000001</v>
      </c>
      <c r="C3" s="17">
        <v>113</v>
      </c>
      <c r="D3" s="17">
        <v>2632.99</v>
      </c>
      <c r="E3" s="17">
        <v>0.61547218326320707</v>
      </c>
      <c r="F3" s="10">
        <v>297.30399999999997</v>
      </c>
      <c r="G3" s="10">
        <v>100.3</v>
      </c>
      <c r="H3" s="10">
        <v>3564.06</v>
      </c>
      <c r="I3" s="10">
        <v>1.2753837895866882</v>
      </c>
      <c r="J3" s="17">
        <v>200</v>
      </c>
      <c r="K3" s="17">
        <v>57.11</v>
      </c>
      <c r="L3" s="17">
        <v>2405</v>
      </c>
      <c r="M3" s="14"/>
    </row>
    <row r="4" spans="2:14" x14ac:dyDescent="0.25">
      <c r="B4" s="17">
        <v>420.173</v>
      </c>
      <c r="C4" s="17">
        <v>129.30000000000001</v>
      </c>
      <c r="D4" s="17">
        <v>4043.3</v>
      </c>
      <c r="E4" s="17">
        <v>1.0752046270442759</v>
      </c>
      <c r="F4" s="10">
        <v>421.09699999999998</v>
      </c>
      <c r="G4" s="10">
        <v>104.7</v>
      </c>
      <c r="H4" s="10">
        <v>4124.63</v>
      </c>
      <c r="I4" s="10">
        <v>1.4065234441602728</v>
      </c>
      <c r="J4" s="17">
        <v>340</v>
      </c>
      <c r="K4" s="17">
        <v>89.37</v>
      </c>
      <c r="L4" s="17">
        <v>3870</v>
      </c>
      <c r="M4" s="14"/>
    </row>
    <row r="5" spans="2:14" x14ac:dyDescent="0.25">
      <c r="B5" s="17">
        <v>420.57100000000003</v>
      </c>
      <c r="C5" s="17">
        <v>113.6</v>
      </c>
      <c r="D5" s="17">
        <v>3815.0230000000001</v>
      </c>
      <c r="E5" s="17">
        <v>1.3009456095481671</v>
      </c>
      <c r="F5" s="10">
        <v>503.90300000000002</v>
      </c>
      <c r="G5" s="10">
        <v>106.3</v>
      </c>
      <c r="H5" s="10">
        <v>4380.3999999999996</v>
      </c>
      <c r="I5" s="10">
        <v>1.4763734411863834</v>
      </c>
      <c r="J5" s="17">
        <v>420</v>
      </c>
      <c r="K5" s="17">
        <v>106.19</v>
      </c>
      <c r="L5" s="17">
        <v>4585</v>
      </c>
      <c r="M5" s="14"/>
    </row>
    <row r="6" spans="2:14" x14ac:dyDescent="0.25">
      <c r="B6" s="17"/>
      <c r="C6" s="17"/>
      <c r="D6" s="17"/>
      <c r="E6" s="17"/>
      <c r="F6" s="10">
        <v>505.52</v>
      </c>
      <c r="G6" s="10">
        <v>131.19999999999999</v>
      </c>
      <c r="H6" s="10">
        <v>5018.8</v>
      </c>
      <c r="I6" s="10">
        <v>1.3105627366496932</v>
      </c>
      <c r="J6" s="17">
        <v>500</v>
      </c>
      <c r="K6" s="17">
        <v>118.92</v>
      </c>
      <c r="L6" s="17">
        <v>5159</v>
      </c>
      <c r="M6" s="14"/>
    </row>
    <row r="7" spans="2:14" x14ac:dyDescent="0.25">
      <c r="B7" s="14"/>
      <c r="C7" s="14"/>
      <c r="D7" s="14"/>
      <c r="E7" s="14"/>
      <c r="F7" s="14"/>
      <c r="G7" s="14"/>
      <c r="I7" s="14"/>
      <c r="J7" s="14"/>
      <c r="L7" s="14"/>
      <c r="M7" s="14"/>
      <c r="N7" s="14"/>
    </row>
    <row r="8" spans="2:14" x14ac:dyDescent="0.25">
      <c r="B8" s="14"/>
      <c r="C8" s="14"/>
      <c r="D8" s="14"/>
      <c r="E8" s="14"/>
      <c r="F8" s="14"/>
      <c r="G8" s="14"/>
      <c r="I8" s="14"/>
      <c r="J8" s="14"/>
      <c r="L8" s="14"/>
      <c r="M8" s="14"/>
      <c r="N8" s="14"/>
    </row>
    <row r="9" spans="2:14" x14ac:dyDescent="0.25">
      <c r="B9" s="14"/>
      <c r="C9" s="14"/>
      <c r="D9" s="14"/>
      <c r="E9" s="14"/>
      <c r="F9" s="14"/>
      <c r="G9" s="14"/>
      <c r="I9" s="14"/>
      <c r="J9" s="14"/>
      <c r="L9" s="14"/>
      <c r="M9" s="14"/>
      <c r="N9" s="14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Wang Anci</cp:lastModifiedBy>
  <dcterms:created xsi:type="dcterms:W3CDTF">2019-03-22T02:59:42Z</dcterms:created>
  <dcterms:modified xsi:type="dcterms:W3CDTF">2021-04-12T00:50:30Z</dcterms:modified>
</cp:coreProperties>
</file>