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373666be62db9b3f/哈哈的文件/科研相关/项目相关/东风项目/实验相关内容/第二阶段实验20191021/充注量实验/30℃/"/>
    </mc:Choice>
  </mc:AlternateContent>
  <xr:revisionPtr revIDLastSave="2" documentId="114_{D20F9646-388B-49CF-A83A-87D246C1D28C}" xr6:coauthVersionLast="47" xr6:coauthVersionMax="47" xr10:uidLastSave="{0459C90D-EFCA-496A-9546-8DACD20C38B5}"/>
  <bookViews>
    <workbookView minimized="1" xWindow="2240" yWindow="2240" windowWidth="19200" windowHeight="997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2" i="1" l="1"/>
  <c r="F66" i="1" l="1"/>
  <c r="F64" i="1"/>
  <c r="F65" i="1"/>
  <c r="F63" i="1"/>
  <c r="F61" i="1"/>
  <c r="F72" i="1"/>
  <c r="F70" i="1"/>
  <c r="F69" i="1"/>
  <c r="F71" i="1"/>
  <c r="F68" i="1"/>
  <c r="F67" i="1"/>
  <c r="C52" i="1" l="1"/>
  <c r="C40" i="1"/>
  <c r="C42" i="1" s="1"/>
  <c r="C38" i="1"/>
  <c r="C50" i="1"/>
  <c r="C51" i="1"/>
  <c r="C55" i="1"/>
  <c r="C53" i="1" l="1"/>
  <c r="C49" i="1"/>
  <c r="C43" i="1"/>
  <c r="C54" i="1"/>
  <c r="C56" i="1" l="1"/>
</calcChain>
</file>

<file path=xl/sharedStrings.xml><?xml version="1.0" encoding="utf-8"?>
<sst xmlns="http://schemas.openxmlformats.org/spreadsheetml/2006/main" count="95" uniqueCount="82">
  <si>
    <t>说明</t>
    <phoneticPr fontId="7" type="noConversion"/>
  </si>
  <si>
    <t>全回热，最大制冷量</t>
    <phoneticPr fontId="7" type="noConversion"/>
  </si>
  <si>
    <t>类别</t>
    <phoneticPr fontId="7" type="noConversion"/>
  </si>
  <si>
    <t>项目</t>
    <phoneticPr fontId="7" type="noConversion"/>
  </si>
  <si>
    <t>组1</t>
    <phoneticPr fontId="7" type="noConversion"/>
  </si>
  <si>
    <t>环境参数</t>
    <phoneticPr fontId="7" type="noConversion"/>
  </si>
  <si>
    <t>室内干球</t>
    <phoneticPr fontId="7" type="noConversion"/>
  </si>
  <si>
    <t>室内湿球</t>
    <phoneticPr fontId="7" type="noConversion"/>
  </si>
  <si>
    <t>室外干球</t>
    <phoneticPr fontId="7" type="noConversion"/>
  </si>
  <si>
    <t>室外湿球</t>
    <phoneticPr fontId="7" type="noConversion"/>
  </si>
  <si>
    <t>温度/℃</t>
    <phoneticPr fontId="7" type="noConversion"/>
  </si>
  <si>
    <t>吸气温度</t>
    <phoneticPr fontId="7" type="noConversion"/>
  </si>
  <si>
    <t>排气温度</t>
    <phoneticPr fontId="7" type="noConversion"/>
  </si>
  <si>
    <t>室外换热进口</t>
    <phoneticPr fontId="7" type="noConversion"/>
  </si>
  <si>
    <t>室外换热出口</t>
    <phoneticPr fontId="7" type="noConversion"/>
  </si>
  <si>
    <t>回热器高压进口</t>
    <phoneticPr fontId="7" type="noConversion"/>
  </si>
  <si>
    <t>回热器高压出口</t>
    <phoneticPr fontId="7" type="noConversion"/>
  </si>
  <si>
    <t>阀前温度</t>
    <phoneticPr fontId="7" type="noConversion"/>
  </si>
  <si>
    <t>阀后温度</t>
    <phoneticPr fontId="7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</si>
  <si>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7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</si>
  <si>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7" type="noConversion"/>
  </si>
  <si>
    <t>储液器进口</t>
    <phoneticPr fontId="7" type="noConversion"/>
  </si>
  <si>
    <t>储液器出口</t>
    <phoneticPr fontId="7" type="noConversion"/>
  </si>
  <si>
    <t>回热器低压进口</t>
    <phoneticPr fontId="7" type="noConversion"/>
  </si>
  <si>
    <t>回热器低压出口</t>
    <phoneticPr fontId="7" type="noConversion"/>
  </si>
  <si>
    <t>压力/Mpa</t>
    <phoneticPr fontId="7" type="noConversion"/>
  </si>
  <si>
    <t>吸气压力</t>
    <phoneticPr fontId="7" type="noConversion"/>
  </si>
  <si>
    <t>排气压力</t>
    <phoneticPr fontId="7" type="noConversion"/>
  </si>
  <si>
    <t>气冷进口</t>
    <phoneticPr fontId="7" type="noConversion"/>
  </si>
  <si>
    <t>气冷出口</t>
    <phoneticPr fontId="7" type="noConversion"/>
  </si>
  <si>
    <t>阀前压力</t>
    <phoneticPr fontId="7" type="noConversion"/>
  </si>
  <si>
    <t>主换热器进口</t>
    <phoneticPr fontId="7" type="noConversion"/>
  </si>
  <si>
    <t>主换热器出口</t>
    <phoneticPr fontId="7" type="noConversion"/>
  </si>
  <si>
    <t>性能</t>
    <phoneticPr fontId="7" type="noConversion"/>
  </si>
  <si>
    <t>电压/V</t>
    <phoneticPr fontId="7" type="noConversion"/>
  </si>
  <si>
    <t>电流/A</t>
    <phoneticPr fontId="7" type="noConversion"/>
  </si>
  <si>
    <t>充注量/g</t>
    <phoneticPr fontId="7" type="noConversion"/>
  </si>
  <si>
    <t>压缩机转速/rpm</t>
    <phoneticPr fontId="7" type="noConversion"/>
  </si>
  <si>
    <t>膨胀阀开度</t>
    <phoneticPr fontId="7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</si>
  <si>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7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</si>
  <si>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7" type="noConversion"/>
  </si>
  <si>
    <t>室外侧风量/m3·h-1</t>
    <phoneticPr fontId="7" type="noConversion"/>
  </si>
  <si>
    <t>室内侧换热量//蒸发器/W</t>
    <phoneticPr fontId="7" type="noConversion"/>
  </si>
  <si>
    <t>室内侧换热量/制冷剂/W</t>
    <phoneticPr fontId="7" type="noConversion"/>
  </si>
  <si>
    <t>室外侧换热量//冷凝器/W</t>
    <phoneticPr fontId="7" type="noConversion"/>
  </si>
  <si>
    <t>压缩机功率/W</t>
    <phoneticPr fontId="7" type="noConversion"/>
  </si>
  <si>
    <t>压缩机功率WT500</t>
    <phoneticPr fontId="7" type="noConversion"/>
  </si>
  <si>
    <t>室内侧COP</t>
    <phoneticPr fontId="7" type="noConversion"/>
  </si>
  <si>
    <t>室内侧COP/制冷剂</t>
    <phoneticPr fontId="7" type="noConversion"/>
  </si>
  <si>
    <t>室外侧COP</t>
    <phoneticPr fontId="7" type="noConversion"/>
  </si>
  <si>
    <t>室内出风干球/℃</t>
    <phoneticPr fontId="7" type="noConversion"/>
  </si>
  <si>
    <t>室内出风湿球/℃</t>
    <phoneticPr fontId="7" type="noConversion"/>
  </si>
  <si>
    <t>室外出风干球/℃</t>
    <phoneticPr fontId="7" type="noConversion"/>
  </si>
  <si>
    <t>室外出风湿球/℃</t>
    <phoneticPr fontId="7" type="noConversion"/>
  </si>
  <si>
    <t>a/r</t>
    <phoneticPr fontId="7" type="noConversion"/>
  </si>
  <si>
    <t>压缩功/W</t>
    <phoneticPr fontId="7" type="noConversion"/>
  </si>
  <si>
    <t>等熵压缩功/W</t>
    <phoneticPr fontId="7" type="noConversion"/>
  </si>
  <si>
    <t>压比</t>
    <phoneticPr fontId="7" type="noConversion"/>
  </si>
  <si>
    <t>机械效率</t>
    <phoneticPr fontId="7" type="noConversion"/>
  </si>
  <si>
    <t>等熵效率</t>
    <phoneticPr fontId="7" type="noConversion"/>
  </si>
  <si>
    <t>容积效率</t>
    <phoneticPr fontId="7" type="noConversion"/>
  </si>
  <si>
    <t>总效率</t>
    <phoneticPr fontId="7" type="noConversion"/>
  </si>
  <si>
    <t>冷凝器换热</t>
    <phoneticPr fontId="7" type="noConversion"/>
  </si>
  <si>
    <t>全回热</t>
    <phoneticPr fontId="7" type="noConversion"/>
  </si>
  <si>
    <t>组5</t>
  </si>
  <si>
    <t>组15</t>
  </si>
  <si>
    <t>组23</t>
  </si>
  <si>
    <t>回热</t>
    <phoneticPr fontId="7" type="noConversion"/>
  </si>
  <si>
    <t>组32</t>
  </si>
  <si>
    <t>组35</t>
  </si>
  <si>
    <t>组39</t>
  </si>
  <si>
    <t>无回热，最大排温，最大制冷量</t>
    <phoneticPr fontId="7" type="noConversion"/>
  </si>
  <si>
    <t>组2</t>
    <phoneticPr fontId="7" type="noConversion"/>
  </si>
  <si>
    <t>不回热</t>
    <phoneticPr fontId="7" type="noConversion"/>
  </si>
  <si>
    <t>组10</t>
  </si>
  <si>
    <t>组19</t>
  </si>
  <si>
    <t>组27</t>
  </si>
  <si>
    <t>组29</t>
  </si>
  <si>
    <t>800（带液）</t>
    <phoneticPr fontId="7" type="noConversion"/>
  </si>
  <si>
    <t>400不足</t>
    <phoneticPr fontId="6" type="noConversion"/>
  </si>
  <si>
    <t>1000过充</t>
    <phoneticPr fontId="6" type="noConversion"/>
  </si>
  <si>
    <t>压比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</si>
</sst>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vertAlign val="superscript"/>
      <sz val="11"/>
      <color rgb="FF3F3F76"/>
      <name val="等线"/>
      <family val="3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00B050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" fillId="6" borderId="2" applyNumberFormat="0" applyFont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5" fillId="5" borderId="1" xfId="4" applyAlignment="1">
      <alignment horizontal="center" vertical="center"/>
    </xf>
    <xf numFmtId="0" fontId="5" fillId="9" borderId="1" xfId="4" applyFill="1" applyAlignment="1">
      <alignment horizontal="center" vertical="center"/>
    </xf>
    <xf numFmtId="0" fontId="3" fillId="3" borderId="0" xfId="2" applyAlignment="1">
      <alignment horizontal="center" vertical="center"/>
    </xf>
    <xf numFmtId="0" fontId="3" fillId="9" borderId="0" xfId="2" applyFill="1" applyAlignment="1">
      <alignment horizontal="center" vertical="center"/>
    </xf>
    <xf numFmtId="0" fontId="3" fillId="3" borderId="8" xfId="2" applyBorder="1" applyAlignment="1">
      <alignment horizontal="center" vertical="center"/>
    </xf>
    <xf numFmtId="9" fontId="0" fillId="6" borderId="2" xfId="5" applyNumberFormat="1" applyFont="1" applyAlignment="1">
      <alignment horizontal="center" vertical="center"/>
    </xf>
    <xf numFmtId="0" fontId="0" fillId="9" borderId="2" xfId="5" applyNumberFormat="1" applyFont="1" applyFill="1" applyAlignment="1">
      <alignment horizontal="center" vertical="center"/>
    </xf>
    <xf numFmtId="0" fontId="0" fillId="6" borderId="2" xfId="5" applyNumberFormat="1" applyFont="1" applyAlignment="1">
      <alignment horizontal="center" vertical="center"/>
    </xf>
    <xf numFmtId="9" fontId="0" fillId="9" borderId="2" xfId="5" applyNumberFormat="1" applyFont="1" applyFill="1" applyAlignment="1">
      <alignment horizontal="center" vertical="center"/>
    </xf>
    <xf numFmtId="0" fontId="4" fillId="4" borderId="1" xfId="3" applyAlignment="1">
      <alignment horizontal="center" vertical="center"/>
    </xf>
    <xf numFmtId="0" fontId="4" fillId="9" borderId="1" xfId="3" applyFill="1" applyAlignment="1">
      <alignment horizontal="center" vertical="center"/>
    </xf>
    <xf numFmtId="0" fontId="4" fillId="10" borderId="1" xfId="3" applyFill="1" applyAlignment="1">
      <alignment horizontal="center" vertical="center"/>
    </xf>
    <xf numFmtId="0" fontId="2" fillId="9" borderId="1" xfId="1" applyFill="1" applyBorder="1" applyAlignment="1">
      <alignment horizontal="center" vertical="center"/>
    </xf>
    <xf numFmtId="0" fontId="2" fillId="9" borderId="0" xfId="1" applyFill="1" applyAlignment="1">
      <alignment horizontal="center" vertical="center"/>
    </xf>
    <xf numFmtId="0" fontId="2" fillId="9" borderId="2" xfId="1" applyNumberFormat="1" applyFill="1" applyBorder="1" applyAlignment="1">
      <alignment horizontal="center" vertical="center"/>
    </xf>
    <xf numFmtId="0" fontId="2" fillId="10" borderId="1" xfId="1" applyFill="1" applyBorder="1" applyAlignment="1">
      <alignment horizontal="center" vertical="center"/>
    </xf>
    <xf numFmtId="0" fontId="12" fillId="9" borderId="1" xfId="1" applyFont="1" applyFill="1" applyBorder="1" applyAlignment="1">
      <alignment horizontal="center" vertical="center"/>
    </xf>
    <xf numFmtId="0" fontId="12" fillId="9" borderId="1" xfId="3" applyFont="1" applyFill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5" fillId="8" borderId="1" xfId="4" applyFill="1" applyAlignment="1">
      <alignment horizontal="center" vertical="center"/>
    </xf>
    <xf numFmtId="0" fontId="5" fillId="8" borderId="3" xfId="4" applyFill="1" applyBorder="1" applyAlignment="1">
      <alignment horizontal="center" vertical="center"/>
    </xf>
    <xf numFmtId="0" fontId="3" fillId="8" borderId="13" xfId="2" applyFill="1" applyBorder="1" applyAlignment="1">
      <alignment horizontal="center" vertical="center"/>
    </xf>
    <xf numFmtId="0" fontId="0" fillId="8" borderId="14" xfId="5" applyNumberFormat="1" applyFont="1" applyFill="1" applyBorder="1" applyAlignment="1">
      <alignment horizontal="center" vertical="center"/>
    </xf>
    <xf numFmtId="0" fontId="0" fillId="8" borderId="2" xfId="5" applyNumberFormat="1" applyFont="1" applyFill="1" applyAlignment="1">
      <alignment horizontal="center" vertical="center"/>
    </xf>
    <xf numFmtId="0" fontId="4" fillId="8" borderId="1" xfId="3" applyFill="1" applyAlignment="1">
      <alignment horizontal="center" vertical="center"/>
    </xf>
    <xf numFmtId="0" fontId="12" fillId="8" borderId="1" xfId="3" applyFont="1" applyFill="1" applyAlignment="1">
      <alignment horizontal="center" vertical="center"/>
    </xf>
    <xf numFmtId="0" fontId="3" fillId="9" borderId="12" xfId="2" applyFill="1" applyBorder="1" applyAlignment="1">
      <alignment horizontal="center" vertical="center"/>
    </xf>
    <xf numFmtId="0" fontId="4" fillId="12" borderId="1" xfId="3" applyFill="1" applyAlignment="1">
      <alignment horizontal="center" vertical="center"/>
    </xf>
    <xf numFmtId="0" fontId="2" fillId="12" borderId="1" xfId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5" fillId="13" borderId="1" xfId="4" applyFill="1" applyAlignment="1">
      <alignment horizontal="center" vertical="center"/>
    </xf>
    <xf numFmtId="0" fontId="3" fillId="13" borderId="0" xfId="2" applyFill="1" applyAlignment="1">
      <alignment horizontal="center" vertical="center"/>
    </xf>
    <xf numFmtId="0" fontId="0" fillId="13" borderId="2" xfId="5" applyNumberFormat="1" applyFont="1" applyFill="1" applyAlignment="1">
      <alignment horizontal="center" vertical="center"/>
    </xf>
    <xf numFmtId="9" fontId="0" fillId="13" borderId="2" xfId="5" applyNumberFormat="1" applyFont="1" applyFill="1" applyAlignment="1">
      <alignment horizontal="center" vertical="center"/>
    </xf>
    <xf numFmtId="0" fontId="4" fillId="13" borderId="1" xfId="3" applyFill="1" applyAlignment="1">
      <alignment horizontal="center" vertical="center"/>
    </xf>
    <xf numFmtId="0" fontId="2" fillId="13" borderId="0" xfId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4" borderId="0" xfId="1" applyFill="1" applyAlignment="1">
      <alignment horizontal="center" vertical="center"/>
    </xf>
    <xf numFmtId="0" fontId="2" fillId="14" borderId="1" xfId="1" applyFill="1" applyBorder="1" applyAlignment="1">
      <alignment horizontal="center" vertical="center"/>
    </xf>
    <xf numFmtId="0" fontId="2" fillId="14" borderId="2" xfId="1" applyNumberFormat="1" applyFill="1" applyBorder="1" applyAlignment="1">
      <alignment horizontal="center" vertical="center"/>
    </xf>
    <xf numFmtId="0" fontId="4" fillId="14" borderId="1" xfId="3" applyFill="1" applyAlignment="1">
      <alignment horizontal="center" vertical="center"/>
    </xf>
    <xf numFmtId="0" fontId="11" fillId="14" borderId="1" xfId="3" applyFont="1" applyFill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5" fillId="7" borderId="1" xfId="4" applyFill="1" applyAlignment="1">
      <alignment horizontal="center" vertical="center"/>
    </xf>
    <xf numFmtId="0" fontId="5" fillId="7" borderId="3" xfId="4" applyFill="1" applyBorder="1" applyAlignment="1">
      <alignment horizontal="center" vertical="center"/>
    </xf>
    <xf numFmtId="0" fontId="3" fillId="7" borderId="13" xfId="2" applyFill="1" applyBorder="1" applyAlignment="1">
      <alignment horizontal="center" vertical="center"/>
    </xf>
    <xf numFmtId="0" fontId="0" fillId="7" borderId="14" xfId="5" applyNumberFormat="1" applyFont="1" applyFill="1" applyBorder="1" applyAlignment="1">
      <alignment horizontal="center" vertical="center"/>
    </xf>
    <xf numFmtId="0" fontId="0" fillId="7" borderId="2" xfId="5" applyNumberFormat="1" applyFont="1" applyFill="1" applyAlignment="1">
      <alignment horizontal="center" vertical="center"/>
    </xf>
    <xf numFmtId="0" fontId="4" fillId="7" borderId="1" xfId="3" applyFill="1" applyAlignment="1">
      <alignment horizontal="center" vertical="center"/>
    </xf>
    <xf numFmtId="0" fontId="12" fillId="7" borderId="1" xfId="3" applyFont="1" applyFill="1" applyAlignment="1">
      <alignment horizontal="center" vertical="center"/>
    </xf>
    <xf numFmtId="0" fontId="0" fillId="10" borderId="0" xfId="0" applyFill="1"/>
    <xf numFmtId="0" fontId="5" fillId="5" borderId="3" xfId="4" applyBorder="1" applyAlignment="1">
      <alignment horizontal="center" vertical="center"/>
    </xf>
    <xf numFmtId="0" fontId="5" fillId="5" borderId="4" xfId="4" applyBorder="1" applyAlignment="1">
      <alignment horizontal="center" vertical="center"/>
    </xf>
    <xf numFmtId="0" fontId="5" fillId="5" borderId="5" xfId="4" applyBorder="1" applyAlignment="1">
      <alignment horizontal="center" vertical="center"/>
    </xf>
    <xf numFmtId="0" fontId="3" fillId="3" borderId="6" xfId="2" applyBorder="1" applyAlignment="1">
      <alignment horizontal="center" vertical="center"/>
    </xf>
    <xf numFmtId="0" fontId="3" fillId="3" borderId="7" xfId="2" applyBorder="1" applyAlignment="1">
      <alignment horizontal="center" vertical="center"/>
    </xf>
    <xf numFmtId="0" fontId="3" fillId="3" borderId="9" xfId="2" applyBorder="1" applyAlignment="1">
      <alignment horizontal="center" vertical="center"/>
    </xf>
    <xf numFmtId="0" fontId="0" fillId="6" borderId="10" xfId="5" applyFont="1" applyBorder="1" applyAlignment="1">
      <alignment horizontal="center" vertical="center"/>
    </xf>
    <xf numFmtId="0" fontId="0" fillId="6" borderId="0" xfId="5" applyFont="1" applyBorder="1" applyAlignment="1">
      <alignment horizontal="center" vertical="center"/>
    </xf>
    <xf numFmtId="0" fontId="4" fillId="4" borderId="11" xfId="3" applyBorder="1" applyAlignment="1">
      <alignment horizontal="center" vertical="center"/>
    </xf>
  </cellXfs>
  <cellStyles count="6">
    <cellStyle name="常规" xfId="0" builtinId="0"/>
    <cellStyle name="好" xfId="1" builtinId="26"/>
    <cellStyle name="计算" xfId="4" builtinId="22"/>
    <cellStyle name="适中" xfId="2" builtinId="28"/>
    <cellStyle name="输入" xfId="3" builtinId="20"/>
    <cellStyle name="注释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hr\AppData\Roaming\Microsoft\AddIns\REF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  <sheetName val="REFPROP"/>
    </sheetNames>
    <definedNames>
      <definedName name="Density"/>
      <definedName name="Enthalpy"/>
      <definedName name="Entrop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topLeftCell="A31" workbookViewId="0">
      <selection activeCell="F42" sqref="F42:G42"/>
    </sheetView>
  </sheetViews>
  <sheetFormatPr defaultRowHeight="14" x14ac:dyDescent="0.3"/>
  <cols>
    <col min="2" max="2" width="27.6640625" customWidth="1"/>
    <col min="3" max="3" width="14.08203125" customWidth="1"/>
    <col min="15" max="15" width="13.75" customWidth="1"/>
  </cols>
  <sheetData>
    <row r="1" spans="1:15" x14ac:dyDescent="0.3">
      <c r="A1" s="1"/>
      <c r="B1" s="2" t="s">
        <v>0</v>
      </c>
      <c r="C1" s="3" t="s">
        <v>1</v>
      </c>
      <c r="D1" s="16" t="s">
        <v>63</v>
      </c>
      <c r="E1" s="3" t="s">
        <v>63</v>
      </c>
      <c r="F1" s="3" t="s">
        <v>63</v>
      </c>
      <c r="G1" s="22" t="s">
        <v>67</v>
      </c>
      <c r="H1" s="22" t="s">
        <v>67</v>
      </c>
      <c r="I1" s="22" t="s">
        <v>67</v>
      </c>
      <c r="K1" s="33" t="s">
        <v>71</v>
      </c>
      <c r="L1" s="38" t="s">
        <v>73</v>
      </c>
      <c r="M1" s="40" t="s">
        <v>73</v>
      </c>
      <c r="N1" s="46" t="s">
        <v>73</v>
      </c>
      <c r="O1" s="46" t="s">
        <v>73</v>
      </c>
    </row>
    <row r="2" spans="1:15" x14ac:dyDescent="0.3">
      <c r="A2" s="1" t="s">
        <v>2</v>
      </c>
      <c r="B2" s="2" t="s">
        <v>3</v>
      </c>
      <c r="C2" s="3" t="s">
        <v>4</v>
      </c>
      <c r="D2" s="17" t="s">
        <v>64</v>
      </c>
      <c r="E2" s="17" t="s">
        <v>65</v>
      </c>
      <c r="F2" s="3" t="s">
        <v>66</v>
      </c>
      <c r="G2" s="3" t="s">
        <v>68</v>
      </c>
      <c r="H2" s="3" t="s">
        <v>69</v>
      </c>
      <c r="I2" s="3" t="s">
        <v>70</v>
      </c>
      <c r="K2" s="33" t="s">
        <v>72</v>
      </c>
      <c r="L2" s="39" t="s">
        <v>74</v>
      </c>
      <c r="M2" s="41" t="s">
        <v>75</v>
      </c>
      <c r="N2" s="40" t="s">
        <v>76</v>
      </c>
      <c r="O2" s="40" t="s">
        <v>77</v>
      </c>
    </row>
    <row r="3" spans="1:15" x14ac:dyDescent="0.3">
      <c r="A3" s="55" t="s">
        <v>5</v>
      </c>
      <c r="B3" s="4" t="s">
        <v>6</v>
      </c>
      <c r="C3" s="5">
        <v>26.9</v>
      </c>
      <c r="D3" s="5">
        <v>27</v>
      </c>
      <c r="E3" s="16">
        <v>27</v>
      </c>
      <c r="F3" s="5">
        <v>27</v>
      </c>
      <c r="G3" s="23">
        <v>27</v>
      </c>
      <c r="H3" s="5">
        <v>27.1</v>
      </c>
      <c r="I3" s="5">
        <v>27</v>
      </c>
      <c r="K3" s="34">
        <v>27.1</v>
      </c>
      <c r="L3" s="38">
        <v>27</v>
      </c>
      <c r="M3" s="42">
        <v>27</v>
      </c>
      <c r="N3" s="47">
        <v>27</v>
      </c>
      <c r="O3" s="47">
        <v>26.9</v>
      </c>
    </row>
    <row r="4" spans="1:15" x14ac:dyDescent="0.3">
      <c r="A4" s="56"/>
      <c r="B4" s="4" t="s">
        <v>7</v>
      </c>
      <c r="C4" s="5">
        <v>19.5</v>
      </c>
      <c r="D4" s="5">
        <v>19.5</v>
      </c>
      <c r="E4" s="16">
        <v>19.5</v>
      </c>
      <c r="F4" s="5">
        <v>19.5</v>
      </c>
      <c r="G4" s="23">
        <v>19.399999999999999</v>
      </c>
      <c r="H4" s="5">
        <v>19.5</v>
      </c>
      <c r="I4" s="5">
        <v>19.5</v>
      </c>
      <c r="K4" s="34">
        <v>19.5</v>
      </c>
      <c r="L4" s="38">
        <v>19.5</v>
      </c>
      <c r="M4" s="42">
        <v>19.5</v>
      </c>
      <c r="N4" s="47">
        <v>19.5</v>
      </c>
      <c r="O4" s="47">
        <v>19.5</v>
      </c>
    </row>
    <row r="5" spans="1:15" x14ac:dyDescent="0.3">
      <c r="A5" s="56"/>
      <c r="B5" s="4" t="s">
        <v>8</v>
      </c>
      <c r="C5" s="5">
        <v>29.9</v>
      </c>
      <c r="D5" s="5">
        <v>30.3</v>
      </c>
      <c r="E5" s="16">
        <v>30.1</v>
      </c>
      <c r="F5" s="5">
        <v>30</v>
      </c>
      <c r="G5" s="23">
        <v>30</v>
      </c>
      <c r="H5" s="5">
        <v>29.8</v>
      </c>
      <c r="I5" s="5">
        <v>30.2</v>
      </c>
      <c r="K5" s="34">
        <v>30.1</v>
      </c>
      <c r="L5" s="38">
        <v>29.9</v>
      </c>
      <c r="M5" s="42">
        <v>29.8</v>
      </c>
      <c r="N5" s="47">
        <v>29.9</v>
      </c>
      <c r="O5" s="47">
        <v>31.1</v>
      </c>
    </row>
    <row r="6" spans="1:15" x14ac:dyDescent="0.3">
      <c r="A6" s="57"/>
      <c r="B6" s="4" t="s">
        <v>9</v>
      </c>
      <c r="C6" s="5">
        <v>21.9</v>
      </c>
      <c r="D6" s="5">
        <v>22.4</v>
      </c>
      <c r="E6" s="16">
        <v>21.9</v>
      </c>
      <c r="F6" s="5">
        <v>21.9</v>
      </c>
      <c r="G6" s="24">
        <v>21.9</v>
      </c>
      <c r="H6" s="5">
        <v>21.7</v>
      </c>
      <c r="I6" s="5">
        <v>22.2</v>
      </c>
      <c r="K6" s="34">
        <v>21.8</v>
      </c>
      <c r="L6" s="38">
        <v>21.7</v>
      </c>
      <c r="M6" s="42">
        <v>21.8</v>
      </c>
      <c r="N6" s="48">
        <v>21.9</v>
      </c>
      <c r="O6" s="48">
        <v>22.8</v>
      </c>
    </row>
    <row r="7" spans="1:15" x14ac:dyDescent="0.3">
      <c r="A7" s="58" t="s">
        <v>10</v>
      </c>
      <c r="B7" s="6" t="s">
        <v>11</v>
      </c>
      <c r="C7" s="7">
        <v>33</v>
      </c>
      <c r="D7" s="7">
        <v>29.96</v>
      </c>
      <c r="E7" s="17">
        <v>26.6</v>
      </c>
      <c r="F7" s="7">
        <v>26.34</v>
      </c>
      <c r="G7" s="25">
        <v>26.27</v>
      </c>
      <c r="H7" s="30">
        <v>25.92</v>
      </c>
      <c r="I7" s="30">
        <v>17.96</v>
      </c>
      <c r="K7" s="35">
        <v>17</v>
      </c>
      <c r="L7" s="38">
        <v>3.93</v>
      </c>
      <c r="M7" s="41">
        <v>-3.14</v>
      </c>
      <c r="N7" s="49">
        <v>-3.56</v>
      </c>
      <c r="O7" s="49">
        <v>-2.89</v>
      </c>
    </row>
    <row r="8" spans="1:15" x14ac:dyDescent="0.3">
      <c r="A8" s="59"/>
      <c r="B8" s="6" t="s">
        <v>12</v>
      </c>
      <c r="C8" s="7">
        <v>134.13</v>
      </c>
      <c r="D8" s="7">
        <v>130.44</v>
      </c>
      <c r="E8" s="17">
        <v>123.23</v>
      </c>
      <c r="F8" s="7">
        <v>124.5</v>
      </c>
      <c r="G8" s="25">
        <v>123.43</v>
      </c>
      <c r="H8" s="30">
        <v>122.45</v>
      </c>
      <c r="I8" s="30">
        <v>108.4</v>
      </c>
      <c r="K8" s="35">
        <v>134.11000000000001</v>
      </c>
      <c r="L8" s="38">
        <v>101.2</v>
      </c>
      <c r="M8" s="41">
        <v>87.04</v>
      </c>
      <c r="N8" s="49">
        <v>88.72</v>
      </c>
      <c r="O8" s="49">
        <v>85.67</v>
      </c>
    </row>
    <row r="9" spans="1:15" x14ac:dyDescent="0.3">
      <c r="A9" s="59"/>
      <c r="B9" s="6" t="s">
        <v>13</v>
      </c>
      <c r="C9" s="7">
        <v>127.88</v>
      </c>
      <c r="D9" s="7">
        <v>125.14</v>
      </c>
      <c r="E9" s="17">
        <v>118.78</v>
      </c>
      <c r="F9" s="7">
        <v>119.58</v>
      </c>
      <c r="G9" s="25">
        <v>118.63</v>
      </c>
      <c r="H9" s="30">
        <v>119.73</v>
      </c>
      <c r="I9" s="30">
        <v>105.12</v>
      </c>
      <c r="K9" s="35">
        <v>128.22999999999999</v>
      </c>
      <c r="L9" s="38">
        <v>97.68</v>
      </c>
      <c r="M9" s="41">
        <v>84.43</v>
      </c>
      <c r="N9" s="49">
        <v>86.1</v>
      </c>
      <c r="O9" s="49">
        <v>83.17</v>
      </c>
    </row>
    <row r="10" spans="1:15" x14ac:dyDescent="0.3">
      <c r="A10" s="59"/>
      <c r="B10" s="6" t="s">
        <v>14</v>
      </c>
      <c r="C10" s="7">
        <v>34.51</v>
      </c>
      <c r="D10" s="7">
        <v>28.12</v>
      </c>
      <c r="E10" s="17">
        <v>35.03</v>
      </c>
      <c r="F10" s="7">
        <v>33.79</v>
      </c>
      <c r="G10" s="25">
        <v>35.69</v>
      </c>
      <c r="H10" s="30">
        <v>34.979999999999997</v>
      </c>
      <c r="I10" s="30">
        <v>35.94</v>
      </c>
      <c r="K10" s="35">
        <v>34.229999999999997</v>
      </c>
      <c r="L10" s="38">
        <v>28.88</v>
      </c>
      <c r="M10" s="41">
        <v>36.340000000000003</v>
      </c>
      <c r="N10" s="49">
        <v>34.17</v>
      </c>
      <c r="O10" s="49">
        <v>35.549999999999997</v>
      </c>
    </row>
    <row r="11" spans="1:15" x14ac:dyDescent="0.3">
      <c r="A11" s="59"/>
      <c r="B11" s="6" t="s">
        <v>15</v>
      </c>
      <c r="C11" s="7">
        <v>34.380000000000003</v>
      </c>
      <c r="D11" s="7">
        <v>35.03</v>
      </c>
      <c r="E11" s="17">
        <v>34.770000000000003</v>
      </c>
      <c r="F11" s="7">
        <v>34.479999999999997</v>
      </c>
      <c r="G11" s="25">
        <v>34.590000000000003</v>
      </c>
      <c r="H11" s="30">
        <v>34.85</v>
      </c>
      <c r="I11" s="30">
        <v>35.31</v>
      </c>
      <c r="K11" s="35">
        <v>34.15</v>
      </c>
      <c r="L11" s="38">
        <v>34.56</v>
      </c>
      <c r="M11" s="41">
        <v>34.31</v>
      </c>
      <c r="N11" s="49">
        <v>34.130000000000003</v>
      </c>
      <c r="O11" s="49">
        <v>35.26</v>
      </c>
    </row>
    <row r="12" spans="1:15" x14ac:dyDescent="0.3">
      <c r="A12" s="59"/>
      <c r="B12" s="6" t="s">
        <v>16</v>
      </c>
      <c r="C12" s="7">
        <v>32.83</v>
      </c>
      <c r="D12" s="7">
        <v>27.5</v>
      </c>
      <c r="E12" s="17">
        <v>23.24</v>
      </c>
      <c r="F12" s="7">
        <v>22.3</v>
      </c>
      <c r="G12" s="25">
        <v>22.28</v>
      </c>
      <c r="H12" s="30">
        <v>22.56</v>
      </c>
      <c r="I12" s="30">
        <v>18.5</v>
      </c>
      <c r="K12" s="35">
        <v>33.979999999999997</v>
      </c>
      <c r="L12" s="38">
        <v>34.229999999999997</v>
      </c>
      <c r="M12" s="41">
        <v>33.97</v>
      </c>
      <c r="N12" s="49">
        <v>33.81</v>
      </c>
      <c r="O12" s="49">
        <v>34.909999999999997</v>
      </c>
    </row>
    <row r="13" spans="1:15" x14ac:dyDescent="0.3">
      <c r="A13" s="59"/>
      <c r="B13" s="8" t="s">
        <v>17</v>
      </c>
      <c r="C13" s="7">
        <v>32.21</v>
      </c>
      <c r="D13" s="7">
        <v>27.15</v>
      </c>
      <c r="E13" s="17">
        <v>23.21</v>
      </c>
      <c r="F13" s="7">
        <v>22.05</v>
      </c>
      <c r="G13" s="25">
        <v>22.41</v>
      </c>
      <c r="H13" s="30">
        <v>22.2</v>
      </c>
      <c r="I13" s="30">
        <v>18.420000000000002</v>
      </c>
      <c r="K13" s="35">
        <v>33.380000000000003</v>
      </c>
      <c r="L13" s="38">
        <v>33.65</v>
      </c>
      <c r="M13" s="41">
        <v>33.72</v>
      </c>
      <c r="N13" s="49">
        <v>33.17</v>
      </c>
      <c r="O13" s="49">
        <v>34.11</v>
      </c>
    </row>
    <row r="14" spans="1:15" x14ac:dyDescent="0.3">
      <c r="A14" s="59"/>
      <c r="B14" s="8" t="s">
        <v>18</v>
      </c>
      <c r="C14" s="7">
        <v>2.2000000000000002</v>
      </c>
      <c r="D14" s="7">
        <v>3.06</v>
      </c>
      <c r="E14" s="17">
        <v>3.32</v>
      </c>
      <c r="F14" s="7">
        <v>2.72</v>
      </c>
      <c r="G14" s="25">
        <v>3.22</v>
      </c>
      <c r="H14" s="30">
        <v>3.35</v>
      </c>
      <c r="I14" s="30">
        <v>3.98</v>
      </c>
      <c r="K14" s="35">
        <v>-1.49</v>
      </c>
      <c r="L14" s="38">
        <v>4.7300000000000004</v>
      </c>
      <c r="M14" s="41">
        <v>5.76</v>
      </c>
      <c r="N14" s="49">
        <v>5.23</v>
      </c>
      <c r="O14" s="49">
        <v>6.06</v>
      </c>
    </row>
    <row r="15" spans="1:15" x14ac:dyDescent="0.3">
      <c r="A15" s="59"/>
      <c r="B15" s="8" t="s">
        <v>19</v>
      </c>
      <c r="C15" s="7">
        <v>2.16</v>
      </c>
      <c r="D15" s="7">
        <v>3.05</v>
      </c>
      <c r="E15" s="17">
        <v>3.41</v>
      </c>
      <c r="F15" s="7">
        <v>2.78</v>
      </c>
      <c r="G15" s="25">
        <v>3.37</v>
      </c>
      <c r="H15" s="30">
        <v>3.22</v>
      </c>
      <c r="I15" s="30">
        <v>4.01</v>
      </c>
      <c r="K15" s="35">
        <v>-1.42</v>
      </c>
      <c r="L15" s="38">
        <v>4.6399999999999997</v>
      </c>
      <c r="M15" s="41">
        <v>5.62</v>
      </c>
      <c r="N15" s="49">
        <v>5.09</v>
      </c>
      <c r="O15" s="49">
        <v>5.92</v>
      </c>
    </row>
    <row r="16" spans="1:15" x14ac:dyDescent="0.3">
      <c r="A16" s="59"/>
      <c r="B16" s="8" t="s">
        <v>20</v>
      </c>
      <c r="C16" s="7">
        <v>18.190000000000001</v>
      </c>
      <c r="D16" s="7">
        <v>6.86</v>
      </c>
      <c r="E16" s="17">
        <v>0.55000000000000004</v>
      </c>
      <c r="F16" s="7">
        <v>0.16</v>
      </c>
      <c r="G16" s="25">
        <v>0.83</v>
      </c>
      <c r="H16" s="30">
        <v>0.83</v>
      </c>
      <c r="I16" s="30">
        <v>1.85</v>
      </c>
      <c r="K16" s="35">
        <v>18.91</v>
      </c>
      <c r="L16" s="38">
        <v>6.86</v>
      </c>
      <c r="M16" s="41">
        <v>0.9</v>
      </c>
      <c r="N16" s="49">
        <v>0.55000000000000004</v>
      </c>
      <c r="O16" s="49">
        <v>1.47</v>
      </c>
    </row>
    <row r="17" spans="1:15" x14ac:dyDescent="0.3">
      <c r="A17" s="59"/>
      <c r="B17" s="6" t="s">
        <v>21</v>
      </c>
      <c r="C17" s="7">
        <v>17.04</v>
      </c>
      <c r="D17" s="7">
        <v>5.88</v>
      </c>
      <c r="E17" s="17">
        <v>-0.38</v>
      </c>
      <c r="F17" s="7">
        <v>-0.71</v>
      </c>
      <c r="G17" s="25">
        <v>-0.06</v>
      </c>
      <c r="H17" s="30">
        <v>0.27</v>
      </c>
      <c r="I17" s="30">
        <v>1.0900000000000001</v>
      </c>
      <c r="K17" s="35">
        <v>17.75</v>
      </c>
      <c r="L17" s="38">
        <v>5.4</v>
      </c>
      <c r="M17" s="41">
        <v>-0.46</v>
      </c>
      <c r="N17" s="49">
        <v>-0.82</v>
      </c>
      <c r="O17" s="49">
        <v>0</v>
      </c>
    </row>
    <row r="18" spans="1:15" x14ac:dyDescent="0.3">
      <c r="A18" s="59"/>
      <c r="B18" s="6" t="s">
        <v>22</v>
      </c>
      <c r="C18" s="7">
        <v>17.21</v>
      </c>
      <c r="D18" s="7">
        <v>6.17</v>
      </c>
      <c r="E18" s="17">
        <v>-0.79</v>
      </c>
      <c r="F18" s="7">
        <v>-1.04</v>
      </c>
      <c r="G18" s="25">
        <v>-0.4</v>
      </c>
      <c r="H18" s="30">
        <v>-0.2</v>
      </c>
      <c r="I18" s="30">
        <v>0.74</v>
      </c>
      <c r="K18" s="35">
        <v>18.079999999999998</v>
      </c>
      <c r="L18" s="38">
        <v>5.69</v>
      </c>
      <c r="M18" s="41">
        <v>-0.9</v>
      </c>
      <c r="N18" s="49">
        <v>-1.24</v>
      </c>
      <c r="O18" s="49">
        <v>-0.41</v>
      </c>
    </row>
    <row r="19" spans="1:15" x14ac:dyDescent="0.3">
      <c r="A19" s="59"/>
      <c r="B19" s="6" t="s">
        <v>23</v>
      </c>
      <c r="C19" s="7">
        <v>15.87</v>
      </c>
      <c r="D19" s="7">
        <v>5.13</v>
      </c>
      <c r="E19" s="17">
        <v>-2.61</v>
      </c>
      <c r="F19" s="7">
        <v>-2.79</v>
      </c>
      <c r="G19" s="25">
        <v>-2.1800000000000002</v>
      </c>
      <c r="H19" s="30">
        <v>-1.88</v>
      </c>
      <c r="I19" s="30">
        <v>-1.1399999999999999</v>
      </c>
      <c r="K19" s="35">
        <v>30.35</v>
      </c>
      <c r="L19" s="38">
        <v>32.68</v>
      </c>
      <c r="M19" s="41">
        <v>32.47</v>
      </c>
      <c r="N19" s="49">
        <v>31.05</v>
      </c>
      <c r="O19" s="49">
        <v>32.44</v>
      </c>
    </row>
    <row r="20" spans="1:15" x14ac:dyDescent="0.3">
      <c r="A20" s="60"/>
      <c r="B20" s="6" t="s">
        <v>24</v>
      </c>
      <c r="C20" s="7">
        <v>32.21</v>
      </c>
      <c r="D20" s="7">
        <v>30.37</v>
      </c>
      <c r="E20" s="17">
        <v>27.56</v>
      </c>
      <c r="F20" s="7">
        <v>27.2</v>
      </c>
      <c r="G20" s="25">
        <v>27.15</v>
      </c>
      <c r="H20" s="30">
        <v>27.7</v>
      </c>
      <c r="I20" s="30">
        <v>20.47</v>
      </c>
      <c r="K20" s="35">
        <v>33.380000000000003</v>
      </c>
      <c r="L20" s="38">
        <v>33.65</v>
      </c>
      <c r="M20" s="41">
        <v>30.49</v>
      </c>
      <c r="N20" s="49">
        <v>30.57</v>
      </c>
      <c r="O20" s="49">
        <v>30.63</v>
      </c>
    </row>
    <row r="21" spans="1:15" x14ac:dyDescent="0.3">
      <c r="A21" s="61" t="s">
        <v>25</v>
      </c>
      <c r="B21" s="9" t="s">
        <v>26</v>
      </c>
      <c r="C21" s="10">
        <v>2.8</v>
      </c>
      <c r="D21" s="10">
        <v>3.05</v>
      </c>
      <c r="E21" s="18">
        <v>3.16</v>
      </c>
      <c r="F21" s="10">
        <v>3.14</v>
      </c>
      <c r="G21" s="26">
        <v>3.2</v>
      </c>
      <c r="H21" s="10">
        <v>3.21</v>
      </c>
      <c r="I21" s="10">
        <v>3.29</v>
      </c>
      <c r="K21" s="36">
        <v>2.5</v>
      </c>
      <c r="L21" s="38">
        <v>3.02</v>
      </c>
      <c r="M21" s="43">
        <v>3.14</v>
      </c>
      <c r="N21" s="50">
        <v>3.12</v>
      </c>
      <c r="O21" s="50">
        <v>3.2</v>
      </c>
    </row>
    <row r="22" spans="1:15" x14ac:dyDescent="0.3">
      <c r="A22" s="62"/>
      <c r="B22" s="9" t="s">
        <v>27</v>
      </c>
      <c r="C22" s="10">
        <v>8.18</v>
      </c>
      <c r="D22" s="10">
        <v>8.8800000000000008</v>
      </c>
      <c r="E22" s="18">
        <v>8.94</v>
      </c>
      <c r="F22" s="10">
        <v>8.93</v>
      </c>
      <c r="G22" s="27">
        <v>8.9499999999999993</v>
      </c>
      <c r="H22" s="10">
        <v>8.83</v>
      </c>
      <c r="I22" s="10">
        <v>8.82</v>
      </c>
      <c r="K22" s="36">
        <v>8.51</v>
      </c>
      <c r="L22" s="38">
        <v>9.1999999999999993</v>
      </c>
      <c r="M22" s="43">
        <v>9.49</v>
      </c>
      <c r="N22" s="51">
        <v>9.51</v>
      </c>
      <c r="O22" s="51">
        <v>9.61</v>
      </c>
    </row>
    <row r="23" spans="1:15" x14ac:dyDescent="0.3">
      <c r="A23" s="62"/>
      <c r="B23" s="9" t="s">
        <v>28</v>
      </c>
      <c r="C23" s="10">
        <v>8.0530000000000008</v>
      </c>
      <c r="D23" s="10">
        <v>8.8350000000000009</v>
      </c>
      <c r="E23" s="18">
        <v>8.9290000000000003</v>
      </c>
      <c r="F23" s="10">
        <v>8.9179999999999993</v>
      </c>
      <c r="G23" s="27">
        <v>8.91</v>
      </c>
      <c r="H23" s="10">
        <v>8.83</v>
      </c>
      <c r="I23" s="10">
        <v>8.7910000000000004</v>
      </c>
      <c r="K23" s="36">
        <v>8.5120000000000005</v>
      </c>
      <c r="L23" s="38">
        <v>9.1890000000000001</v>
      </c>
      <c r="M23" s="43">
        <v>9.4510000000000005</v>
      </c>
      <c r="N23" s="51">
        <v>9.5120000000000005</v>
      </c>
      <c r="O23" s="51">
        <v>9.6010000000000009</v>
      </c>
    </row>
    <row r="24" spans="1:15" x14ac:dyDescent="0.3">
      <c r="A24" s="62"/>
      <c r="B24" s="9" t="s">
        <v>29</v>
      </c>
      <c r="C24" s="10">
        <v>8.1720000000000006</v>
      </c>
      <c r="D24" s="10">
        <v>8.7270000000000003</v>
      </c>
      <c r="E24" s="18">
        <v>8.7629999999999999</v>
      </c>
      <c r="F24" s="10">
        <v>8.7850000000000001</v>
      </c>
      <c r="G24" s="27">
        <v>8.8049999999999997</v>
      </c>
      <c r="H24" s="10">
        <v>8.6780000000000008</v>
      </c>
      <c r="I24" s="10">
        <v>8.6310000000000002</v>
      </c>
      <c r="K24" s="36">
        <v>8.3670000000000009</v>
      </c>
      <c r="L24" s="38">
        <v>9.0310000000000006</v>
      </c>
      <c r="M24" s="43">
        <v>9.3079999999999998</v>
      </c>
      <c r="N24" s="51">
        <v>9.3330000000000002</v>
      </c>
      <c r="O24" s="51">
        <v>9.4269999999999996</v>
      </c>
    </row>
    <row r="25" spans="1:15" x14ac:dyDescent="0.3">
      <c r="A25" s="62"/>
      <c r="B25" s="9" t="s">
        <v>30</v>
      </c>
      <c r="C25" s="10">
        <v>7.9530000000000003</v>
      </c>
      <c r="D25" s="10">
        <v>8.6479999999999997</v>
      </c>
      <c r="E25" s="18">
        <v>8.6720000000000006</v>
      </c>
      <c r="F25" s="10">
        <v>8.702</v>
      </c>
      <c r="G25" s="27">
        <v>8.6929999999999996</v>
      </c>
      <c r="H25" s="10">
        <v>8.58</v>
      </c>
      <c r="I25" s="10">
        <v>8.5150000000000006</v>
      </c>
      <c r="K25" s="36">
        <v>8.359</v>
      </c>
      <c r="L25" s="38">
        <v>8.9009999999999998</v>
      </c>
      <c r="M25" s="43">
        <v>9.1470000000000002</v>
      </c>
      <c r="N25" s="51">
        <v>9.1880000000000006</v>
      </c>
      <c r="O25" s="51">
        <v>9.2959999999999994</v>
      </c>
    </row>
    <row r="26" spans="1:15" x14ac:dyDescent="0.3">
      <c r="A26" s="62"/>
      <c r="B26" s="9" t="s">
        <v>31</v>
      </c>
      <c r="C26" s="10">
        <v>3.6190000000000002</v>
      </c>
      <c r="D26" s="10">
        <v>3.7410000000000001</v>
      </c>
      <c r="E26" s="18">
        <v>3.7869999999999999</v>
      </c>
      <c r="F26" s="10">
        <v>3.738</v>
      </c>
      <c r="G26" s="27">
        <v>3.798</v>
      </c>
      <c r="H26" s="10">
        <v>3.8029999999999999</v>
      </c>
      <c r="I26" s="10">
        <v>3.879</v>
      </c>
      <c r="K26" s="36">
        <v>3.3010000000000002</v>
      </c>
      <c r="L26" s="38">
        <v>3.883</v>
      </c>
      <c r="M26" s="43">
        <v>4.0039999999999996</v>
      </c>
      <c r="N26" s="51">
        <v>3.9580000000000002</v>
      </c>
      <c r="O26" s="51">
        <v>4.0419999999999998</v>
      </c>
    </row>
    <row r="27" spans="1:15" x14ac:dyDescent="0.3">
      <c r="A27" s="62"/>
      <c r="B27" s="9" t="s">
        <v>32</v>
      </c>
      <c r="C27" s="10">
        <v>3.149</v>
      </c>
      <c r="D27" s="10">
        <v>3.3860000000000001</v>
      </c>
      <c r="E27" s="18">
        <v>3.4889999999999999</v>
      </c>
      <c r="F27" s="10">
        <v>3.456</v>
      </c>
      <c r="G27" s="27">
        <v>3.516</v>
      </c>
      <c r="H27" s="10">
        <v>3.5270000000000001</v>
      </c>
      <c r="I27" s="10">
        <v>3.613</v>
      </c>
      <c r="K27" s="36">
        <v>2.794</v>
      </c>
      <c r="L27" s="38">
        <v>3.391</v>
      </c>
      <c r="M27" s="43">
        <v>3.524</v>
      </c>
      <c r="N27" s="51">
        <v>3.4910000000000001</v>
      </c>
      <c r="O27" s="51">
        <v>3.4729999999999999</v>
      </c>
    </row>
    <row r="28" spans="1:15" x14ac:dyDescent="0.3">
      <c r="A28" s="62"/>
      <c r="B28" s="11" t="s">
        <v>21</v>
      </c>
      <c r="C28" s="12"/>
      <c r="D28" s="10"/>
      <c r="E28" s="18"/>
      <c r="F28" s="10"/>
      <c r="G28" s="27"/>
      <c r="H28" s="10"/>
      <c r="I28" s="10"/>
      <c r="K28" s="37"/>
      <c r="L28" s="38"/>
      <c r="M28" s="43"/>
      <c r="N28" s="51"/>
      <c r="O28" s="51"/>
    </row>
    <row r="29" spans="1:15" x14ac:dyDescent="0.3">
      <c r="A29" s="63" t="s">
        <v>33</v>
      </c>
      <c r="B29" s="13" t="s">
        <v>34</v>
      </c>
      <c r="C29" s="14">
        <v>345</v>
      </c>
      <c r="D29" s="14">
        <v>345</v>
      </c>
      <c r="E29" s="16">
        <v>345</v>
      </c>
      <c r="F29" s="14">
        <v>345</v>
      </c>
      <c r="G29" s="28">
        <v>345</v>
      </c>
      <c r="H29" s="14">
        <v>345</v>
      </c>
      <c r="I29" s="14">
        <v>345</v>
      </c>
      <c r="K29" s="38">
        <v>345</v>
      </c>
      <c r="L29" s="38">
        <v>345</v>
      </c>
      <c r="M29" s="42">
        <v>345</v>
      </c>
      <c r="N29" s="52">
        <v>345</v>
      </c>
      <c r="O29" s="52">
        <v>345</v>
      </c>
    </row>
    <row r="30" spans="1:15" x14ac:dyDescent="0.3">
      <c r="A30" s="63"/>
      <c r="B30" s="13" t="s">
        <v>35</v>
      </c>
      <c r="C30" s="14">
        <v>6.8</v>
      </c>
      <c r="D30" s="14">
        <v>7.4</v>
      </c>
      <c r="E30" s="16">
        <v>7.4</v>
      </c>
      <c r="F30" s="14">
        <v>7.4</v>
      </c>
      <c r="G30" s="28">
        <v>7.4</v>
      </c>
      <c r="H30" s="14">
        <v>7.3</v>
      </c>
      <c r="I30" s="14">
        <v>7.3</v>
      </c>
      <c r="K30" s="38">
        <v>7</v>
      </c>
      <c r="L30" s="38">
        <v>7.7</v>
      </c>
      <c r="M30" s="42">
        <v>8</v>
      </c>
      <c r="N30" s="52">
        <v>7.95</v>
      </c>
      <c r="O30" s="52">
        <v>8</v>
      </c>
    </row>
    <row r="31" spans="1:15" x14ac:dyDescent="0.3">
      <c r="A31" s="63"/>
      <c r="B31" s="31" t="s">
        <v>36</v>
      </c>
      <c r="C31" s="31" t="s">
        <v>79</v>
      </c>
      <c r="D31" s="31">
        <v>500</v>
      </c>
      <c r="E31" s="32">
        <v>600</v>
      </c>
      <c r="F31" s="31">
        <v>700</v>
      </c>
      <c r="G31" s="31">
        <v>800</v>
      </c>
      <c r="H31" s="31">
        <v>900</v>
      </c>
      <c r="I31" s="31" t="s">
        <v>80</v>
      </c>
      <c r="K31" s="15" t="s">
        <v>79</v>
      </c>
      <c r="L31" s="15">
        <v>500</v>
      </c>
      <c r="M31" s="19">
        <v>600</v>
      </c>
      <c r="N31" s="15">
        <v>700</v>
      </c>
      <c r="O31" s="15" t="s">
        <v>78</v>
      </c>
    </row>
    <row r="32" spans="1:15" x14ac:dyDescent="0.3">
      <c r="A32" s="63"/>
      <c r="B32" s="13" t="s">
        <v>37</v>
      </c>
      <c r="C32" s="14">
        <v>5000</v>
      </c>
      <c r="D32" s="14">
        <v>5000</v>
      </c>
      <c r="E32" s="16">
        <v>5000</v>
      </c>
      <c r="F32" s="14">
        <v>5000</v>
      </c>
      <c r="G32" s="28">
        <v>5000</v>
      </c>
      <c r="H32" s="14">
        <v>5000</v>
      </c>
      <c r="I32" s="14">
        <v>5000</v>
      </c>
      <c r="K32" s="38">
        <v>5000</v>
      </c>
      <c r="L32" s="38">
        <v>5000</v>
      </c>
      <c r="M32" s="42">
        <v>5000</v>
      </c>
      <c r="N32" s="52">
        <v>5000</v>
      </c>
      <c r="O32" s="52">
        <v>5000</v>
      </c>
    </row>
    <row r="33" spans="1:15" x14ac:dyDescent="0.3">
      <c r="A33" s="63"/>
      <c r="B33" s="13" t="s">
        <v>38</v>
      </c>
      <c r="C33" s="14">
        <v>380</v>
      </c>
      <c r="D33" s="14">
        <v>275</v>
      </c>
      <c r="E33" s="16">
        <v>272</v>
      </c>
      <c r="F33" s="14">
        <v>270</v>
      </c>
      <c r="G33" s="28">
        <v>271</v>
      </c>
      <c r="H33" s="14">
        <v>271</v>
      </c>
      <c r="I33" s="14">
        <v>273</v>
      </c>
      <c r="K33" s="38">
        <v>285</v>
      </c>
      <c r="L33" s="38">
        <v>400</v>
      </c>
      <c r="M33" s="42">
        <v>430</v>
      </c>
      <c r="N33" s="52"/>
      <c r="O33" s="52"/>
    </row>
    <row r="34" spans="1:15" ht="16.5" x14ac:dyDescent="0.3">
      <c r="A34" s="63"/>
      <c r="B34" s="13" t="s">
        <v>39</v>
      </c>
      <c r="C34" s="14">
        <v>95.4</v>
      </c>
      <c r="D34" s="14">
        <v>106.5</v>
      </c>
      <c r="E34" s="16">
        <v>113.4</v>
      </c>
      <c r="F34" s="14">
        <v>112</v>
      </c>
      <c r="G34" s="28">
        <v>113.6</v>
      </c>
      <c r="H34" s="14">
        <v>113.5</v>
      </c>
      <c r="I34" s="14">
        <v>126.5</v>
      </c>
      <c r="K34" s="38">
        <v>85.2</v>
      </c>
      <c r="L34" s="38">
        <v>123.8</v>
      </c>
      <c r="M34" s="42">
        <v>141.19999999999999</v>
      </c>
      <c r="N34" s="52">
        <v>137.80000000000001</v>
      </c>
      <c r="O34" s="52">
        <v>143.69999999999999</v>
      </c>
    </row>
    <row r="35" spans="1:15" ht="16.5" x14ac:dyDescent="0.3">
      <c r="A35" s="63"/>
      <c r="B35" s="13" t="s">
        <v>40</v>
      </c>
      <c r="C35" s="14">
        <v>478.35300000000001</v>
      </c>
      <c r="D35" s="14">
        <v>474.774</v>
      </c>
      <c r="E35" s="16">
        <v>477.87299999999999</v>
      </c>
      <c r="F35" s="14">
        <v>479.28100000000001</v>
      </c>
      <c r="G35" s="28">
        <v>480.471</v>
      </c>
      <c r="H35" s="14">
        <v>478.36900000000003</v>
      </c>
      <c r="I35" s="14">
        <v>480.53500000000003</v>
      </c>
      <c r="K35" s="38">
        <v>478.74900000000002</v>
      </c>
      <c r="L35" s="38">
        <v>473.86599999999999</v>
      </c>
      <c r="M35" s="42">
        <v>478.43900000000002</v>
      </c>
      <c r="N35" s="52">
        <v>479.74799999999999</v>
      </c>
      <c r="O35" s="52">
        <v>479.93099999999998</v>
      </c>
    </row>
    <row r="36" spans="1:15" x14ac:dyDescent="0.3">
      <c r="A36" s="63"/>
      <c r="B36" s="13" t="s">
        <v>41</v>
      </c>
      <c r="C36" s="14">
        <v>4506.42</v>
      </c>
      <c r="D36" s="14">
        <v>4518.0200000000004</v>
      </c>
      <c r="E36" s="16">
        <v>4514.7299999999996</v>
      </c>
      <c r="F36" s="14">
        <v>4523.67</v>
      </c>
      <c r="G36" s="28">
        <v>4490.08</v>
      </c>
      <c r="H36" s="14">
        <v>4482.1400000000003</v>
      </c>
      <c r="I36" s="14">
        <v>4488.32</v>
      </c>
      <c r="K36" s="38">
        <v>4517.79</v>
      </c>
      <c r="L36" s="38">
        <v>4513.95</v>
      </c>
      <c r="M36" s="42">
        <v>4512.16</v>
      </c>
      <c r="N36" s="52">
        <v>4495.2</v>
      </c>
      <c r="O36" s="52">
        <v>4491.9399999999996</v>
      </c>
    </row>
    <row r="37" spans="1:15" s="54" customFormat="1" x14ac:dyDescent="0.3">
      <c r="A37" s="63"/>
      <c r="B37" s="15" t="s">
        <v>42</v>
      </c>
      <c r="C37" s="15">
        <v>3978</v>
      </c>
      <c r="D37" s="15">
        <v>4818.25</v>
      </c>
      <c r="E37" s="19">
        <v>4932.0200000000004</v>
      </c>
      <c r="F37" s="15">
        <v>4913.42</v>
      </c>
      <c r="G37" s="15">
        <v>4953.37</v>
      </c>
      <c r="H37" s="15">
        <v>4861</v>
      </c>
      <c r="I37" s="15">
        <v>4660.4799999999996</v>
      </c>
      <c r="K37" s="15">
        <v>3704.28</v>
      </c>
      <c r="L37" s="15">
        <v>4567.78</v>
      </c>
      <c r="M37" s="19">
        <v>4646.49</v>
      </c>
      <c r="N37" s="15">
        <v>4624.49</v>
      </c>
      <c r="O37" s="15">
        <v>4510.7</v>
      </c>
    </row>
    <row r="38" spans="1:15" x14ac:dyDescent="0.3">
      <c r="A38" s="63"/>
      <c r="B38" s="13" t="s">
        <v>43</v>
      </c>
      <c r="C38" s="14" t="e">
        <f ca="1">C34/3600*([1]!Enthalpy("carbon dioxide","TP","SI",C16+273.15,C27)-[1]!Enthalpy("carbon dioxide","TP","SI",C13+273.15,C25))*1000</f>
        <v>#NAME?</v>
      </c>
      <c r="D38" s="14">
        <v>5232.9277611807529</v>
      </c>
      <c r="E38" s="14">
        <v>5578.4667509111368</v>
      </c>
      <c r="F38" s="14">
        <v>5625.2483505403588</v>
      </c>
      <c r="G38" s="28">
        <v>5660.6864096587506</v>
      </c>
      <c r="H38" s="28">
        <v>5656.5931931549103</v>
      </c>
      <c r="I38" s="28">
        <v>6668.6838359605426</v>
      </c>
      <c r="K38" s="38">
        <v>4041.0201683604619</v>
      </c>
      <c r="L38" s="38">
        <v>5210.1949607169981</v>
      </c>
      <c r="M38" s="44">
        <v>5519.817086988498</v>
      </c>
      <c r="N38" s="52">
        <v>5504.3517106580703</v>
      </c>
      <c r="O38" s="52">
        <v>5693.2129186307093</v>
      </c>
    </row>
    <row r="39" spans="1:15" x14ac:dyDescent="0.3">
      <c r="A39" s="63"/>
      <c r="B39" s="13" t="s">
        <v>44</v>
      </c>
      <c r="C39" s="14"/>
      <c r="D39" s="14"/>
      <c r="E39" s="16"/>
      <c r="F39" s="14"/>
      <c r="G39" s="28"/>
      <c r="H39" s="14"/>
      <c r="I39" s="14"/>
      <c r="K39" s="38"/>
      <c r="L39" s="38"/>
      <c r="M39" s="42"/>
      <c r="N39" s="52"/>
      <c r="O39" s="52"/>
    </row>
    <row r="40" spans="1:15" x14ac:dyDescent="0.3">
      <c r="A40" s="63"/>
      <c r="B40" s="13" t="s">
        <v>45</v>
      </c>
      <c r="C40" s="14">
        <f>C29*C30</f>
        <v>2346</v>
      </c>
      <c r="D40" s="14">
        <v>2553</v>
      </c>
      <c r="E40" s="16">
        <v>2553</v>
      </c>
      <c r="F40" s="14">
        <v>2553</v>
      </c>
      <c r="G40" s="28">
        <v>2553</v>
      </c>
      <c r="H40" s="14">
        <v>2518.5</v>
      </c>
      <c r="I40" s="14">
        <v>2518.5</v>
      </c>
      <c r="K40" s="38">
        <v>2415</v>
      </c>
      <c r="L40" s="38">
        <v>2656.5</v>
      </c>
      <c r="M40" s="42">
        <v>2760</v>
      </c>
      <c r="N40" s="52">
        <v>2742.75</v>
      </c>
      <c r="O40" s="52">
        <v>2760</v>
      </c>
    </row>
    <row r="41" spans="1:15" x14ac:dyDescent="0.3">
      <c r="A41" s="63"/>
      <c r="B41" s="13" t="s">
        <v>46</v>
      </c>
      <c r="C41" s="14"/>
      <c r="D41" s="14"/>
      <c r="E41" s="16"/>
      <c r="F41" s="14"/>
      <c r="G41" s="28"/>
      <c r="H41" s="14"/>
      <c r="I41" s="14"/>
      <c r="K41" s="38"/>
      <c r="L41" s="38"/>
      <c r="M41" s="42"/>
      <c r="N41" s="52"/>
      <c r="O41" s="52"/>
    </row>
    <row r="42" spans="1:15" x14ac:dyDescent="0.3">
      <c r="A42" s="63"/>
      <c r="B42" s="15" t="s">
        <v>47</v>
      </c>
      <c r="C42" s="15">
        <f>C37/C40</f>
        <v>1.6956521739130435</v>
      </c>
      <c r="D42" s="15">
        <v>1.8872894633764199</v>
      </c>
      <c r="E42" s="19">
        <v>1.931852722287505</v>
      </c>
      <c r="F42" s="15">
        <v>1.9245671758715237</v>
      </c>
      <c r="G42" s="15">
        <v>1.9402154328241283</v>
      </c>
      <c r="H42" s="15">
        <v>1.9301171332142149</v>
      </c>
      <c r="I42" s="15">
        <v>1.8504983124875916</v>
      </c>
      <c r="K42" s="15">
        <v>1.5338633540372673</v>
      </c>
      <c r="L42" s="15">
        <v>1.7194729907773385</v>
      </c>
      <c r="M42" s="19">
        <v>1.6835108695652172</v>
      </c>
      <c r="N42" s="15">
        <v>1.6860778415823534</v>
      </c>
      <c r="O42" s="15">
        <v>1.6343115942028985</v>
      </c>
    </row>
    <row r="43" spans="1:15" x14ac:dyDescent="0.3">
      <c r="A43" s="63"/>
      <c r="B43" s="13" t="s">
        <v>48</v>
      </c>
      <c r="C43" s="14" t="e">
        <f ca="1">C38/C40</f>
        <v>#NAME?</v>
      </c>
      <c r="D43" s="14">
        <v>2.0497171019117717</v>
      </c>
      <c r="E43" s="16">
        <v>2.1850633571919849</v>
      </c>
      <c r="F43" s="14">
        <v>2.2033875246926593</v>
      </c>
      <c r="G43" s="28">
        <v>2.2172684722517628</v>
      </c>
      <c r="H43" s="28">
        <v>2.2460167532876358</v>
      </c>
      <c r="I43" s="28">
        <v>2.6478792280963046</v>
      </c>
      <c r="K43" s="38">
        <v>1.6733002767538145</v>
      </c>
      <c r="L43" s="38">
        <v>1.9613005686869935</v>
      </c>
      <c r="M43" s="44">
        <v>1.9999337271697457</v>
      </c>
      <c r="N43" s="52">
        <v>2.0068732879985673</v>
      </c>
      <c r="O43" s="52">
        <v>2.0627583038517061</v>
      </c>
    </row>
    <row r="44" spans="1:15" x14ac:dyDescent="0.3">
      <c r="A44" s="63"/>
      <c r="B44" s="13" t="s">
        <v>49</v>
      </c>
      <c r="C44" s="14"/>
      <c r="D44" s="14"/>
      <c r="E44" s="16"/>
      <c r="F44" s="14"/>
      <c r="G44" s="28"/>
      <c r="H44" s="14"/>
      <c r="I44" s="14"/>
      <c r="K44" s="38"/>
      <c r="L44" s="38"/>
      <c r="M44" s="42"/>
      <c r="N44" s="52"/>
      <c r="O44" s="52"/>
    </row>
    <row r="45" spans="1:15" x14ac:dyDescent="0.3">
      <c r="A45" s="63"/>
      <c r="B45" s="13" t="s">
        <v>50</v>
      </c>
      <c r="C45" s="14">
        <v>10.82</v>
      </c>
      <c r="D45" s="14">
        <v>8.51</v>
      </c>
      <c r="E45" s="16">
        <v>8.2799999999999994</v>
      </c>
      <c r="F45" s="14">
        <v>8.42</v>
      </c>
      <c r="G45" s="28">
        <v>8.2899999999999991</v>
      </c>
      <c r="H45" s="14">
        <v>8.42</v>
      </c>
      <c r="I45" s="14">
        <v>8.84</v>
      </c>
      <c r="K45" s="38">
        <v>11.63</v>
      </c>
      <c r="L45" s="38">
        <v>9.1999999999999993</v>
      </c>
      <c r="M45" s="42">
        <v>9.14</v>
      </c>
      <c r="N45" s="52">
        <v>9.25</v>
      </c>
      <c r="O45" s="52">
        <v>9.41</v>
      </c>
    </row>
    <row r="46" spans="1:15" x14ac:dyDescent="0.3">
      <c r="A46" s="63"/>
      <c r="B46" s="13" t="s">
        <v>51</v>
      </c>
      <c r="C46" s="14">
        <v>10.56</v>
      </c>
      <c r="D46" s="14">
        <v>8.2200000000000006</v>
      </c>
      <c r="E46" s="16">
        <v>7.95</v>
      </c>
      <c r="F46" s="14">
        <v>8.06</v>
      </c>
      <c r="G46" s="28">
        <v>7.99</v>
      </c>
      <c r="H46" s="14">
        <v>8.19</v>
      </c>
      <c r="I46" s="14">
        <v>8.77</v>
      </c>
      <c r="K46" s="38">
        <v>11.22</v>
      </c>
      <c r="L46" s="38">
        <v>8.86</v>
      </c>
      <c r="M46" s="42">
        <v>8.76</v>
      </c>
      <c r="N46" s="52">
        <v>8.85</v>
      </c>
      <c r="O46" s="52">
        <v>9.17</v>
      </c>
    </row>
    <row r="47" spans="1:15" x14ac:dyDescent="0.3">
      <c r="A47" s="63"/>
      <c r="B47" s="13" t="s">
        <v>52</v>
      </c>
      <c r="C47" s="14">
        <v>35.659999999999997</v>
      </c>
      <c r="D47" s="14">
        <v>36.94</v>
      </c>
      <c r="E47" s="16">
        <v>36.89</v>
      </c>
      <c r="F47" s="14">
        <v>36.79</v>
      </c>
      <c r="G47" s="28">
        <v>36.869999999999997</v>
      </c>
      <c r="H47" s="14">
        <v>36.6</v>
      </c>
      <c r="I47" s="14">
        <v>36.770000000000003</v>
      </c>
      <c r="K47" s="38">
        <v>35.81</v>
      </c>
      <c r="L47" s="38">
        <v>36.53</v>
      </c>
      <c r="M47" s="42">
        <v>36.57</v>
      </c>
      <c r="N47" s="52">
        <v>36.6</v>
      </c>
      <c r="O47" s="52">
        <v>37.57</v>
      </c>
    </row>
    <row r="48" spans="1:15" x14ac:dyDescent="0.3">
      <c r="A48" s="63"/>
      <c r="B48" s="13" t="s">
        <v>53</v>
      </c>
      <c r="C48" s="14">
        <v>26.56</v>
      </c>
      <c r="D48" s="14">
        <v>25.88</v>
      </c>
      <c r="E48" s="16">
        <v>25.01</v>
      </c>
      <c r="F48" s="14">
        <v>24.97</v>
      </c>
      <c r="G48" s="28">
        <v>25.03</v>
      </c>
      <c r="H48" s="14">
        <v>24.99</v>
      </c>
      <c r="I48" s="14">
        <v>25.26</v>
      </c>
      <c r="K48" s="38">
        <v>26.36</v>
      </c>
      <c r="L48" s="38">
        <v>25.07</v>
      </c>
      <c r="M48" s="42">
        <v>24.93</v>
      </c>
      <c r="N48" s="52">
        <v>24.99</v>
      </c>
      <c r="O48" s="52">
        <v>25.62</v>
      </c>
    </row>
    <row r="49" spans="1:15" x14ac:dyDescent="0.3">
      <c r="A49" s="63"/>
      <c r="B49" s="13" t="s">
        <v>54</v>
      </c>
      <c r="C49" s="14" t="e">
        <f ca="1">C37/C38</f>
        <v>#NAME?</v>
      </c>
      <c r="D49" s="14">
        <v>0.92075607000407256</v>
      </c>
      <c r="E49" s="16">
        <v>0.88411748608064189</v>
      </c>
      <c r="F49" s="14">
        <v>0.87345832464943862</v>
      </c>
      <c r="G49" s="28">
        <v>0.8750475899085548</v>
      </c>
      <c r="H49" s="14">
        <v>0.85935117375637615</v>
      </c>
      <c r="I49" s="14">
        <v>0.69886054199609748</v>
      </c>
      <c r="K49" s="38">
        <v>0.91666951553545817</v>
      </c>
      <c r="L49" s="38">
        <v>0.87670039882181439</v>
      </c>
      <c r="M49" s="44">
        <v>0.84178332846442783</v>
      </c>
      <c r="N49" s="52">
        <v>0.84015161877203537</v>
      </c>
      <c r="O49" s="52">
        <v>0.79229427468609082</v>
      </c>
    </row>
    <row r="50" spans="1:15" x14ac:dyDescent="0.3">
      <c r="A50" s="63"/>
      <c r="B50" s="13" t="s">
        <v>55</v>
      </c>
      <c r="C50" s="14" t="e">
        <f ca="1">C34/3600*([1]!Enthalpy("carbon dioxide","TP","SI",C8+273.15,C22)-[1]!Enthalpy("carbon dioxide","TP","SI",C7+273.15,C21))*1000</f>
        <v>#NAME?</v>
      </c>
      <c r="D50" s="14">
        <v>2185.6563677627064</v>
      </c>
      <c r="E50" s="14">
        <v>2194.2645939296594</v>
      </c>
      <c r="F50" s="14">
        <v>2221.4653778738198</v>
      </c>
      <c r="G50" s="28">
        <v>2233.252875594349</v>
      </c>
      <c r="H50" s="28">
        <v>2232.4753720983772</v>
      </c>
      <c r="I50" s="28">
        <v>2229.3803049523131</v>
      </c>
      <c r="K50" s="38">
        <v>2090.350854200844</v>
      </c>
      <c r="L50" s="38">
        <v>2229.617742817386</v>
      </c>
      <c r="M50" s="44">
        <v>2122.810779816486</v>
      </c>
      <c r="N50" s="52">
        <v>2176.3023216059728</v>
      </c>
      <c r="O50" s="52">
        <v>2066.6091103626791</v>
      </c>
    </row>
    <row r="51" spans="1:15" x14ac:dyDescent="0.3">
      <c r="A51" s="63"/>
      <c r="B51" s="13" t="s">
        <v>56</v>
      </c>
      <c r="C51" s="14" t="e">
        <f ca="1">C34/3600*1000*([1]!Enthalpy("carbon dioxide","PS","SI",C22,[1]!Entropy("carbon dioxide","TP","SI",C7+273.15,C21))-[1]!Enthalpy("carbon dioxide","TP","SI",C7+273.15,C21))</f>
        <v>#NAME?</v>
      </c>
      <c r="D51" s="14">
        <v>1707.2993565225913</v>
      </c>
      <c r="E51" s="14">
        <v>1714.4517359092861</v>
      </c>
      <c r="F51" s="14">
        <v>1702.6415184479736</v>
      </c>
      <c r="G51" s="28">
        <v>1687.675248496417</v>
      </c>
      <c r="H51" s="28">
        <v>1650.7926704029055</v>
      </c>
      <c r="I51" s="28">
        <v>1681.6091969632901</v>
      </c>
      <c r="K51" s="38">
        <v>1539.259177016798</v>
      </c>
      <c r="L51" s="38">
        <v>1737.752352748746</v>
      </c>
      <c r="M51" s="44">
        <v>1799.9230874955108</v>
      </c>
      <c r="N51" s="52">
        <v>1769.654450027039</v>
      </c>
      <c r="O51" s="52">
        <v>1805.6924729729571</v>
      </c>
    </row>
    <row r="52" spans="1:15" x14ac:dyDescent="0.3">
      <c r="A52" s="63"/>
      <c r="B52" s="13" t="s">
        <v>57</v>
      </c>
      <c r="C52" s="14">
        <f>C22/C21</f>
        <v>2.9214285714285717</v>
      </c>
      <c r="D52" s="14">
        <v>2.9114754098360658</v>
      </c>
      <c r="E52" s="16">
        <v>2.8291139240506324</v>
      </c>
      <c r="F52" s="14">
        <v>2.8439490445859872</v>
      </c>
      <c r="G52" s="28">
        <v>2.7968749999999996</v>
      </c>
      <c r="H52" s="14">
        <v>2.7507788161993769</v>
      </c>
      <c r="I52" s="14">
        <v>2.6808510638297873</v>
      </c>
      <c r="K52" s="38">
        <v>3.4039999999999999</v>
      </c>
      <c r="L52" s="38">
        <v>3.0463576158940393</v>
      </c>
      <c r="M52" s="44">
        <v>3.0222929936305731</v>
      </c>
      <c r="N52" s="52">
        <v>3.0480769230769229</v>
      </c>
      <c r="O52" s="52">
        <v>3.0031249999999998</v>
      </c>
    </row>
    <row r="53" spans="1:15" x14ac:dyDescent="0.3">
      <c r="A53" s="63"/>
      <c r="B53" s="13" t="s">
        <v>58</v>
      </c>
      <c r="C53" s="14" t="e">
        <f ca="1">C50/C40</f>
        <v>#NAME?</v>
      </c>
      <c r="D53" s="14">
        <v>0.85611295251183173</v>
      </c>
      <c r="E53" s="16">
        <v>0.85948476064616508</v>
      </c>
      <c r="F53" s="14">
        <v>0.8701392001072541</v>
      </c>
      <c r="G53" s="28">
        <v>0.87475631633151152</v>
      </c>
      <c r="H53" s="14">
        <v>0.88643056267555176</v>
      </c>
      <c r="I53" s="14">
        <v>0.88520162991952078</v>
      </c>
      <c r="K53" s="38">
        <v>0.86556971188440746</v>
      </c>
      <c r="L53" s="38">
        <v>0.83930650962446296</v>
      </c>
      <c r="M53" s="44">
        <v>0.76913434051321961</v>
      </c>
      <c r="N53" s="52">
        <v>0.79347454985178112</v>
      </c>
      <c r="O53" s="52">
        <v>0.74877141679807213</v>
      </c>
    </row>
    <row r="54" spans="1:15" x14ac:dyDescent="0.3">
      <c r="A54" s="63"/>
      <c r="B54" s="13" t="s">
        <v>59</v>
      </c>
      <c r="C54" s="14" t="e">
        <f t="shared" ref="C54" ca="1" si="0">C51/C50</f>
        <v>#NAME?</v>
      </c>
      <c r="D54" s="14">
        <v>0.78113805157314209</v>
      </c>
      <c r="E54" s="20">
        <v>0.78133318135481222</v>
      </c>
      <c r="F54" s="21">
        <v>0.76644972071434392</v>
      </c>
      <c r="G54" s="29">
        <v>0.75570270923630445</v>
      </c>
      <c r="H54" s="14">
        <v>0.73944496366437895</v>
      </c>
      <c r="I54" s="14">
        <v>0.75429445269063689</v>
      </c>
      <c r="K54" s="38">
        <v>0.73636402899706888</v>
      </c>
      <c r="L54" s="38">
        <v>0.77939474528619879</v>
      </c>
      <c r="M54" s="45">
        <v>0.84789615005210761</v>
      </c>
      <c r="N54" s="53">
        <v>0.81314734283844647</v>
      </c>
      <c r="O54" s="45">
        <v>0.87374649802838988</v>
      </c>
    </row>
    <row r="55" spans="1:15" x14ac:dyDescent="0.3">
      <c r="A55" s="63"/>
      <c r="B55" s="13" t="s">
        <v>60</v>
      </c>
      <c r="C55" s="14" t="e">
        <f ca="1">C34/((C32*5.8/1000000)*60*[1]!Density("carbon dioxide","TP","SI",C7+273.15,C21))</f>
        <v>#NAME?</v>
      </c>
      <c r="D55" s="14">
        <v>0.96404500041475727</v>
      </c>
      <c r="E55" s="14">
        <v>0.96280937390324273</v>
      </c>
      <c r="F55" s="14">
        <v>0.9569297311479309</v>
      </c>
      <c r="G55" s="28">
        <v>0.94745724596183356</v>
      </c>
      <c r="H55" s="28">
        <v>0.94081224630036675</v>
      </c>
      <c r="I55" s="28">
        <v>0.96172795470985872</v>
      </c>
      <c r="K55" s="38">
        <v>0.9096067641862231</v>
      </c>
      <c r="L55" s="38">
        <v>0.9447132798580482</v>
      </c>
      <c r="M55" s="44">
        <v>0.94805172427475704</v>
      </c>
      <c r="N55" s="52">
        <v>0.93007931255007192</v>
      </c>
      <c r="O55" s="52">
        <v>0.93899914448348265</v>
      </c>
    </row>
    <row r="56" spans="1:15" x14ac:dyDescent="0.3">
      <c r="A56" s="63"/>
      <c r="B56" s="13" t="s">
        <v>61</v>
      </c>
      <c r="C56" s="14" t="e">
        <f ca="1">C53*C54</f>
        <v>#NAME?</v>
      </c>
      <c r="D56" s="14">
        <v>0.66874240365162219</v>
      </c>
      <c r="E56" s="16">
        <v>0.67154396236164748</v>
      </c>
      <c r="F56" s="14">
        <v>0.66691794690480755</v>
      </c>
      <c r="G56" s="28">
        <v>0.66105571817329301</v>
      </c>
      <c r="H56" s="14">
        <v>0.65546661520861838</v>
      </c>
      <c r="I56" s="14">
        <v>0.66770267896100466</v>
      </c>
      <c r="K56" s="38">
        <v>0.63737440042103433</v>
      </c>
      <c r="L56" s="38">
        <v>0.65415108328580684</v>
      </c>
      <c r="M56" s="44">
        <v>0.65214604619402572</v>
      </c>
      <c r="N56" s="52">
        <v>0.64521172182190822</v>
      </c>
      <c r="O56" s="52">
        <v>0.65423640325107146</v>
      </c>
    </row>
    <row r="57" spans="1:15" x14ac:dyDescent="0.3">
      <c r="A57" s="63"/>
      <c r="B57" s="13" t="s">
        <v>62</v>
      </c>
      <c r="C57" s="14"/>
      <c r="D57" s="14"/>
      <c r="E57" s="16"/>
      <c r="F57" s="14"/>
      <c r="G57" s="28"/>
      <c r="H57" s="14"/>
      <c r="I57" s="14"/>
      <c r="K57" s="38"/>
      <c r="L57" s="38"/>
      <c r="M57" s="42"/>
      <c r="N57" s="52"/>
      <c r="O57" s="52"/>
    </row>
    <row r="60" spans="1:15" x14ac:dyDescent="0.3">
      <c r="B60" s="9" t="s">
        <v>26</v>
      </c>
      <c r="C60" s="9" t="s">
        <v>27</v>
      </c>
      <c r="D60" s="13" t="s">
        <v>59</v>
      </c>
      <c r="E60" s="13" t="s">
        <v>60</v>
      </c>
      <c r="F60" t="s">
        <v>81</v>
      </c>
    </row>
    <row r="61" spans="1:15" x14ac:dyDescent="0.3">
      <c r="B61" s="10">
        <v>3.29</v>
      </c>
      <c r="C61" s="10">
        <v>8.82</v>
      </c>
      <c r="D61" s="14">
        <v>0.75429445269063689</v>
      </c>
      <c r="E61" s="15">
        <v>0.96172795470985872</v>
      </c>
      <c r="F61">
        <f t="shared" ref="F61:F71" si="1">C61/B61</f>
        <v>2.6808510638297873</v>
      </c>
    </row>
    <row r="62" spans="1:15" x14ac:dyDescent="0.3">
      <c r="B62" s="10">
        <v>3.21</v>
      </c>
      <c r="C62" s="10">
        <v>8.83</v>
      </c>
      <c r="D62" s="14">
        <v>0.73944496366437895</v>
      </c>
      <c r="E62" s="28">
        <v>0.94081224630036675</v>
      </c>
      <c r="F62">
        <f t="shared" si="1"/>
        <v>2.7507788161993769</v>
      </c>
    </row>
    <row r="63" spans="1:15" x14ac:dyDescent="0.3">
      <c r="B63" s="26">
        <v>3.2</v>
      </c>
      <c r="C63" s="27">
        <v>8.9499999999999993</v>
      </c>
      <c r="D63" s="29">
        <v>0.75570270923630445</v>
      </c>
      <c r="E63" s="28">
        <v>0.94745724596183356</v>
      </c>
      <c r="F63">
        <f t="shared" si="1"/>
        <v>2.7968749999999996</v>
      </c>
    </row>
    <row r="64" spans="1:15" x14ac:dyDescent="0.3">
      <c r="B64" s="18">
        <v>3.16</v>
      </c>
      <c r="C64" s="18">
        <v>8.94</v>
      </c>
      <c r="D64" s="20">
        <v>0.78133318135481222</v>
      </c>
      <c r="E64" s="14">
        <v>0.96280937390324273</v>
      </c>
      <c r="F64">
        <f t="shared" si="1"/>
        <v>2.8291139240506324</v>
      </c>
    </row>
    <row r="65" spans="2:6" x14ac:dyDescent="0.3">
      <c r="B65" s="10">
        <v>3.14</v>
      </c>
      <c r="C65" s="10">
        <v>8.93</v>
      </c>
      <c r="D65" s="21">
        <v>0.76644972071434392</v>
      </c>
      <c r="E65" s="15">
        <v>0.9569297311479309</v>
      </c>
      <c r="F65">
        <f t="shared" si="1"/>
        <v>2.8439490445859872</v>
      </c>
    </row>
    <row r="66" spans="2:6" x14ac:dyDescent="0.3">
      <c r="B66" s="10">
        <v>3.05</v>
      </c>
      <c r="C66" s="10">
        <v>8.8800000000000008</v>
      </c>
      <c r="D66" s="14">
        <v>0.78113805157314209</v>
      </c>
      <c r="E66" s="14">
        <v>0.96404500041475727</v>
      </c>
      <c r="F66">
        <f t="shared" si="1"/>
        <v>2.9114754098360658</v>
      </c>
    </row>
    <row r="67" spans="2:6" x14ac:dyDescent="0.3">
      <c r="B67" s="10">
        <v>2.8</v>
      </c>
      <c r="C67" s="10">
        <v>8.18</v>
      </c>
      <c r="D67" s="14">
        <v>0.78700000000000003</v>
      </c>
      <c r="E67" s="14">
        <v>0.97299999999999998</v>
      </c>
      <c r="F67">
        <f t="shared" si="1"/>
        <v>2.9214285714285717</v>
      </c>
    </row>
    <row r="68" spans="2:6" x14ac:dyDescent="0.3">
      <c r="B68" s="50">
        <v>3.2</v>
      </c>
      <c r="C68" s="51">
        <v>9.61</v>
      </c>
      <c r="D68" s="45">
        <v>0.87374649802838988</v>
      </c>
      <c r="E68" s="15">
        <v>0.93899914448348265</v>
      </c>
      <c r="F68">
        <f t="shared" si="1"/>
        <v>3.0031249999999998</v>
      </c>
    </row>
    <row r="69" spans="2:6" x14ac:dyDescent="0.3">
      <c r="B69" s="43">
        <v>3.14</v>
      </c>
      <c r="C69" s="43">
        <v>9.49</v>
      </c>
      <c r="D69" s="45">
        <v>0.84789615005210761</v>
      </c>
      <c r="E69" s="44">
        <v>0.94805172427475704</v>
      </c>
      <c r="F69">
        <f t="shared" si="1"/>
        <v>3.0222929936305731</v>
      </c>
    </row>
    <row r="70" spans="2:6" x14ac:dyDescent="0.3">
      <c r="B70" s="38">
        <v>3.02</v>
      </c>
      <c r="C70" s="38">
        <v>9.1999999999999993</v>
      </c>
      <c r="D70" s="38">
        <v>0.77939474528619879</v>
      </c>
      <c r="E70" s="38">
        <v>0.9447132798580482</v>
      </c>
      <c r="F70">
        <f t="shared" si="1"/>
        <v>3.0463576158940393</v>
      </c>
    </row>
    <row r="71" spans="2:6" x14ac:dyDescent="0.3">
      <c r="B71" s="50">
        <v>3.12</v>
      </c>
      <c r="C71" s="51">
        <v>9.51</v>
      </c>
      <c r="D71" s="53">
        <v>0.81314734283844647</v>
      </c>
      <c r="E71" s="52">
        <v>0.93007931255007192</v>
      </c>
      <c r="F71">
        <f t="shared" si="1"/>
        <v>3.0480769230769229</v>
      </c>
    </row>
    <row r="72" spans="2:6" x14ac:dyDescent="0.3">
      <c r="B72" s="36">
        <v>2.5</v>
      </c>
      <c r="C72" s="36">
        <v>8.51</v>
      </c>
      <c r="D72" s="38">
        <v>0.73636402899706888</v>
      </c>
      <c r="E72" s="38">
        <v>0.9096067641862231</v>
      </c>
      <c r="F72">
        <f t="shared" ref="F72" si="2">C72/B72</f>
        <v>3.4039999999999999</v>
      </c>
    </row>
  </sheetData>
  <mergeCells count="4">
    <mergeCell ref="A3:A6"/>
    <mergeCell ref="A7:A20"/>
    <mergeCell ref="A21:A28"/>
    <mergeCell ref="A29:A57"/>
  </mergeCells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Wang Anci</cp:lastModifiedBy>
  <dcterms:created xsi:type="dcterms:W3CDTF">2015-06-05T18:19:34Z</dcterms:created>
  <dcterms:modified xsi:type="dcterms:W3CDTF">2021-09-21T08:59:23Z</dcterms:modified>
</cp:coreProperties>
</file>