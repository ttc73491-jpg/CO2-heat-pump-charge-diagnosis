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0℃/"/>
    </mc:Choice>
  </mc:AlternateContent>
  <xr:revisionPtr revIDLastSave="0" documentId="11_D7BB46F1EB257997D97C5777BF45CD57BEF191F9" xr6:coauthVersionLast="46" xr6:coauthVersionMax="46" xr10:uidLastSave="{00000000-0000-0000-0000-000000000000}"/>
  <bookViews>
    <workbookView minimized="1" xWindow="7440" yWindow="1284" windowWidth="13824" windowHeight="7176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2" l="1"/>
  <c r="K43" i="2" s="1"/>
  <c r="J53" i="2"/>
  <c r="K53" i="2"/>
  <c r="J41" i="2"/>
  <c r="J43" i="2" s="1"/>
  <c r="I53" i="2"/>
  <c r="I41" i="2"/>
  <c r="I43" i="2" s="1"/>
  <c r="F53" i="2"/>
  <c r="G53" i="2"/>
  <c r="H53" i="2"/>
  <c r="K39" i="2"/>
  <c r="J56" i="2"/>
  <c r="K52" i="2"/>
  <c r="K51" i="2"/>
  <c r="K56" i="2"/>
  <c r="J52" i="2"/>
  <c r="J51" i="2"/>
  <c r="J39" i="2"/>
  <c r="J44" i="2" s="1"/>
  <c r="I39" i="2"/>
  <c r="I51" i="2"/>
  <c r="I52" i="2"/>
  <c r="I56" i="2"/>
  <c r="G51" i="2"/>
  <c r="H56" i="2"/>
  <c r="F51" i="2"/>
  <c r="H51" i="2"/>
  <c r="G56" i="2"/>
  <c r="F52" i="2"/>
  <c r="F56" i="2"/>
  <c r="G52" i="2"/>
  <c r="H52" i="2"/>
  <c r="J50" i="2" l="1"/>
  <c r="K44" i="2"/>
  <c r="K50" i="2"/>
  <c r="J54" i="2"/>
  <c r="J55" i="2"/>
  <c r="K54" i="2"/>
  <c r="K55" i="2"/>
  <c r="I50" i="2"/>
  <c r="I44" i="2"/>
  <c r="I55" i="2"/>
  <c r="I54" i="2"/>
  <c r="H55" i="2"/>
  <c r="G55" i="2"/>
  <c r="F55" i="2"/>
  <c r="H54" i="2"/>
  <c r="G54" i="2"/>
  <c r="H41" i="2"/>
  <c r="H43" i="2" s="1"/>
  <c r="G41" i="2"/>
  <c r="G43" i="2" s="1"/>
  <c r="G39" i="2"/>
  <c r="G50" i="2" s="1"/>
  <c r="H39" i="2"/>
  <c r="H50" i="2" s="1"/>
  <c r="J57" i="2" l="1"/>
  <c r="K57" i="2"/>
  <c r="I57" i="2"/>
  <c r="G57" i="2"/>
  <c r="H57" i="2"/>
  <c r="H44" i="2"/>
  <c r="G44" i="2"/>
  <c r="C6" i="7"/>
  <c r="C5" i="7"/>
  <c r="C4" i="7"/>
  <c r="C3" i="7"/>
  <c r="C2" i="7"/>
  <c r="C1" i="7"/>
  <c r="E39" i="2"/>
  <c r="E50" i="2" s="1"/>
  <c r="D39" i="2"/>
  <c r="F39" i="2"/>
  <c r="F50" i="2" s="1"/>
  <c r="C39" i="2"/>
  <c r="D53" i="2" l="1"/>
  <c r="E53" i="2"/>
  <c r="F41" i="2"/>
  <c r="C53" i="2"/>
  <c r="E52" i="2"/>
  <c r="E56" i="2"/>
  <c r="E51" i="2"/>
  <c r="C56" i="2"/>
  <c r="C51" i="2"/>
  <c r="D52" i="2"/>
  <c r="C52" i="2"/>
  <c r="D56" i="2"/>
  <c r="D51" i="2"/>
  <c r="F43" i="2" l="1"/>
  <c r="F54" i="2"/>
  <c r="F57" i="2" s="1"/>
  <c r="D50" i="2"/>
  <c r="D55" i="2"/>
  <c r="E55" i="2"/>
  <c r="F44" i="2"/>
  <c r="D41" i="2" l="1"/>
  <c r="E41" i="2"/>
  <c r="C41" i="2"/>
  <c r="D43" i="2" l="1"/>
  <c r="D54" i="2"/>
  <c r="D57" i="2" s="1"/>
  <c r="D44" i="2"/>
  <c r="E43" i="2"/>
  <c r="E54" i="2"/>
  <c r="E57" i="2" s="1"/>
  <c r="E44" i="2"/>
  <c r="C43" i="2"/>
  <c r="C44" i="2"/>
  <c r="C55" i="2"/>
  <c r="C54" i="2"/>
  <c r="C57" i="2" l="1"/>
  <c r="C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6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<sst xmlns="http://schemas.openxmlformats.org/spreadsheetml/2006/main" count="136" uniqueCount="118">
  <si>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</si>
  <si>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</si>
  <si>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</si>
  <si>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</si>
  <si>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</si>
  <si>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</si>
  <si>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</si>
  <si>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</si>
  <si>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</si>
  <si>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</si>
  <si>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</si>
  <si>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</si>
  <si>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</si>
  <si>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</si>
  <si>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</si>
  <si>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</si>
  <si>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</si>
  <si>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</si>
  <si>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</si>
  <si>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</si>
  <si>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</si>
  <si>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</si>
  <si>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列11</t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</si>
  <si>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</si>
  <si>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</si>
  <si>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</si>
  <si>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</si>
  <si>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</si>
  <si>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</si>
  <si>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</si>
  <si>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</si>
  <si>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</si>
  <si>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</si>
  <si>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</si>
  <si>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</si>
  <si>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</si>
  <si>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</si>
  <si>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</si>
  <si>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组10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</si>
  <si>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</si>
  <si>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</si>
  <si>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</si>
  <si>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</si>
  <si>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</si>
  <si>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</si>
  <si>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</si>
  <si>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</si>
  <si>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</si>
  <si>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组11</t>
  </si>
  <si>
    <t>组12</t>
  </si>
  <si>
    <t>组13</t>
  </si>
  <si>
    <t>组14</t>
  </si>
  <si>
    <t>组15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</si>
  <si>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</si>
  <si>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</si>
  <si>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</si>
  <si>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</si>
  <si>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</si>
  <si>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</si>
  <si>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</si>
  <si>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</si>
  <si>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组5</t>
  </si>
  <si>
    <t>性能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</si>
  <si>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</si>
  <si>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</si>
  <si>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</si>
  <si>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</si>
  <si>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</si>
  <si>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</si>
  <si>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</si>
  <si>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</si>
  <si>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</si>
  <si>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</si>
  <si>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</si>
  <si>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</si>
  <si>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</si>
  <si>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</si>
  <si>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</si>
  <si>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</si>
  <si>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</si>
  <si>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</si>
  <si>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</si>
  <si>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</si>
  <si>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</si>
  <si>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</si>
  <si>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</si>
  <si>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</si>
  <si>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</si>
  <si>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</si>
  <si>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</si>
  <si>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</si>
  <si>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</si>
  <si>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</si>
  <si>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</si>
  <si>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</si>
  <si>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</si>
  <si>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</si>
  <si>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</si>
  <si>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</si>
  <si>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</si>
  <si>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</si>
  <si>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</si>
  <si>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</si>
  <si>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</si>
  <si>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</si>
  <si>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</si>
  <si>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</si>
  <si>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</si>
  <si>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</si>
  <si>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</si>
  <si>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</si>
  <si>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</si>
  <si>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</si>
  <si>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</si>
  <si>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</si>
  <si>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</si>
  <si>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无回热</t>
    <phoneticPr fontId="5" type="noConversion"/>
  </si>
  <si>
    <t>全回热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</si>
</sst>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3" fillId="7" borderId="1" xfId="2" applyFill="1" applyAlignment="1">
      <alignment horizontal="center" vertical="center"/>
    </xf>
    <xf numFmtId="0" fontId="4" fillId="7" borderId="1" xfId="3" applyFill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0" fillId="7" borderId="3" xfId="4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35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3.5590000000000002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-1.4999999999998792E-2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9.6000000000000085E-2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0.375</c:v>
                </c:pt>
                <c:pt idx="1">
                  <c:v>3.5590000000000002</c:v>
                </c:pt>
                <c:pt idx="2">
                  <c:v>-3.25</c:v>
                </c:pt>
                <c:pt idx="3">
                  <c:v>-1.4999999999998792E-2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292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R58" totalsRowShown="0" dataDxfId="34">
  <autoFilter ref="B1:R58" xr:uid="{00000000-0009-0000-0100-000003000000}"/>
  <tableColumns count="17">
    <tableColumn id="9" xr3:uid="{00000000-0010-0000-0000-000009000000}" name="列0" dataDxfId="33" totalsRowDxfId="32"/>
    <tableColumn id="4" xr3:uid="{00000000-0010-0000-0000-000004000000}" name="列1" dataDxfId="31" totalsRowDxfId="30"/>
    <tableColumn id="16" xr3:uid="{00000000-0010-0000-0000-000010000000}" name="列2" dataDxfId="29" totalsRowDxfId="28" dataCellStyle="输入"/>
    <tableColumn id="18" xr3:uid="{00000000-0010-0000-0000-000012000000}" name="列3" dataDxfId="27" totalsRowDxfId="26"/>
    <tableColumn id="1" xr3:uid="{00000000-0010-0000-0000-000001000000}" name="列4" dataDxfId="25" totalsRowDxfId="24"/>
    <tableColumn id="17" xr3:uid="{00000000-0010-0000-0000-000011000000}" name="列5" dataDxfId="23" totalsRowDxfId="22"/>
    <tableColumn id="21" xr3:uid="{00000000-0010-0000-0000-000015000000}" name="列6" dataDxfId="21" totalsRowDxfId="20"/>
    <tableColumn id="20" xr3:uid="{00000000-0010-0000-0000-000014000000}" name="列7" dataDxfId="19" totalsRowDxfId="18"/>
    <tableColumn id="19" xr3:uid="{00000000-0010-0000-0000-000013000000}" name="列8" dataDxfId="17" totalsRowDxfId="16"/>
    <tableColumn id="11" xr3:uid="{00000000-0010-0000-0000-00000B000000}" name="列9" dataDxfId="15" totalsRowDxfId="14"/>
    <tableColumn id="24" xr3:uid="{00000000-0010-0000-0000-000018000000}" name="列10" dataDxfId="13" totalsRowDxfId="12"/>
    <tableColumn id="23" xr3:uid="{00000000-0010-0000-0000-000017000000}" name="列11" dataDxfId="11" totalsRowDxfId="10"/>
    <tableColumn id="22" xr3:uid="{00000000-0010-0000-0000-000016000000}" name="列12" dataDxfId="9" totalsRowDxfId="8"/>
    <tableColumn id="12" xr3:uid="{00000000-0010-0000-0000-00000C000000}" name="列13" dataDxfId="7" totalsRowDxfId="6"/>
    <tableColumn id="13" xr3:uid="{00000000-0010-0000-0000-00000D000000}" name="列14" dataDxfId="5" totalsRowDxfId="4"/>
    <tableColumn id="14" xr3:uid="{00000000-0010-0000-0000-00000E000000}" name="列15" dataDxfId="3" totalsRowDxfId="2"/>
    <tableColumn id="15" xr3:uid="{00000000-0010-0000-0000-00000F000000}" name="列16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8"/>
  <sheetViews>
    <sheetView tabSelected="1" workbookViewId="0">
      <selection activeCell="K28" sqref="B28:K30"/>
    </sheetView>
  </sheetViews>
  <sheetFormatPr defaultRowHeight="13.8" x14ac:dyDescent="0.25"/>
  <cols>
    <col min="2" max="2" width="29.21875" customWidth="1"/>
    <col min="3" max="3" width="20.6640625" style="6" customWidth="1"/>
    <col min="4" max="4" width="11.21875" style="6" customWidth="1"/>
    <col min="5" max="5" width="11.109375" customWidth="1"/>
    <col min="6" max="6" width="15.77734375" customWidth="1"/>
    <col min="7" max="7" width="11.21875" customWidth="1"/>
    <col min="8" max="8" width="12.109375" customWidth="1"/>
    <col min="9" max="9" width="13.109375" customWidth="1"/>
    <col min="12" max="14" width="9.109375" customWidth="1"/>
  </cols>
  <sheetData>
    <row r="1" spans="1:18" x14ac:dyDescent="0.25"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12</v>
      </c>
      <c r="L1" s="6" t="s">
        <v>37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63</v>
      </c>
    </row>
    <row r="2" spans="1:18" x14ac:dyDescent="0.25">
      <c r="B2" s="1" t="s">
        <v>27</v>
      </c>
      <c r="C2" s="1" t="s">
        <v>116</v>
      </c>
      <c r="D2" s="17" t="s">
        <v>117</v>
      </c>
      <c r="E2" s="17" t="s">
        <v>117</v>
      </c>
      <c r="F2" s="17" t="s">
        <v>117</v>
      </c>
      <c r="G2" s="17" t="s">
        <v>117</v>
      </c>
      <c r="H2" s="17" t="s">
        <v>117</v>
      </c>
      <c r="I2" s="17" t="s">
        <v>117</v>
      </c>
      <c r="J2" s="17" t="s">
        <v>117</v>
      </c>
      <c r="K2" s="17" t="s">
        <v>117</v>
      </c>
      <c r="L2" s="17" t="s">
        <v>117</v>
      </c>
      <c r="M2" s="1"/>
      <c r="N2" s="1"/>
      <c r="O2" s="1"/>
      <c r="P2" s="1"/>
      <c r="Q2" s="1"/>
      <c r="R2" s="1"/>
    </row>
    <row r="3" spans="1:18" x14ac:dyDescent="0.25">
      <c r="A3" t="s">
        <v>18</v>
      </c>
      <c r="B3" s="1" t="s">
        <v>19</v>
      </c>
      <c r="C3" s="1" t="s">
        <v>29</v>
      </c>
      <c r="D3" s="17" t="s">
        <v>31</v>
      </c>
      <c r="E3" s="1" t="s">
        <v>30</v>
      </c>
      <c r="F3" s="10" t="s">
        <v>32</v>
      </c>
      <c r="G3" s="10" t="s">
        <v>61</v>
      </c>
      <c r="H3" s="21" t="s">
        <v>33</v>
      </c>
      <c r="I3" s="10" t="s">
        <v>34</v>
      </c>
      <c r="J3" s="10" t="s">
        <v>35</v>
      </c>
      <c r="K3" s="10" t="s">
        <v>36</v>
      </c>
      <c r="L3" s="10" t="s">
        <v>38</v>
      </c>
      <c r="M3" s="10" t="s">
        <v>48</v>
      </c>
      <c r="N3" s="10" t="s">
        <v>49</v>
      </c>
      <c r="O3" s="10" t="s">
        <v>50</v>
      </c>
      <c r="P3" s="10" t="s">
        <v>51</v>
      </c>
      <c r="Q3" s="10" t="s">
        <v>52</v>
      </c>
      <c r="R3" s="10" t="s">
        <v>64</v>
      </c>
    </row>
    <row r="4" spans="1:18" ht="13.5" customHeight="1" x14ac:dyDescent="0.25">
      <c r="A4" s="23" t="s">
        <v>20</v>
      </c>
      <c r="B4" s="7" t="s">
        <v>14</v>
      </c>
      <c r="C4" s="7">
        <v>27</v>
      </c>
      <c r="D4" s="18">
        <v>27.1</v>
      </c>
      <c r="E4" s="7">
        <v>27</v>
      </c>
      <c r="F4" s="9">
        <v>27</v>
      </c>
      <c r="G4" s="7">
        <v>26.9</v>
      </c>
      <c r="H4" s="18">
        <v>27</v>
      </c>
      <c r="I4" s="7">
        <v>27</v>
      </c>
      <c r="J4" s="7">
        <v>27</v>
      </c>
      <c r="K4" s="7">
        <v>27</v>
      </c>
      <c r="L4" s="7"/>
      <c r="M4" s="7"/>
      <c r="N4" s="7"/>
      <c r="O4" s="7"/>
      <c r="P4" s="7"/>
      <c r="Q4" s="7"/>
      <c r="R4" s="7"/>
    </row>
    <row r="5" spans="1:18" ht="13.5" customHeight="1" x14ac:dyDescent="0.25">
      <c r="A5" s="24"/>
      <c r="B5" s="7" t="s">
        <v>15</v>
      </c>
      <c r="C5" s="7">
        <v>19.5</v>
      </c>
      <c r="D5" s="18">
        <v>19.5</v>
      </c>
      <c r="E5" s="7">
        <v>19.5</v>
      </c>
      <c r="F5" s="9">
        <v>19.5</v>
      </c>
      <c r="G5" s="7">
        <v>19.5</v>
      </c>
      <c r="H5" s="18">
        <v>19.5</v>
      </c>
      <c r="I5" s="7">
        <v>19.5</v>
      </c>
      <c r="J5" s="7">
        <v>19.600000000000001</v>
      </c>
      <c r="K5" s="7">
        <v>19.5</v>
      </c>
      <c r="L5" s="7"/>
      <c r="M5" s="7"/>
      <c r="N5" s="7"/>
      <c r="O5" s="7"/>
      <c r="P5" s="7"/>
      <c r="Q5" s="7"/>
      <c r="R5" s="7"/>
    </row>
    <row r="6" spans="1:18" ht="13.5" customHeight="1" x14ac:dyDescent="0.25">
      <c r="A6" s="24"/>
      <c r="B6" s="7" t="s">
        <v>16</v>
      </c>
      <c r="C6" s="7">
        <v>30.3</v>
      </c>
      <c r="D6" s="18">
        <v>29.8</v>
      </c>
      <c r="E6" s="7">
        <v>29.8</v>
      </c>
      <c r="F6" s="9">
        <v>29.8</v>
      </c>
      <c r="G6" s="7">
        <v>30</v>
      </c>
      <c r="H6" s="18">
        <v>30.2</v>
      </c>
      <c r="I6" s="7">
        <v>30.2</v>
      </c>
      <c r="J6" s="7">
        <v>29.9</v>
      </c>
      <c r="K6" s="7">
        <v>29.8</v>
      </c>
      <c r="L6" s="7"/>
      <c r="M6" s="7"/>
      <c r="N6" s="7"/>
      <c r="O6" s="7"/>
      <c r="P6" s="7"/>
      <c r="Q6" s="7"/>
      <c r="R6" s="7"/>
    </row>
    <row r="7" spans="1:18" ht="13.5" customHeight="1" x14ac:dyDescent="0.25">
      <c r="A7" s="25"/>
      <c r="B7" s="7" t="s">
        <v>17</v>
      </c>
      <c r="C7" s="7">
        <v>22.4</v>
      </c>
      <c r="D7" s="18">
        <v>21.7</v>
      </c>
      <c r="E7" s="7">
        <v>21.7</v>
      </c>
      <c r="F7" s="9">
        <v>21.5</v>
      </c>
      <c r="G7" s="7">
        <v>22.6</v>
      </c>
      <c r="H7" s="18">
        <v>22.2</v>
      </c>
      <c r="I7" s="7">
        <v>22.2</v>
      </c>
      <c r="J7" s="7">
        <v>21.8</v>
      </c>
      <c r="K7" s="7">
        <v>21.8</v>
      </c>
      <c r="L7" s="7"/>
      <c r="M7" s="7"/>
      <c r="N7" s="7"/>
      <c r="O7" s="7"/>
      <c r="P7" s="7"/>
      <c r="Q7" s="7"/>
      <c r="R7" s="7"/>
    </row>
    <row r="8" spans="1:18" x14ac:dyDescent="0.25">
      <c r="A8" s="26" t="s">
        <v>53</v>
      </c>
      <c r="B8" s="3" t="s">
        <v>0</v>
      </c>
      <c r="C8" s="3">
        <v>-2.5</v>
      </c>
      <c r="D8" s="19">
        <v>25.92</v>
      </c>
      <c r="E8" s="3">
        <v>25.16</v>
      </c>
      <c r="F8" s="3">
        <v>26.6</v>
      </c>
      <c r="G8" s="3">
        <v>15.63</v>
      </c>
      <c r="H8" s="19">
        <v>17.96</v>
      </c>
      <c r="I8" s="3">
        <v>18.84</v>
      </c>
      <c r="J8" s="3">
        <v>-0.65</v>
      </c>
      <c r="K8" s="3">
        <v>0.65</v>
      </c>
      <c r="L8" s="3"/>
      <c r="M8" s="3"/>
      <c r="N8" s="3"/>
      <c r="O8" s="3"/>
      <c r="P8" s="3"/>
      <c r="Q8" s="3"/>
      <c r="R8" s="3"/>
    </row>
    <row r="9" spans="1:18" x14ac:dyDescent="0.25">
      <c r="A9" s="27"/>
      <c r="B9" s="3" t="s">
        <v>1</v>
      </c>
      <c r="C9" s="3">
        <v>111.99</v>
      </c>
      <c r="D9" s="19">
        <v>122.45</v>
      </c>
      <c r="E9" s="3">
        <v>124.45</v>
      </c>
      <c r="F9" s="3">
        <v>118.05</v>
      </c>
      <c r="G9" s="3">
        <v>101.38</v>
      </c>
      <c r="H9" s="19">
        <v>108.4</v>
      </c>
      <c r="I9" s="3">
        <v>114.62</v>
      </c>
      <c r="J9" s="3">
        <v>86.36</v>
      </c>
      <c r="K9" s="3">
        <v>95.09</v>
      </c>
      <c r="L9" s="3"/>
      <c r="M9" s="3"/>
      <c r="N9" s="3"/>
      <c r="O9" s="3"/>
      <c r="P9" s="3"/>
      <c r="Q9" s="3"/>
      <c r="R9" s="3"/>
    </row>
    <row r="10" spans="1:18" x14ac:dyDescent="0.25">
      <c r="A10" s="27"/>
      <c r="B10" s="3" t="s">
        <v>2</v>
      </c>
      <c r="C10" s="3">
        <v>109.13</v>
      </c>
      <c r="D10" s="19">
        <v>119.73</v>
      </c>
      <c r="E10" s="3">
        <v>119.74</v>
      </c>
      <c r="F10" s="3">
        <v>113.64</v>
      </c>
      <c r="G10" s="3">
        <v>98.43</v>
      </c>
      <c r="H10" s="19">
        <v>105.12</v>
      </c>
      <c r="I10" s="3">
        <v>110.61</v>
      </c>
      <c r="J10" s="3">
        <v>84.26</v>
      </c>
      <c r="K10" s="3">
        <v>92.58</v>
      </c>
      <c r="L10" s="3"/>
      <c r="M10" s="3"/>
      <c r="N10" s="3"/>
      <c r="O10" s="3"/>
      <c r="P10" s="3"/>
      <c r="Q10" s="3"/>
      <c r="R10" s="3"/>
    </row>
    <row r="11" spans="1:18" x14ac:dyDescent="0.25">
      <c r="A11" s="27"/>
      <c r="B11" s="3" t="s">
        <v>3</v>
      </c>
      <c r="C11" s="22">
        <v>30.15</v>
      </c>
      <c r="D11" s="19">
        <v>34.979999999999997</v>
      </c>
      <c r="E11" s="3">
        <v>29.48</v>
      </c>
      <c r="F11" s="3">
        <v>33.92</v>
      </c>
      <c r="G11" s="3">
        <v>36.700000000000003</v>
      </c>
      <c r="H11" s="19">
        <v>35.94</v>
      </c>
      <c r="I11" s="3">
        <v>35.65</v>
      </c>
      <c r="J11" s="3">
        <v>36.590000000000003</v>
      </c>
      <c r="K11" s="3">
        <v>34.36</v>
      </c>
      <c r="L11" s="3"/>
      <c r="M11" s="3"/>
      <c r="N11" s="3"/>
      <c r="O11" s="3"/>
      <c r="P11" s="3"/>
      <c r="Q11" s="3"/>
      <c r="R11" s="3"/>
    </row>
    <row r="12" spans="1:18" x14ac:dyDescent="0.25">
      <c r="A12" s="27"/>
      <c r="B12" s="3" t="s">
        <v>7</v>
      </c>
      <c r="C12" s="3">
        <v>32.880000000000003</v>
      </c>
      <c r="D12" s="19">
        <v>34.85</v>
      </c>
      <c r="E12" s="3">
        <v>34.299999999999997</v>
      </c>
      <c r="F12" s="3">
        <v>35.14</v>
      </c>
      <c r="G12" s="3">
        <v>35.58</v>
      </c>
      <c r="H12" s="19">
        <v>35.31</v>
      </c>
      <c r="I12" s="3">
        <v>34.79</v>
      </c>
      <c r="J12" s="3">
        <v>34.79</v>
      </c>
      <c r="K12" s="3">
        <v>33.840000000000003</v>
      </c>
      <c r="L12" s="3"/>
      <c r="M12" s="3"/>
      <c r="N12" s="3"/>
      <c r="O12" s="3"/>
      <c r="P12" s="3"/>
      <c r="Q12" s="3"/>
      <c r="R12" s="3"/>
    </row>
    <row r="13" spans="1:18" x14ac:dyDescent="0.25">
      <c r="A13" s="27"/>
      <c r="B13" s="3" t="s">
        <v>6</v>
      </c>
      <c r="C13" s="3">
        <v>32.6</v>
      </c>
      <c r="D13" s="19">
        <v>22.56</v>
      </c>
      <c r="E13" s="3">
        <v>221.07</v>
      </c>
      <c r="F13" s="3">
        <v>24.59</v>
      </c>
      <c r="G13" s="3">
        <v>19.920000000000002</v>
      </c>
      <c r="H13" s="19">
        <v>18.5</v>
      </c>
      <c r="I13" s="3">
        <v>16.89</v>
      </c>
      <c r="J13" s="3">
        <v>12.32</v>
      </c>
      <c r="K13" s="3">
        <v>10.66</v>
      </c>
      <c r="L13" s="3"/>
      <c r="M13" s="3"/>
      <c r="N13" s="3"/>
      <c r="O13" s="3"/>
      <c r="P13" s="3"/>
      <c r="Q13" s="3"/>
      <c r="R13" s="3"/>
    </row>
    <row r="14" spans="1:18" x14ac:dyDescent="0.25">
      <c r="A14" s="27"/>
      <c r="B14" s="4" t="s">
        <v>4</v>
      </c>
      <c r="C14" s="3">
        <v>32.08</v>
      </c>
      <c r="D14" s="19">
        <v>22.2</v>
      </c>
      <c r="E14" s="3">
        <v>20.97</v>
      </c>
      <c r="F14" s="3">
        <v>24.53</v>
      </c>
      <c r="G14" s="3">
        <v>19.78</v>
      </c>
      <c r="H14" s="19">
        <v>18.420000000000002</v>
      </c>
      <c r="I14" s="3">
        <v>16.72</v>
      </c>
      <c r="J14" s="3">
        <v>12.53</v>
      </c>
      <c r="K14" s="3">
        <v>10.94</v>
      </c>
      <c r="L14" s="3"/>
      <c r="M14" s="3"/>
      <c r="N14" s="3"/>
      <c r="O14" s="3"/>
      <c r="P14" s="3"/>
      <c r="Q14" s="3"/>
      <c r="R14" s="3"/>
    </row>
    <row r="15" spans="1:18" x14ac:dyDescent="0.25">
      <c r="A15" s="27"/>
      <c r="B15" s="4" t="s">
        <v>5</v>
      </c>
      <c r="C15" s="3">
        <v>5.12</v>
      </c>
      <c r="D15" s="19">
        <v>3.35</v>
      </c>
      <c r="E15" s="3">
        <v>2.89</v>
      </c>
      <c r="F15" s="3">
        <v>4.25</v>
      </c>
      <c r="G15" s="3">
        <v>5.05</v>
      </c>
      <c r="H15" s="19">
        <v>3.98</v>
      </c>
      <c r="I15" s="3">
        <v>3.15</v>
      </c>
      <c r="J15" s="3">
        <v>4.37</v>
      </c>
      <c r="K15" s="3">
        <v>3.24</v>
      </c>
      <c r="L15" s="3"/>
      <c r="M15" s="3"/>
      <c r="N15" s="3"/>
      <c r="O15" s="3"/>
      <c r="P15" s="3"/>
      <c r="Q15" s="3"/>
      <c r="R15" s="3"/>
    </row>
    <row r="16" spans="1:18" x14ac:dyDescent="0.25">
      <c r="A16" s="27"/>
      <c r="B16" s="4" t="s">
        <v>60</v>
      </c>
      <c r="C16" s="3">
        <v>4.8899999999999997</v>
      </c>
      <c r="D16" s="19">
        <v>3.22</v>
      </c>
      <c r="E16" s="3">
        <v>2.79</v>
      </c>
      <c r="F16" s="3">
        <v>4.1399999999999997</v>
      </c>
      <c r="G16" s="3">
        <v>5.0199999999999996</v>
      </c>
      <c r="H16" s="19">
        <v>4.01</v>
      </c>
      <c r="I16" s="3">
        <v>3.23</v>
      </c>
      <c r="J16" s="3">
        <v>4.51</v>
      </c>
      <c r="K16" s="3">
        <v>3.37</v>
      </c>
      <c r="L16" s="3"/>
      <c r="M16" s="3"/>
      <c r="N16" s="3"/>
      <c r="O16" s="3"/>
      <c r="P16" s="3"/>
      <c r="Q16" s="3"/>
      <c r="R16" s="3"/>
    </row>
    <row r="17" spans="1:18" x14ac:dyDescent="0.25">
      <c r="A17" s="27"/>
      <c r="B17" s="4" t="s">
        <v>28</v>
      </c>
      <c r="C17" s="3">
        <v>1.33</v>
      </c>
      <c r="D17" s="19">
        <v>0.83</v>
      </c>
      <c r="E17" s="3">
        <v>0.48</v>
      </c>
      <c r="F17" s="3">
        <v>1.63</v>
      </c>
      <c r="G17" s="3">
        <v>2.81</v>
      </c>
      <c r="H17" s="19">
        <v>1.85</v>
      </c>
      <c r="I17" s="3">
        <v>1.2</v>
      </c>
      <c r="J17" s="3">
        <v>2.54</v>
      </c>
      <c r="K17" s="3">
        <v>1.62</v>
      </c>
      <c r="L17" s="3"/>
      <c r="M17" s="3"/>
      <c r="N17" s="3"/>
      <c r="O17" s="3"/>
      <c r="P17" s="3"/>
      <c r="Q17" s="3"/>
      <c r="R17" s="3"/>
    </row>
    <row r="18" spans="1:18" x14ac:dyDescent="0.25">
      <c r="A18" s="27"/>
      <c r="B18" s="3" t="s">
        <v>8</v>
      </c>
      <c r="C18" s="3">
        <v>0.49</v>
      </c>
      <c r="D18" s="19">
        <v>0.27</v>
      </c>
      <c r="E18" s="3">
        <v>-0.1</v>
      </c>
      <c r="F18" s="3">
        <v>0.98</v>
      </c>
      <c r="G18" s="3">
        <v>2.02</v>
      </c>
      <c r="H18" s="19">
        <v>1.0900000000000001</v>
      </c>
      <c r="I18" s="3">
        <v>0.45</v>
      </c>
      <c r="J18" s="3">
        <v>1.65</v>
      </c>
      <c r="K18" s="3">
        <v>0.76</v>
      </c>
      <c r="L18" s="3"/>
      <c r="M18" s="3"/>
      <c r="N18" s="3"/>
      <c r="O18" s="3"/>
      <c r="P18" s="3"/>
      <c r="Q18" s="3"/>
      <c r="R18" s="3"/>
    </row>
    <row r="19" spans="1:18" x14ac:dyDescent="0.25">
      <c r="A19" s="27"/>
      <c r="B19" s="3" t="s">
        <v>9</v>
      </c>
      <c r="C19" s="3">
        <v>0</v>
      </c>
      <c r="D19" s="19">
        <v>-0.2</v>
      </c>
      <c r="E19" s="3">
        <v>-0.54</v>
      </c>
      <c r="F19" s="3">
        <v>0.61</v>
      </c>
      <c r="G19" s="3">
        <v>1.59</v>
      </c>
      <c r="H19" s="19">
        <v>0.74</v>
      </c>
      <c r="I19" s="3">
        <v>0.12</v>
      </c>
      <c r="J19" s="3">
        <v>1.24</v>
      </c>
      <c r="K19" s="3">
        <v>0.42</v>
      </c>
      <c r="L19" s="3"/>
      <c r="M19" s="3"/>
      <c r="N19" s="3"/>
      <c r="O19" s="3"/>
      <c r="P19" s="3"/>
      <c r="Q19" s="3"/>
      <c r="R19" s="3"/>
    </row>
    <row r="20" spans="1:18" x14ac:dyDescent="0.25">
      <c r="A20" s="27"/>
      <c r="B20" s="3" t="s">
        <v>10</v>
      </c>
      <c r="C20" s="3">
        <v>25.76</v>
      </c>
      <c r="D20" s="19">
        <v>-1.88</v>
      </c>
      <c r="E20" s="3">
        <v>-2.2000000000000002</v>
      </c>
      <c r="F20" s="3">
        <v>-1.0900000000000001</v>
      </c>
      <c r="G20" s="3">
        <v>-0.34</v>
      </c>
      <c r="H20" s="19">
        <v>-1.1399999999999999</v>
      </c>
      <c r="I20" s="3">
        <v>-1.67</v>
      </c>
      <c r="J20" s="3">
        <v>-0.86</v>
      </c>
      <c r="K20" s="3">
        <v>-1.59</v>
      </c>
      <c r="L20" s="3"/>
      <c r="M20" s="3"/>
      <c r="N20" s="3"/>
      <c r="O20" s="3"/>
      <c r="P20" s="3"/>
      <c r="Q20" s="3"/>
      <c r="R20" s="3"/>
    </row>
    <row r="21" spans="1:18" x14ac:dyDescent="0.25">
      <c r="A21" s="28"/>
      <c r="B21" s="3" t="s">
        <v>11</v>
      </c>
      <c r="C21" s="3">
        <v>30.55</v>
      </c>
      <c r="D21" s="19">
        <v>27.7</v>
      </c>
      <c r="E21" s="3">
        <v>27.08</v>
      </c>
      <c r="F21" s="3">
        <v>28.22</v>
      </c>
      <c r="G21" s="3">
        <v>18.739999999999998</v>
      </c>
      <c r="H21" s="19">
        <v>20.47</v>
      </c>
      <c r="I21" s="3">
        <v>21.31</v>
      </c>
      <c r="J21" s="3">
        <v>2.57</v>
      </c>
      <c r="K21" s="3">
        <v>4.33</v>
      </c>
      <c r="L21" s="3"/>
      <c r="M21" s="3"/>
      <c r="N21" s="3"/>
      <c r="O21" s="3"/>
      <c r="P21" s="3"/>
      <c r="Q21" s="3"/>
      <c r="R21" s="3"/>
    </row>
    <row r="22" spans="1:18" x14ac:dyDescent="0.25">
      <c r="A22" s="29" t="s">
        <v>54</v>
      </c>
      <c r="B22" s="2" t="s">
        <v>13</v>
      </c>
      <c r="C22" s="8">
        <v>3.25</v>
      </c>
      <c r="D22" s="20">
        <v>3.21</v>
      </c>
      <c r="E22" s="8">
        <v>3.18</v>
      </c>
      <c r="F22" s="8">
        <v>3.27</v>
      </c>
      <c r="G22" s="8">
        <v>3.37</v>
      </c>
      <c r="H22" s="20">
        <v>3.29</v>
      </c>
      <c r="I22" s="8">
        <v>3.25</v>
      </c>
      <c r="J22" s="8">
        <v>3.31</v>
      </c>
      <c r="K22" s="8">
        <v>3.26</v>
      </c>
      <c r="L22" s="8"/>
      <c r="M22" s="8"/>
      <c r="N22" s="8"/>
      <c r="O22" s="8"/>
      <c r="P22" s="8"/>
      <c r="Q22" s="8"/>
      <c r="R22" s="8"/>
    </row>
    <row r="23" spans="1:18" x14ac:dyDescent="0.25">
      <c r="A23" s="30"/>
      <c r="B23" s="2" t="s">
        <v>65</v>
      </c>
      <c r="C23" s="8">
        <v>11.48</v>
      </c>
      <c r="D23" s="20">
        <v>8.83</v>
      </c>
      <c r="E23" s="8">
        <v>8.9499999999999993</v>
      </c>
      <c r="F23" s="8">
        <v>8.6</v>
      </c>
      <c r="G23" s="8">
        <v>8.68</v>
      </c>
      <c r="H23" s="20">
        <v>8.82</v>
      </c>
      <c r="I23" s="8">
        <v>9.02</v>
      </c>
      <c r="J23" s="8">
        <v>9.2100000000000009</v>
      </c>
      <c r="K23" s="8">
        <v>9.58</v>
      </c>
      <c r="L23" s="8"/>
      <c r="M23" s="8"/>
      <c r="N23" s="8"/>
      <c r="O23" s="8"/>
      <c r="P23" s="8"/>
      <c r="Q23" s="8"/>
      <c r="R23" s="8"/>
    </row>
    <row r="24" spans="1:18" x14ac:dyDescent="0.25">
      <c r="A24" s="30"/>
      <c r="B24" s="2" t="s">
        <v>111</v>
      </c>
      <c r="C24" s="8">
        <v>11.494999999999999</v>
      </c>
      <c r="D24" s="20">
        <v>8.83</v>
      </c>
      <c r="E24" s="8">
        <v>8.9459999999999997</v>
      </c>
      <c r="F24" s="8">
        <v>8.5860000000000003</v>
      </c>
      <c r="G24" s="8">
        <v>8.6660000000000004</v>
      </c>
      <c r="H24" s="20">
        <v>8.7910000000000004</v>
      </c>
      <c r="I24" s="8">
        <v>8.968</v>
      </c>
      <c r="J24" s="8">
        <v>9.2219999999999995</v>
      </c>
      <c r="K24" s="8">
        <v>9.5679999999999996</v>
      </c>
      <c r="L24" s="8"/>
      <c r="M24" s="8"/>
      <c r="N24" s="8"/>
      <c r="O24" s="8"/>
      <c r="P24" s="8"/>
      <c r="Q24" s="8"/>
      <c r="R24" s="8"/>
    </row>
    <row r="25" spans="1:18" x14ac:dyDescent="0.25">
      <c r="A25" s="30"/>
      <c r="B25" s="2" t="s">
        <v>112</v>
      </c>
      <c r="C25" s="8">
        <v>11.398999999999999</v>
      </c>
      <c r="D25" s="20">
        <v>8.6780000000000008</v>
      </c>
      <c r="E25" s="8">
        <v>8.8239999999999998</v>
      </c>
      <c r="F25" s="8">
        <v>8.4450000000000003</v>
      </c>
      <c r="G25" s="8">
        <v>8.4260000000000002</v>
      </c>
      <c r="H25" s="20">
        <v>8.6310000000000002</v>
      </c>
      <c r="I25" s="8">
        <v>8.8710000000000004</v>
      </c>
      <c r="J25" s="8">
        <v>9.0310000000000006</v>
      </c>
      <c r="K25" s="8">
        <v>9.407</v>
      </c>
      <c r="L25" s="8"/>
      <c r="M25" s="8"/>
      <c r="N25" s="8"/>
      <c r="O25" s="8"/>
      <c r="P25" s="8"/>
      <c r="Q25" s="8"/>
      <c r="R25" s="8"/>
    </row>
    <row r="26" spans="1:18" x14ac:dyDescent="0.25">
      <c r="A26" s="30"/>
      <c r="B26" s="2" t="s">
        <v>66</v>
      </c>
      <c r="C26" s="8">
        <v>11.276</v>
      </c>
      <c r="D26" s="20">
        <v>8.58</v>
      </c>
      <c r="E26" s="8">
        <v>8.7100000000000009</v>
      </c>
      <c r="F26" s="8">
        <v>8.27</v>
      </c>
      <c r="G26" s="8">
        <v>8.3290000000000006</v>
      </c>
      <c r="H26" s="20">
        <v>8.5150000000000006</v>
      </c>
      <c r="I26" s="8">
        <v>8.8640000000000008</v>
      </c>
      <c r="J26" s="8">
        <v>8.8469999999999995</v>
      </c>
      <c r="K26" s="8">
        <v>9.2899999999999991</v>
      </c>
      <c r="L26" s="8"/>
      <c r="M26" s="8"/>
      <c r="N26" s="8"/>
      <c r="O26" s="8"/>
      <c r="P26" s="8"/>
      <c r="Q26" s="8"/>
      <c r="R26" s="8"/>
    </row>
    <row r="27" spans="1:18" x14ac:dyDescent="0.25">
      <c r="A27" s="30"/>
      <c r="B27" s="2" t="s">
        <v>67</v>
      </c>
      <c r="C27" s="8">
        <v>3.9340000000000002</v>
      </c>
      <c r="D27" s="20">
        <v>3.8029999999999999</v>
      </c>
      <c r="E27" s="8">
        <v>3.7650000000000001</v>
      </c>
      <c r="F27" s="8">
        <v>3.8769999999999998</v>
      </c>
      <c r="G27" s="8">
        <v>3.98</v>
      </c>
      <c r="H27" s="20">
        <v>3.879</v>
      </c>
      <c r="I27" s="8">
        <v>3.7930000000000001</v>
      </c>
      <c r="J27" s="8">
        <v>3.9529999999999998</v>
      </c>
      <c r="K27" s="8">
        <v>3.847</v>
      </c>
      <c r="L27" s="8"/>
      <c r="M27" s="8"/>
      <c r="N27" s="8"/>
      <c r="O27" s="8"/>
      <c r="P27" s="8"/>
      <c r="Q27" s="8"/>
      <c r="R27" s="8"/>
    </row>
    <row r="28" spans="1:18" x14ac:dyDescent="0.25">
      <c r="A28" s="30"/>
      <c r="B28" s="2" t="s">
        <v>113</v>
      </c>
      <c r="C28" s="8">
        <v>3.5590000000000002</v>
      </c>
      <c r="D28" s="20">
        <v>3.5270000000000001</v>
      </c>
      <c r="E28" s="8">
        <v>3.4940000000000002</v>
      </c>
      <c r="F28" s="8">
        <v>3.6030000000000002</v>
      </c>
      <c r="G28" s="8">
        <v>3.7109999999999999</v>
      </c>
      <c r="H28" s="20">
        <v>3.613</v>
      </c>
      <c r="I28" s="8">
        <v>3.5670000000000002</v>
      </c>
      <c r="J28" s="8">
        <v>3.6869999999999998</v>
      </c>
      <c r="K28" s="8">
        <v>3.605</v>
      </c>
      <c r="L28" s="8"/>
      <c r="M28" s="8"/>
      <c r="N28" s="8"/>
      <c r="O28" s="8"/>
      <c r="P28" s="8"/>
      <c r="Q28" s="8"/>
      <c r="R28" s="8"/>
    </row>
    <row r="29" spans="1:18" x14ac:dyDescent="0.25">
      <c r="A29" s="30"/>
      <c r="B29" s="8" t="s">
        <v>8</v>
      </c>
      <c r="C29" s="8"/>
      <c r="D29" s="20"/>
      <c r="E29" s="8"/>
      <c r="F29" s="8"/>
      <c r="G29" s="8"/>
      <c r="H29" s="20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s="8" customFormat="1" x14ac:dyDescent="0.25">
      <c r="A30" s="31" t="s">
        <v>62</v>
      </c>
      <c r="B30" s="11" t="s">
        <v>68</v>
      </c>
      <c r="C30" s="11">
        <v>345</v>
      </c>
      <c r="D30" s="17">
        <v>345</v>
      </c>
      <c r="E30" s="11">
        <v>345</v>
      </c>
      <c r="F30" s="11">
        <v>345</v>
      </c>
      <c r="G30" s="11">
        <v>345</v>
      </c>
      <c r="H30" s="17">
        <v>345</v>
      </c>
      <c r="I30" s="11">
        <v>345</v>
      </c>
      <c r="J30" s="11">
        <v>345</v>
      </c>
      <c r="K30" s="11">
        <v>345</v>
      </c>
      <c r="L30" s="11"/>
      <c r="M30" s="11"/>
      <c r="N30" s="11"/>
      <c r="O30" s="11"/>
      <c r="P30" s="11"/>
      <c r="Q30" s="11"/>
      <c r="R30" s="11"/>
    </row>
    <row r="31" spans="1:18" x14ac:dyDescent="0.25">
      <c r="A31" s="31"/>
      <c r="B31" s="11" t="s">
        <v>69</v>
      </c>
      <c r="C31" s="11">
        <v>9.6</v>
      </c>
      <c r="D31" s="17">
        <v>7.3</v>
      </c>
      <c r="E31" s="11">
        <v>7.4</v>
      </c>
      <c r="F31" s="11">
        <v>7.1</v>
      </c>
      <c r="G31" s="11">
        <v>7.2</v>
      </c>
      <c r="H31" s="17">
        <v>7.3</v>
      </c>
      <c r="I31" s="11">
        <v>7.5</v>
      </c>
      <c r="J31" s="11">
        <v>7.7</v>
      </c>
      <c r="K31" s="11">
        <v>8</v>
      </c>
      <c r="L31" s="11"/>
      <c r="M31" s="11"/>
      <c r="N31" s="11"/>
      <c r="O31" s="11"/>
      <c r="P31" s="11"/>
      <c r="Q31" s="11"/>
      <c r="R31" s="11"/>
    </row>
    <row r="32" spans="1:18" x14ac:dyDescent="0.25">
      <c r="A32" s="31"/>
      <c r="B32" s="13" t="s">
        <v>55</v>
      </c>
      <c r="C32" s="11">
        <v>800</v>
      </c>
      <c r="D32" s="17">
        <v>900</v>
      </c>
      <c r="E32" s="11">
        <v>900</v>
      </c>
      <c r="F32" s="11">
        <v>900</v>
      </c>
      <c r="G32" s="11">
        <v>1000</v>
      </c>
      <c r="H32" s="17">
        <v>1000</v>
      </c>
      <c r="I32" s="11">
        <v>1000</v>
      </c>
      <c r="J32" s="11">
        <v>1100</v>
      </c>
      <c r="K32" s="11">
        <v>1100</v>
      </c>
      <c r="L32" s="11"/>
      <c r="M32" s="11"/>
      <c r="N32" s="11"/>
      <c r="O32" s="11"/>
      <c r="P32" s="11"/>
      <c r="Q32" s="11"/>
      <c r="R32" s="11"/>
    </row>
    <row r="33" spans="1:18" s="5" customFormat="1" x14ac:dyDescent="0.25">
      <c r="A33" s="31"/>
      <c r="B33" s="11" t="s">
        <v>70</v>
      </c>
      <c r="C33" s="11">
        <v>5000</v>
      </c>
      <c r="D33" s="17">
        <v>5000</v>
      </c>
      <c r="E33" s="11">
        <v>5000</v>
      </c>
      <c r="F33" s="11">
        <v>5000</v>
      </c>
      <c r="G33" s="11">
        <v>5000</v>
      </c>
      <c r="H33" s="17">
        <v>5000</v>
      </c>
      <c r="I33" s="11">
        <v>5000</v>
      </c>
      <c r="J33" s="11">
        <v>5000</v>
      </c>
      <c r="K33" s="11">
        <v>5000</v>
      </c>
      <c r="L33" s="11"/>
      <c r="M33" s="11"/>
      <c r="N33" s="11"/>
      <c r="O33" s="11"/>
      <c r="P33" s="11"/>
      <c r="Q33" s="11"/>
      <c r="R33" s="11"/>
    </row>
    <row r="34" spans="1:18" x14ac:dyDescent="0.25">
      <c r="A34" s="31"/>
      <c r="B34" s="11" t="s">
        <v>71</v>
      </c>
      <c r="C34" s="11">
        <v>271</v>
      </c>
      <c r="D34" s="17">
        <v>271</v>
      </c>
      <c r="E34" s="11">
        <v>268</v>
      </c>
      <c r="F34" s="11">
        <v>278</v>
      </c>
      <c r="G34" s="11">
        <v>278</v>
      </c>
      <c r="H34" s="17">
        <v>273</v>
      </c>
      <c r="I34" s="11">
        <v>269</v>
      </c>
      <c r="J34" s="11">
        <v>276</v>
      </c>
      <c r="K34" s="11">
        <v>270</v>
      </c>
      <c r="L34" s="11"/>
      <c r="M34" s="11"/>
      <c r="N34" s="11"/>
      <c r="O34" s="11"/>
      <c r="P34" s="11"/>
      <c r="Q34" s="11"/>
      <c r="R34" s="11"/>
    </row>
    <row r="35" spans="1:18" ht="16.2" x14ac:dyDescent="0.25">
      <c r="A35" s="31"/>
      <c r="B35" s="11" t="s">
        <v>72</v>
      </c>
      <c r="C35" s="11">
        <v>126.8</v>
      </c>
      <c r="D35" s="17">
        <v>113.5</v>
      </c>
      <c r="E35" s="11">
        <v>112</v>
      </c>
      <c r="F35" s="11">
        <v>118.3</v>
      </c>
      <c r="G35" s="11">
        <v>133.6</v>
      </c>
      <c r="H35" s="17">
        <v>126.5</v>
      </c>
      <c r="I35" s="11">
        <v>120.1</v>
      </c>
      <c r="J35" s="11">
        <v>148.19999999999999</v>
      </c>
      <c r="K35" s="11">
        <v>137.19999999999999</v>
      </c>
      <c r="L35" s="11"/>
      <c r="M35" s="11"/>
      <c r="N35" s="11"/>
      <c r="O35" s="11"/>
      <c r="P35" s="11"/>
      <c r="Q35" s="11"/>
      <c r="R35" s="11"/>
    </row>
    <row r="36" spans="1:18" ht="16.2" x14ac:dyDescent="0.25">
      <c r="A36" s="31"/>
      <c r="B36" s="11" t="s">
        <v>73</v>
      </c>
      <c r="C36" s="11">
        <v>478.553</v>
      </c>
      <c r="D36" s="17">
        <v>478.36900000000003</v>
      </c>
      <c r="E36" s="11">
        <v>478.31299999999999</v>
      </c>
      <c r="F36" s="11">
        <v>479.02</v>
      </c>
      <c r="G36" s="11">
        <v>480.71199999999999</v>
      </c>
      <c r="H36" s="17">
        <v>480.53500000000003</v>
      </c>
      <c r="I36" s="11">
        <v>478.93099999999998</v>
      </c>
      <c r="J36" s="11">
        <v>480.529</v>
      </c>
      <c r="K36" s="11">
        <v>478.97300000000001</v>
      </c>
      <c r="L36" s="11"/>
      <c r="M36" s="11"/>
      <c r="N36" s="11"/>
      <c r="O36" s="11"/>
      <c r="P36" s="11"/>
      <c r="Q36" s="11"/>
      <c r="R36" s="11"/>
    </row>
    <row r="37" spans="1:18" x14ac:dyDescent="0.25">
      <c r="A37" s="31"/>
      <c r="B37" s="11" t="s">
        <v>74</v>
      </c>
      <c r="C37" s="11">
        <v>4480.09</v>
      </c>
      <c r="D37" s="17">
        <v>4482.1400000000003</v>
      </c>
      <c r="E37" s="11">
        <v>4481.88</v>
      </c>
      <c r="F37" s="11">
        <v>4472.29</v>
      </c>
      <c r="G37" s="11">
        <v>4493.16</v>
      </c>
      <c r="H37" s="17">
        <v>4488.32</v>
      </c>
      <c r="I37" s="11">
        <v>4494.8900000000003</v>
      </c>
      <c r="J37" s="11">
        <v>4487.79</v>
      </c>
      <c r="K37" s="11">
        <v>4492.45</v>
      </c>
      <c r="L37" s="11"/>
      <c r="M37" s="11"/>
      <c r="N37" s="11"/>
      <c r="O37" s="11"/>
      <c r="P37" s="11"/>
      <c r="Q37" s="11"/>
      <c r="R37" s="11"/>
    </row>
    <row r="38" spans="1:18" x14ac:dyDescent="0.25">
      <c r="A38" s="31"/>
      <c r="B38" s="11" t="s">
        <v>75</v>
      </c>
      <c r="C38" s="11">
        <v>4748.78</v>
      </c>
      <c r="D38" s="17">
        <v>4861</v>
      </c>
      <c r="E38" s="11">
        <v>4880</v>
      </c>
      <c r="F38" s="11">
        <v>4693.3900000000003</v>
      </c>
      <c r="G38" s="11">
        <v>4571.2299999999996</v>
      </c>
      <c r="H38" s="17">
        <v>4660.4799999999996</v>
      </c>
      <c r="I38" s="11">
        <v>4746.9399999999996</v>
      </c>
      <c r="J38" s="11">
        <v>4764.2700000000004</v>
      </c>
      <c r="K38" s="11">
        <v>4782.08</v>
      </c>
      <c r="L38" s="11"/>
      <c r="M38" s="11"/>
      <c r="N38" s="11"/>
      <c r="O38" s="11"/>
      <c r="P38" s="11"/>
      <c r="Q38" s="11"/>
      <c r="R38" s="11"/>
    </row>
    <row r="39" spans="1:18" x14ac:dyDescent="0.25">
      <c r="A39" s="31"/>
      <c r="B39" s="11" t="s">
        <v>56</v>
      </c>
      <c r="C39" s="11" t="e">
        <f ca="1">C35/3600*([1]!Enthalpy("carbon dioxide","TP","SI",C17+273.15,C28)-[1]!Enthalpy("carbon dioxide","TP","SI",C14+273.15,C26))*1000</f>
        <v>#NAME?</v>
      </c>
      <c r="D39" s="17" t="e">
        <f ca="1">D35/3600*([1]!Enthalpy("carbon dioxide","TP","SI",D17+273.15,D28)-[1]!Enthalpy("carbon dioxide","TP","SI",D14+273.15,D26))*1000</f>
        <v>#NAME?</v>
      </c>
      <c r="E39" s="11" t="e">
        <f ca="1">E35/3600*([1]!Enthalpy("carbon dioxide","TP","SI",E17+273.15,E28)-[1]!Enthalpy("carbon dioxide","TP","SI",E14+273.15,E26))*1000</f>
        <v>#NAME?</v>
      </c>
      <c r="F39" s="11" t="e">
        <f ca="1">F35/3600*([1]!Enthalpy("carbon dioxide","TP","SI",F17+273.15,F28)-[1]!Enthalpy("carbon dioxide","TP","SI",F14+273.15,F26))*1000</f>
        <v>#NAME?</v>
      </c>
      <c r="G39" s="11" t="e">
        <f ca="1">G35/3600*([1]!Enthalpy("carbon dioxide","TP","SI",G17+273.15,G28)-[1]!Enthalpy("carbon dioxide","TP","SI",G14+273.15,G26))*1000</f>
        <v>#NAME?</v>
      </c>
      <c r="H39" s="17" t="e">
        <f ca="1">H35/3600*([1]!Enthalpy("carbon dioxide","TP","SI",H17+273.15,H28)-[1]!Enthalpy("carbon dioxide","TP","SI",H14+273.15,H26))*1000</f>
        <v>#NAME?</v>
      </c>
      <c r="I39" s="11" t="e">
        <f ca="1">I35/3600*([1]!Enthalpy("carbon dioxide","TP","SI",I17+273.15,I28)-[1]!Enthalpy("carbon dioxide","TP","SI",I14+273.15,I26))*1000</f>
        <v>#NAME?</v>
      </c>
      <c r="J39" s="11" t="e">
        <f ca="1">J35/3600*([1]!Enthalpy("carbon dioxide","TP","SI",J17+273.15,J28)-[1]!Enthalpy("carbon dioxide","TP","SI",J14+273.15,J26))*1000</f>
        <v>#NAME?</v>
      </c>
      <c r="K39" s="11" t="e">
        <f ca="1">K35/3600*([1]!Enthalpy("carbon dioxide","TP","SI",K17+273.15,K28)-[1]!Enthalpy("carbon dioxide","TP","SI",K14+273.15,K26))*1000</f>
        <v>#NAME?</v>
      </c>
      <c r="L39" s="11"/>
      <c r="M39" s="11"/>
      <c r="N39" s="11"/>
      <c r="O39" s="11"/>
      <c r="P39" s="11"/>
      <c r="Q39" s="11"/>
      <c r="R39" s="11"/>
    </row>
    <row r="40" spans="1:18" x14ac:dyDescent="0.25">
      <c r="A40" s="31"/>
      <c r="B40" s="13" t="s">
        <v>57</v>
      </c>
      <c r="C40" s="11"/>
      <c r="D40" s="17"/>
      <c r="E40" s="11"/>
      <c r="F40" s="11"/>
      <c r="G40" s="11"/>
      <c r="H40" s="17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31"/>
      <c r="B41" s="11" t="s">
        <v>76</v>
      </c>
      <c r="C41" s="11">
        <f>C30*C31</f>
        <v>3312</v>
      </c>
      <c r="D41" s="17">
        <f t="shared" ref="D41:J41" si="0">D30*D31</f>
        <v>2518.5</v>
      </c>
      <c r="E41" s="11">
        <f t="shared" si="0"/>
        <v>2553</v>
      </c>
      <c r="F41" s="11">
        <f t="shared" si="0"/>
        <v>2449.5</v>
      </c>
      <c r="G41" s="11">
        <f t="shared" si="0"/>
        <v>2484</v>
      </c>
      <c r="H41" s="17">
        <f t="shared" si="0"/>
        <v>2518.5</v>
      </c>
      <c r="I41" s="11">
        <f t="shared" si="0"/>
        <v>2587.5</v>
      </c>
      <c r="J41" s="11">
        <f t="shared" si="0"/>
        <v>2656.5</v>
      </c>
      <c r="K41" s="11">
        <f t="shared" ref="K41" si="1">K30*K31</f>
        <v>2760</v>
      </c>
      <c r="L41" s="11"/>
      <c r="M41" s="11"/>
      <c r="N41" s="11"/>
      <c r="O41" s="11"/>
      <c r="P41" s="11"/>
      <c r="Q41" s="11"/>
      <c r="R41" s="11"/>
    </row>
    <row r="42" spans="1:18" x14ac:dyDescent="0.25">
      <c r="A42" s="31"/>
      <c r="B42" s="13" t="s">
        <v>77</v>
      </c>
      <c r="C42" s="11"/>
      <c r="D42" s="17"/>
      <c r="E42" s="11"/>
      <c r="F42" s="11"/>
      <c r="G42" s="11"/>
      <c r="H42" s="17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5">
      <c r="A43" s="31"/>
      <c r="B43" s="11" t="s">
        <v>78</v>
      </c>
      <c r="C43" s="11">
        <f>C38/C41</f>
        <v>1.43381038647343</v>
      </c>
      <c r="D43" s="17">
        <f t="shared" ref="D43:G43" si="2">D38/D41</f>
        <v>1.9301171332142149</v>
      </c>
      <c r="E43" s="11">
        <f t="shared" si="2"/>
        <v>1.9114766940853898</v>
      </c>
      <c r="F43" s="11">
        <f t="shared" si="2"/>
        <v>1.9160604204939784</v>
      </c>
      <c r="G43" s="11">
        <f t="shared" si="2"/>
        <v>1.840269726247987</v>
      </c>
      <c r="H43" s="17">
        <f t="shared" ref="H43:I43" si="3">H38/H41</f>
        <v>1.8504983124875916</v>
      </c>
      <c r="I43" s="11">
        <f t="shared" si="3"/>
        <v>1.834566183574879</v>
      </c>
      <c r="J43" s="11">
        <f t="shared" ref="J43:K43" si="4">J38/J41</f>
        <v>1.7934387351778658</v>
      </c>
      <c r="K43" s="11">
        <f t="shared" si="4"/>
        <v>1.7326376811594202</v>
      </c>
      <c r="L43" s="11"/>
      <c r="M43" s="11"/>
      <c r="N43" s="11"/>
      <c r="O43" s="11"/>
      <c r="P43" s="11"/>
      <c r="Q43" s="11"/>
      <c r="R43" s="11"/>
    </row>
    <row r="44" spans="1:18" x14ac:dyDescent="0.25">
      <c r="A44" s="31"/>
      <c r="B44" s="11" t="s">
        <v>79</v>
      </c>
      <c r="C44" s="11" t="e">
        <f ca="1">C39/C41</f>
        <v>#NAME?</v>
      </c>
      <c r="D44" s="17" t="e">
        <f t="shared" ref="D44:G44" ca="1" si="5">D39/D41</f>
        <v>#NAME?</v>
      </c>
      <c r="E44" s="11" t="e">
        <f t="shared" ca="1" si="5"/>
        <v>#NAME?</v>
      </c>
      <c r="F44" s="11" t="e">
        <f t="shared" ca="1" si="5"/>
        <v>#NAME?</v>
      </c>
      <c r="G44" s="11" t="e">
        <f t="shared" ca="1" si="5"/>
        <v>#NAME?</v>
      </c>
      <c r="H44" s="17" t="e">
        <f t="shared" ref="H44:I44" ca="1" si="6">H39/H41</f>
        <v>#NAME?</v>
      </c>
      <c r="I44" s="11" t="e">
        <f t="shared" ca="1" si="6"/>
        <v>#NAME?</v>
      </c>
      <c r="J44" s="11" t="e">
        <f t="shared" ref="J44:K44" ca="1" si="7">J39/J41</f>
        <v>#NAME?</v>
      </c>
      <c r="K44" s="11" t="e">
        <f t="shared" ca="1" si="7"/>
        <v>#NAME?</v>
      </c>
      <c r="L44" s="11"/>
      <c r="M44" s="11"/>
      <c r="N44" s="11"/>
      <c r="O44" s="11"/>
      <c r="P44" s="11"/>
      <c r="Q44" s="11"/>
      <c r="R44" s="11"/>
    </row>
    <row r="45" spans="1:18" x14ac:dyDescent="0.25">
      <c r="A45" s="31"/>
      <c r="B45" s="13" t="s">
        <v>21</v>
      </c>
      <c r="C45" s="11"/>
      <c r="D45" s="17"/>
      <c r="E45" s="11"/>
      <c r="F45" s="11"/>
      <c r="G45" s="11"/>
      <c r="H45" s="17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31"/>
      <c r="B46" s="11" t="s">
        <v>58</v>
      </c>
      <c r="C46" s="11">
        <v>8.6</v>
      </c>
      <c r="D46" s="17">
        <v>8.42</v>
      </c>
      <c r="E46" s="11">
        <v>8.3000000000000007</v>
      </c>
      <c r="F46" s="11">
        <v>8.93</v>
      </c>
      <c r="G46" s="11">
        <v>9.2799999999999994</v>
      </c>
      <c r="H46" s="17">
        <v>8.84</v>
      </c>
      <c r="I46" s="11">
        <v>8.4499999999999993</v>
      </c>
      <c r="J46" s="11">
        <v>8.9</v>
      </c>
      <c r="K46" s="11">
        <v>8.5299999999999994</v>
      </c>
      <c r="L46" s="11"/>
      <c r="M46" s="11"/>
      <c r="N46" s="11"/>
      <c r="O46" s="11"/>
      <c r="P46" s="11"/>
      <c r="Q46" s="11"/>
      <c r="R46" s="11"/>
    </row>
    <row r="47" spans="1:18" x14ac:dyDescent="0.25">
      <c r="A47" s="31"/>
      <c r="B47" s="11" t="s">
        <v>80</v>
      </c>
      <c r="C47" s="11">
        <v>8.52</v>
      </c>
      <c r="D47" s="17">
        <v>8.19</v>
      </c>
      <c r="E47" s="11">
        <v>8.14</v>
      </c>
      <c r="F47" s="11">
        <v>8.66</v>
      </c>
      <c r="G47" s="11">
        <v>9.0399999999999991</v>
      </c>
      <c r="H47" s="17">
        <v>8.77</v>
      </c>
      <c r="I47" s="11">
        <v>8.51</v>
      </c>
      <c r="J47" s="11">
        <v>8.66</v>
      </c>
      <c r="K47" s="11">
        <v>8.42</v>
      </c>
      <c r="L47" s="11"/>
      <c r="M47" s="11"/>
      <c r="N47" s="11"/>
      <c r="O47" s="11"/>
      <c r="P47" s="11"/>
      <c r="Q47" s="11"/>
      <c r="R47" s="11"/>
    </row>
    <row r="48" spans="1:18" x14ac:dyDescent="0.25">
      <c r="A48" s="31"/>
      <c r="B48" s="11" t="s">
        <v>81</v>
      </c>
      <c r="C48" s="11">
        <v>37.54</v>
      </c>
      <c r="D48" s="17">
        <v>36.6</v>
      </c>
      <c r="E48" s="11">
        <v>36.619999999999997</v>
      </c>
      <c r="F48" s="11">
        <v>36.4</v>
      </c>
      <c r="G48" s="11">
        <v>36.56</v>
      </c>
      <c r="H48" s="17">
        <v>36.770000000000003</v>
      </c>
      <c r="I48" s="11">
        <v>36.94</v>
      </c>
      <c r="J48" s="11">
        <v>36.630000000000003</v>
      </c>
      <c r="K48" s="11">
        <v>36.76</v>
      </c>
      <c r="L48" s="11"/>
      <c r="M48" s="11"/>
      <c r="N48" s="11"/>
      <c r="O48" s="11"/>
      <c r="P48" s="11"/>
      <c r="Q48" s="11"/>
      <c r="R48" s="11"/>
    </row>
    <row r="49" spans="1:18" x14ac:dyDescent="0.25">
      <c r="A49" s="31"/>
      <c r="B49" s="11" t="s">
        <v>82</v>
      </c>
      <c r="C49" s="11">
        <v>25.7</v>
      </c>
      <c r="D49" s="17">
        <v>24.99</v>
      </c>
      <c r="E49" s="11">
        <v>25</v>
      </c>
      <c r="F49" s="11">
        <v>24.79</v>
      </c>
      <c r="G49" s="11">
        <v>25.61</v>
      </c>
      <c r="H49" s="17">
        <v>25.26</v>
      </c>
      <c r="I49" s="11">
        <v>25.26</v>
      </c>
      <c r="J49" s="11">
        <v>24.94</v>
      </c>
      <c r="K49" s="11">
        <v>24.95</v>
      </c>
      <c r="L49" s="11"/>
      <c r="M49" s="11"/>
      <c r="N49" s="11"/>
      <c r="O49" s="11"/>
      <c r="P49" s="11"/>
      <c r="Q49" s="11"/>
      <c r="R49" s="11"/>
    </row>
    <row r="50" spans="1:18" ht="13.5" customHeight="1" x14ac:dyDescent="0.25">
      <c r="A50" s="31"/>
      <c r="B50" s="11" t="s">
        <v>83</v>
      </c>
      <c r="C50" s="11" t="e">
        <f ca="1">C38/C39</f>
        <v>#NAME?</v>
      </c>
      <c r="D50" s="17" t="e">
        <f t="shared" ref="D50" ca="1" si="8">D38/D39</f>
        <v>#NAME?</v>
      </c>
      <c r="E50" s="11" t="e">
        <f ca="1">E38/E39</f>
        <v>#NAME?</v>
      </c>
      <c r="F50" s="11" t="e">
        <f t="shared" ref="F50:H50" ca="1" si="9">F38/F39</f>
        <v>#NAME?</v>
      </c>
      <c r="G50" s="11" t="e">
        <f t="shared" ca="1" si="9"/>
        <v>#NAME?</v>
      </c>
      <c r="H50" s="17" t="e">
        <f t="shared" ca="1" si="9"/>
        <v>#NAME?</v>
      </c>
      <c r="I50" s="11" t="e">
        <f t="shared" ref="I50:K50" ca="1" si="10">I38/I39</f>
        <v>#NAME?</v>
      </c>
      <c r="J50" s="11" t="e">
        <f t="shared" ca="1" si="10"/>
        <v>#NAME?</v>
      </c>
      <c r="K50" s="11" t="e">
        <f t="shared" ca="1" si="10"/>
        <v>#NAME?</v>
      </c>
      <c r="L50" s="11"/>
      <c r="M50" s="11"/>
      <c r="N50" s="11"/>
      <c r="O50" s="11"/>
      <c r="P50" s="11"/>
      <c r="Q50" s="11"/>
      <c r="R50" s="11"/>
    </row>
    <row r="51" spans="1:18" x14ac:dyDescent="0.25">
      <c r="A51" s="31"/>
      <c r="B51" s="11" t="s">
        <v>84</v>
      </c>
      <c r="C51" s="11" t="e">
        <f ca="1">C35/3600*([1]!Enthalpy("carbon dioxide","TP","SI",C9+273.15,C23)-[1]!Enthalpy("carbon dioxide","TP","SI",C8+273.15,C22))*1000</f>
        <v>#NAME?</v>
      </c>
      <c r="D51" s="17" t="e">
        <f ca="1">D35/3600*([1]!Enthalpy("carbon dioxide","TP","SI",D9+273.15,D23)-[1]!Enthalpy("carbon dioxide","TP","SI",D8+273.15,D22))*1000</f>
        <v>#NAME?</v>
      </c>
      <c r="E51" s="11" t="e">
        <f ca="1">E35/3600*([1]!Enthalpy("carbon dioxide","TP","SI",E9+273.15,E23)-[1]!Enthalpy("carbon dioxide","TP","SI",E8+273.15,E22))*1000</f>
        <v>#NAME?</v>
      </c>
      <c r="F51" s="11" t="e">
        <f ca="1">F35/3600*([1]!Enthalpy("carbon dioxide","TP","SI",F9+273.15,F23)-[1]!Enthalpy("carbon dioxide","TP","SI",F8+273.15,F22))*1000</f>
        <v>#NAME?</v>
      </c>
      <c r="G51" s="11" t="e">
        <f ca="1">G35/3600*([1]!Enthalpy("carbon dioxide","TP","SI",G9+273.15,G23)-[1]!Enthalpy("carbon dioxide","TP","SI",G8+273.15,G22))*1000</f>
        <v>#NAME?</v>
      </c>
      <c r="H51" s="17" t="e">
        <f ca="1">H35/3600*([1]!Enthalpy("carbon dioxide","TP","SI",H9+273.15,H23)-[1]!Enthalpy("carbon dioxide","TP","SI",H8+273.15,H22))*1000</f>
        <v>#NAME?</v>
      </c>
      <c r="I51" s="11" t="e">
        <f ca="1">I35/3600*([1]!Enthalpy("carbon dioxide","TP","SI",I9+273.15,I23)-[1]!Enthalpy("carbon dioxide","TP","SI",I8+273.15,I22))*1000</f>
        <v>#NAME?</v>
      </c>
      <c r="J51" s="11" t="e">
        <f ca="1">J35/3600*([1]!Enthalpy("carbon dioxide","TP","SI",J9+273.15,J23)-[1]!Enthalpy("carbon dioxide","TP","SI",J8+273.15,J22))*1000</f>
        <v>#NAME?</v>
      </c>
      <c r="K51" s="11" t="e">
        <f ca="1">K35/3600*([1]!Enthalpy("carbon dioxide","TP","SI",K9+273.15,K23)-[1]!Enthalpy("carbon dioxide","TP","SI",K8+273.15,K22))*1000</f>
        <v>#NAME?</v>
      </c>
      <c r="L51" s="11"/>
      <c r="M51" s="11"/>
      <c r="N51" s="11"/>
      <c r="O51" s="11"/>
      <c r="P51" s="11"/>
      <c r="Q51" s="11"/>
      <c r="R51" s="11"/>
    </row>
    <row r="52" spans="1:18" x14ac:dyDescent="0.25">
      <c r="A52" s="31"/>
      <c r="B52" s="11" t="s">
        <v>85</v>
      </c>
      <c r="C52" s="11" t="e">
        <f ca="1">C35/3600*1000*([1]!Enthalpy("carbon dioxide","PS","SI",C23,[1]!Entropy("carbon dioxide","TP","SI",C8+273.15,C22))-[1]!Enthalpy("carbon dioxide","TP","SI",C8+273.15,C22))</f>
        <v>#NAME?</v>
      </c>
      <c r="D52" s="17" t="e">
        <f ca="1">D35/3600*1000*([1]!Enthalpy("carbon dioxide","PS","SI",D23,[1]!Entropy("carbon dioxide","TP","SI",D8+273.15,D22))-[1]!Enthalpy("carbon dioxide","TP","SI",D8+273.15,D22))</f>
        <v>#NAME?</v>
      </c>
      <c r="E52" s="11" t="e">
        <f ca="1">E35/3600*1000*([1]!Enthalpy("carbon dioxide","PS","SI",E23,[1]!Entropy("carbon dioxide","TP","SI",E8+273.15,E22))-[1]!Enthalpy("carbon dioxide","TP","SI",E8+273.15,E22))</f>
        <v>#NAME?</v>
      </c>
      <c r="F52" s="11" t="e">
        <f ca="1">F35/3600*1000*([1]!Enthalpy("carbon dioxide","PS","SI",F23,[1]!Entropy("carbon dioxide","TP","SI",F8+273.15,F22))-[1]!Enthalpy("carbon dioxide","TP","SI",F8+273.15,F22))</f>
        <v>#NAME?</v>
      </c>
      <c r="G52" s="11" t="e">
        <f ca="1">G35/3600*1000*([1]!Enthalpy("carbon dioxide","PS","SI",G23,[1]!Entropy("carbon dioxide","TP","SI",G8+273.15,G22))-[1]!Enthalpy("carbon dioxide","TP","SI",G8+273.15,G22))</f>
        <v>#NAME?</v>
      </c>
      <c r="H52" s="17" t="e">
        <f ca="1">H35/3600*1000*([1]!Enthalpy("carbon dioxide","PS","SI",H23,[1]!Entropy("carbon dioxide","TP","SI",H8+273.15,H22))-[1]!Enthalpy("carbon dioxide","TP","SI",H8+273.15,H22))</f>
        <v>#NAME?</v>
      </c>
      <c r="I52" s="11" t="e">
        <f ca="1">I35/3600*1000*([1]!Enthalpy("carbon dioxide","PS","SI",I23,[1]!Entropy("carbon dioxide","TP","SI",I8+273.15,I22))-[1]!Enthalpy("carbon dioxide","TP","SI",I8+273.15,I22))</f>
        <v>#NAME?</v>
      </c>
      <c r="J52" s="11" t="e">
        <f ca="1">J35/3600*1000*([1]!Enthalpy("carbon dioxide","PS","SI",J23,[1]!Entropy("carbon dioxide","TP","SI",J8+273.15,J22))-[1]!Enthalpy("carbon dioxide","TP","SI",J8+273.15,J22))</f>
        <v>#NAME?</v>
      </c>
      <c r="K52" s="11" t="e">
        <f ca="1">K35/3600*1000*([1]!Enthalpy("carbon dioxide","PS","SI",K23,[1]!Entropy("carbon dioxide","TP","SI",K8+273.15,K22))-[1]!Enthalpy("carbon dioxide","TP","SI",K8+273.15,K22))</f>
        <v>#NAME?</v>
      </c>
      <c r="L52" s="11"/>
      <c r="M52" s="11"/>
      <c r="N52" s="11"/>
      <c r="O52" s="11"/>
      <c r="P52" s="11"/>
      <c r="Q52" s="11"/>
      <c r="R52" s="11"/>
    </row>
    <row r="53" spans="1:18" x14ac:dyDescent="0.25">
      <c r="A53" s="31"/>
      <c r="B53" s="11" t="s">
        <v>59</v>
      </c>
      <c r="C53" s="11">
        <f>C23/C22</f>
        <v>3.5323076923076924</v>
      </c>
      <c r="D53" s="17">
        <f t="shared" ref="D53:E53" si="11">D23/D22</f>
        <v>2.7507788161993769</v>
      </c>
      <c r="E53" s="11">
        <f t="shared" si="11"/>
        <v>2.8144654088050309</v>
      </c>
      <c r="F53" s="11">
        <f t="shared" ref="F53:H53" si="12">F23/F22</f>
        <v>2.6299694189602447</v>
      </c>
      <c r="G53" s="11">
        <f t="shared" si="12"/>
        <v>2.5756676557863498</v>
      </c>
      <c r="H53" s="17">
        <f t="shared" si="12"/>
        <v>2.6808510638297873</v>
      </c>
      <c r="I53" s="11">
        <f t="shared" ref="I53:K53" si="13">I23/I22</f>
        <v>2.7753846153846151</v>
      </c>
      <c r="J53" s="11">
        <f t="shared" si="13"/>
        <v>2.7824773413897281</v>
      </c>
      <c r="K53" s="11">
        <f t="shared" si="13"/>
        <v>2.9386503067484666</v>
      </c>
      <c r="L53" s="11"/>
      <c r="M53" s="11"/>
      <c r="N53" s="11"/>
      <c r="O53" s="11"/>
      <c r="P53" s="11"/>
      <c r="Q53" s="11"/>
      <c r="R53" s="11"/>
    </row>
    <row r="54" spans="1:18" x14ac:dyDescent="0.25">
      <c r="A54" s="31"/>
      <c r="B54" s="11" t="s">
        <v>86</v>
      </c>
      <c r="C54" s="11" t="e">
        <f ca="1">C51/C41</f>
        <v>#NAME?</v>
      </c>
      <c r="D54" s="17" t="e">
        <f t="shared" ref="D54:E54" ca="1" si="14">D51/D41</f>
        <v>#NAME?</v>
      </c>
      <c r="E54" s="11" t="e">
        <f t="shared" ca="1" si="14"/>
        <v>#NAME?</v>
      </c>
      <c r="F54" s="11" t="e">
        <f t="shared" ref="F54:H54" ca="1" si="15">F51/F41</f>
        <v>#NAME?</v>
      </c>
      <c r="G54" s="11" t="e">
        <f t="shared" ca="1" si="15"/>
        <v>#NAME?</v>
      </c>
      <c r="H54" s="17" t="e">
        <f t="shared" ca="1" si="15"/>
        <v>#NAME?</v>
      </c>
      <c r="I54" s="11" t="e">
        <f t="shared" ref="I54:K54" ca="1" si="16">I51/I41</f>
        <v>#NAME?</v>
      </c>
      <c r="J54" s="11" t="e">
        <f t="shared" ca="1" si="16"/>
        <v>#NAME?</v>
      </c>
      <c r="K54" s="11" t="e">
        <f t="shared" ca="1" si="16"/>
        <v>#NAME?</v>
      </c>
      <c r="L54" s="11"/>
      <c r="M54" s="11"/>
      <c r="N54" s="11"/>
      <c r="O54" s="11"/>
      <c r="P54" s="11"/>
      <c r="Q54" s="11"/>
      <c r="R54" s="11"/>
    </row>
    <row r="55" spans="1:18" x14ac:dyDescent="0.25">
      <c r="A55" s="31"/>
      <c r="B55" s="11" t="s">
        <v>87</v>
      </c>
      <c r="C55" s="11" t="e">
        <f t="shared" ref="C55:E55" ca="1" si="17">C52/C51</f>
        <v>#NAME?</v>
      </c>
      <c r="D55" s="17" t="e">
        <f t="shared" ca="1" si="17"/>
        <v>#NAME?</v>
      </c>
      <c r="E55" s="11" t="e">
        <f t="shared" ca="1" si="17"/>
        <v>#NAME?</v>
      </c>
      <c r="F55" s="11" t="e">
        <f t="shared" ref="F55:H55" ca="1" si="18">F52/F51</f>
        <v>#NAME?</v>
      </c>
      <c r="G55" s="11" t="e">
        <f t="shared" ca="1" si="18"/>
        <v>#NAME?</v>
      </c>
      <c r="H55" s="17" t="e">
        <f t="shared" ca="1" si="18"/>
        <v>#NAME?</v>
      </c>
      <c r="I55" s="11" t="e">
        <f t="shared" ref="I55:K55" ca="1" si="19">I52/I51</f>
        <v>#NAME?</v>
      </c>
      <c r="J55" s="11" t="e">
        <f t="shared" ca="1" si="19"/>
        <v>#NAME?</v>
      </c>
      <c r="K55" s="11" t="e">
        <f t="shared" ca="1" si="19"/>
        <v>#NAME?</v>
      </c>
      <c r="L55" s="11"/>
      <c r="M55" s="11"/>
      <c r="N55" s="11"/>
      <c r="O55" s="11"/>
      <c r="P55" s="11"/>
      <c r="Q55" s="11"/>
      <c r="R55" s="11"/>
    </row>
    <row r="56" spans="1:18" x14ac:dyDescent="0.25">
      <c r="A56" s="31"/>
      <c r="B56" s="11" t="s">
        <v>88</v>
      </c>
      <c r="C56" s="11" t="e">
        <f ca="1">C35/((C33*5.8/1000000)*60*[1]!Density("carbon dioxide","TP","SI",C8+273.15,C22))</f>
        <v>#NAME?</v>
      </c>
      <c r="D56" s="17" t="e">
        <f ca="1">D35/((D33*5.8/1000000)*60*[1]!Density("carbon dioxide","TP","SI",D8+273.15,D22))</f>
        <v>#NAME?</v>
      </c>
      <c r="E56" s="11" t="e">
        <f ca="1">E35/((E33*5.8/1000000)*60*[1]!Density("carbon dioxide","TP","SI",E8+273.15,E22))</f>
        <v>#NAME?</v>
      </c>
      <c r="F56" s="11" t="e">
        <f ca="1">F35/((F33*5.8/1000000)*60*[1]!Density("carbon dioxide","TP","SI",F8+273.15,F22))</f>
        <v>#NAME?</v>
      </c>
      <c r="G56" s="11" t="e">
        <f ca="1">G35/((G33*5.8/1000000)*60*[1]!Density("carbon dioxide","TP","SI",G8+273.15,G22))</f>
        <v>#NAME?</v>
      </c>
      <c r="H56" s="17" t="e">
        <f ca="1">H35/((H33*5.8/1000000)*60*[1]!Density("carbon dioxide","TP","SI",H8+273.15,H22))</f>
        <v>#NAME?</v>
      </c>
      <c r="I56" s="11" t="e">
        <f ca="1">I35/((I33*5.8/1000000)*60*[1]!Density("carbon dioxide","TP","SI",I8+273.15,I22))</f>
        <v>#NAME?</v>
      </c>
      <c r="J56" s="11" t="e">
        <f ca="1">J35/((J33*5.8/1000000)*60*[1]!Density("carbon dioxide","TP","SI",J8+273.15,J22))</f>
        <v>#NAME?</v>
      </c>
      <c r="K56" s="11" t="e">
        <f ca="1">K35/((K33*5.8/1000000)*60*[1]!Density("carbon dioxide","TP","SI",K8+273.15,K22))</f>
        <v>#NAME?</v>
      </c>
      <c r="L56" s="11"/>
      <c r="M56" s="11"/>
      <c r="N56" s="11"/>
      <c r="O56" s="11"/>
      <c r="P56" s="11"/>
      <c r="Q56" s="11"/>
      <c r="R56" s="11"/>
    </row>
    <row r="57" spans="1:18" x14ac:dyDescent="0.25">
      <c r="A57" s="31"/>
      <c r="B57" s="11" t="s">
        <v>90</v>
      </c>
      <c r="C57" s="11" t="e">
        <f ca="1">C54*C55</f>
        <v>#NAME?</v>
      </c>
      <c r="D57" s="17" t="e">
        <f t="shared" ref="D57:E57" ca="1" si="20">D54*D55</f>
        <v>#NAME?</v>
      </c>
      <c r="E57" s="11" t="e">
        <f t="shared" ca="1" si="20"/>
        <v>#NAME?</v>
      </c>
      <c r="F57" s="11" t="e">
        <f t="shared" ref="F57:H57" ca="1" si="21">F54*F55</f>
        <v>#NAME?</v>
      </c>
      <c r="G57" s="11" t="e">
        <f t="shared" ca="1" si="21"/>
        <v>#NAME?</v>
      </c>
      <c r="H57" s="17" t="e">
        <f t="shared" ca="1" si="21"/>
        <v>#NAME?</v>
      </c>
      <c r="I57" s="11" t="e">
        <f t="shared" ref="I57:K57" ca="1" si="22">I54*I55</f>
        <v>#NAME?</v>
      </c>
      <c r="J57" s="11" t="e">
        <f t="shared" ca="1" si="22"/>
        <v>#NAME?</v>
      </c>
      <c r="K57" s="11" t="e">
        <f t="shared" ca="1" si="22"/>
        <v>#NAME?</v>
      </c>
      <c r="L57" s="11"/>
      <c r="M57" s="11"/>
      <c r="N57" s="11"/>
      <c r="O57" s="11"/>
      <c r="P57" s="11"/>
      <c r="Q57" s="11"/>
      <c r="R57" s="11"/>
    </row>
    <row r="58" spans="1:18" x14ac:dyDescent="0.25">
      <c r="A58" s="31"/>
      <c r="B58" s="11" t="s">
        <v>89</v>
      </c>
      <c r="C58" s="11"/>
      <c r="D58" s="17"/>
      <c r="E58" s="11"/>
      <c r="F58" s="11"/>
      <c r="G58" s="11"/>
      <c r="H58" s="17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5">
      <c r="C59"/>
      <c r="D59"/>
    </row>
    <row r="60" spans="1:18" x14ac:dyDescent="0.25">
      <c r="C60"/>
      <c r="D60"/>
    </row>
    <row r="61" spans="1:18" x14ac:dyDescent="0.25">
      <c r="C61"/>
      <c r="D61"/>
    </row>
    <row r="62" spans="1:18" x14ac:dyDescent="0.25">
      <c r="C62"/>
      <c r="D62"/>
    </row>
    <row r="63" spans="1:18" x14ac:dyDescent="0.25">
      <c r="C63"/>
      <c r="D63"/>
    </row>
    <row r="64" spans="1:18" x14ac:dyDescent="0.25">
      <c r="C64"/>
      <c r="D64"/>
    </row>
    <row r="65" spans="3:4" x14ac:dyDescent="0.25">
      <c r="C65"/>
      <c r="D65"/>
    </row>
    <row r="66" spans="3:4" x14ac:dyDescent="0.25">
      <c r="C66"/>
      <c r="D66"/>
    </row>
    <row r="67" spans="3:4" x14ac:dyDescent="0.25">
      <c r="C67"/>
      <c r="D67"/>
    </row>
    <row r="68" spans="3:4" x14ac:dyDescent="0.25">
      <c r="C68"/>
      <c r="D68"/>
    </row>
    <row r="69" spans="3:4" x14ac:dyDescent="0.25">
      <c r="C69"/>
      <c r="D69"/>
    </row>
    <row r="70" spans="3:4" x14ac:dyDescent="0.25">
      <c r="C70"/>
      <c r="D70"/>
    </row>
    <row r="71" spans="3:4" x14ac:dyDescent="0.25">
      <c r="C71"/>
      <c r="D71"/>
    </row>
    <row r="72" spans="3:4" x14ac:dyDescent="0.25">
      <c r="C72"/>
      <c r="D72"/>
    </row>
    <row r="73" spans="3:4" x14ac:dyDescent="0.25">
      <c r="C73"/>
      <c r="D73"/>
    </row>
    <row r="74" spans="3:4" x14ac:dyDescent="0.25">
      <c r="C74"/>
      <c r="D74"/>
    </row>
    <row r="75" spans="3:4" x14ac:dyDescent="0.25">
      <c r="C75"/>
      <c r="D75"/>
    </row>
    <row r="76" spans="3:4" x14ac:dyDescent="0.25">
      <c r="C76"/>
      <c r="D76"/>
    </row>
    <row r="77" spans="3:4" x14ac:dyDescent="0.25">
      <c r="C77"/>
      <c r="D77"/>
    </row>
    <row r="78" spans="3:4" x14ac:dyDescent="0.25">
      <c r="C78"/>
      <c r="D78"/>
    </row>
    <row r="79" spans="3:4" x14ac:dyDescent="0.25">
      <c r="C79"/>
      <c r="D79"/>
    </row>
    <row r="80" spans="3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  <row r="91" spans="3:4" x14ac:dyDescent="0.25">
      <c r="C91"/>
      <c r="D91"/>
    </row>
    <row r="92" spans="3:4" x14ac:dyDescent="0.25">
      <c r="C92"/>
      <c r="D92"/>
    </row>
    <row r="93" spans="3:4" x14ac:dyDescent="0.25">
      <c r="C93"/>
      <c r="D93"/>
    </row>
    <row r="94" spans="3:4" x14ac:dyDescent="0.25">
      <c r="C94"/>
      <c r="D94"/>
    </row>
    <row r="95" spans="3:4" x14ac:dyDescent="0.25">
      <c r="C95"/>
      <c r="D95"/>
    </row>
    <row r="96" spans="3:4" x14ac:dyDescent="0.25">
      <c r="C96"/>
      <c r="D96"/>
    </row>
    <row r="97" spans="3:4" x14ac:dyDescent="0.25">
      <c r="C97"/>
      <c r="D97"/>
    </row>
    <row r="98" spans="3:4" x14ac:dyDescent="0.25">
      <c r="C98"/>
      <c r="D98"/>
    </row>
    <row r="99" spans="3:4" x14ac:dyDescent="0.25">
      <c r="C99"/>
      <c r="D99"/>
    </row>
    <row r="100" spans="3:4" x14ac:dyDescent="0.25">
      <c r="C100"/>
      <c r="D100"/>
    </row>
    <row r="101" spans="3:4" x14ac:dyDescent="0.25">
      <c r="C101"/>
      <c r="D101"/>
    </row>
    <row r="102" spans="3:4" x14ac:dyDescent="0.25">
      <c r="C102"/>
      <c r="D102"/>
    </row>
    <row r="103" spans="3:4" x14ac:dyDescent="0.25">
      <c r="C103"/>
      <c r="D103"/>
    </row>
    <row r="104" spans="3:4" x14ac:dyDescent="0.25">
      <c r="C104"/>
      <c r="D104"/>
    </row>
    <row r="105" spans="3:4" x14ac:dyDescent="0.25">
      <c r="C105"/>
      <c r="D105"/>
    </row>
    <row r="106" spans="3:4" x14ac:dyDescent="0.25">
      <c r="C106"/>
      <c r="D106"/>
    </row>
    <row r="107" spans="3:4" x14ac:dyDescent="0.25">
      <c r="C107"/>
      <c r="D107"/>
    </row>
    <row r="108" spans="3:4" x14ac:dyDescent="0.25">
      <c r="C108"/>
      <c r="D108"/>
    </row>
    <row r="109" spans="3:4" x14ac:dyDescent="0.25">
      <c r="C109"/>
      <c r="D109"/>
    </row>
    <row r="110" spans="3:4" x14ac:dyDescent="0.25">
      <c r="C110"/>
      <c r="D110"/>
    </row>
    <row r="111" spans="3:4" x14ac:dyDescent="0.25">
      <c r="C111"/>
      <c r="D111"/>
    </row>
    <row r="112" spans="3:4" x14ac:dyDescent="0.25">
      <c r="C112"/>
      <c r="D112"/>
    </row>
    <row r="113" spans="3:4" x14ac:dyDescent="0.25">
      <c r="C113"/>
      <c r="D113"/>
    </row>
    <row r="114" spans="3:4" x14ac:dyDescent="0.25">
      <c r="C114"/>
      <c r="D114"/>
    </row>
    <row r="115" spans="3:4" x14ac:dyDescent="0.25">
      <c r="C115"/>
      <c r="D115"/>
    </row>
    <row r="116" spans="3:4" x14ac:dyDescent="0.25">
      <c r="C116"/>
      <c r="D116"/>
    </row>
    <row r="117" spans="3:4" x14ac:dyDescent="0.25">
      <c r="C117"/>
      <c r="D117"/>
    </row>
    <row r="118" spans="3:4" x14ac:dyDescent="0.25">
      <c r="C118"/>
      <c r="D118"/>
    </row>
    <row r="119" spans="3:4" x14ac:dyDescent="0.25">
      <c r="C119"/>
      <c r="D119"/>
    </row>
    <row r="120" spans="3:4" x14ac:dyDescent="0.25">
      <c r="C120"/>
      <c r="D120"/>
    </row>
    <row r="121" spans="3:4" x14ac:dyDescent="0.25">
      <c r="C121"/>
      <c r="D121"/>
    </row>
    <row r="122" spans="3:4" x14ac:dyDescent="0.25">
      <c r="C122"/>
      <c r="D122"/>
    </row>
    <row r="123" spans="3:4" x14ac:dyDescent="0.25">
      <c r="C123"/>
      <c r="D123"/>
    </row>
    <row r="124" spans="3:4" x14ac:dyDescent="0.25">
      <c r="C124"/>
      <c r="D124"/>
    </row>
    <row r="125" spans="3:4" x14ac:dyDescent="0.25">
      <c r="C125"/>
      <c r="D125"/>
    </row>
    <row r="126" spans="3:4" x14ac:dyDescent="0.25">
      <c r="C126"/>
      <c r="D126"/>
    </row>
    <row r="127" spans="3:4" x14ac:dyDescent="0.25">
      <c r="C127"/>
      <c r="D127"/>
    </row>
    <row r="128" spans="3:4" x14ac:dyDescent="0.25">
      <c r="C128"/>
      <c r="D128"/>
    </row>
    <row r="129" spans="3:4" x14ac:dyDescent="0.25">
      <c r="C129"/>
      <c r="D129"/>
    </row>
    <row r="130" spans="3:4" x14ac:dyDescent="0.25">
      <c r="C130"/>
      <c r="D130"/>
    </row>
    <row r="131" spans="3:4" x14ac:dyDescent="0.25">
      <c r="C131"/>
      <c r="D131"/>
    </row>
    <row r="132" spans="3:4" x14ac:dyDescent="0.25">
      <c r="C132"/>
      <c r="D132"/>
    </row>
    <row r="133" spans="3:4" x14ac:dyDescent="0.25">
      <c r="C133"/>
      <c r="D133"/>
    </row>
    <row r="134" spans="3:4" x14ac:dyDescent="0.25">
      <c r="C134"/>
      <c r="D134"/>
    </row>
    <row r="135" spans="3:4" x14ac:dyDescent="0.25">
      <c r="C135"/>
      <c r="D135"/>
    </row>
    <row r="136" spans="3:4" x14ac:dyDescent="0.25">
      <c r="C136"/>
      <c r="D136"/>
    </row>
    <row r="137" spans="3:4" x14ac:dyDescent="0.25">
      <c r="C137"/>
      <c r="D137"/>
    </row>
    <row r="138" spans="3:4" x14ac:dyDescent="0.25">
      <c r="C138"/>
      <c r="D138"/>
    </row>
    <row r="139" spans="3:4" x14ac:dyDescent="0.25">
      <c r="C139"/>
      <c r="D139"/>
    </row>
    <row r="140" spans="3:4" x14ac:dyDescent="0.25">
      <c r="C140"/>
      <c r="D140"/>
    </row>
    <row r="141" spans="3:4" x14ac:dyDescent="0.25">
      <c r="C141"/>
      <c r="D141"/>
    </row>
    <row r="142" spans="3:4" x14ac:dyDescent="0.25">
      <c r="C142"/>
      <c r="D142"/>
    </row>
    <row r="143" spans="3:4" x14ac:dyDescent="0.25">
      <c r="C143"/>
      <c r="D143"/>
    </row>
    <row r="144" spans="3:4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  <row r="153" spans="3:4" x14ac:dyDescent="0.25">
      <c r="C153"/>
      <c r="D153"/>
    </row>
    <row r="154" spans="3:4" x14ac:dyDescent="0.25">
      <c r="C154"/>
      <c r="D154"/>
    </row>
    <row r="155" spans="3:4" x14ac:dyDescent="0.25">
      <c r="C155"/>
      <c r="D155"/>
    </row>
    <row r="156" spans="3:4" x14ac:dyDescent="0.25">
      <c r="C156"/>
      <c r="D156"/>
    </row>
    <row r="157" spans="3:4" x14ac:dyDescent="0.25">
      <c r="C157"/>
      <c r="D157"/>
    </row>
    <row r="158" spans="3:4" x14ac:dyDescent="0.25">
      <c r="C158"/>
      <c r="D158"/>
    </row>
    <row r="159" spans="3:4" x14ac:dyDescent="0.25">
      <c r="C159"/>
      <c r="D159"/>
    </row>
    <row r="160" spans="3:4" x14ac:dyDescent="0.25">
      <c r="C160"/>
      <c r="D160"/>
    </row>
    <row r="161" spans="3:4" x14ac:dyDescent="0.25">
      <c r="C161"/>
      <c r="D161"/>
    </row>
    <row r="162" spans="3:4" x14ac:dyDescent="0.25">
      <c r="C162"/>
      <c r="D162"/>
    </row>
    <row r="163" spans="3:4" x14ac:dyDescent="0.25">
      <c r="C163"/>
      <c r="D163"/>
    </row>
    <row r="164" spans="3:4" x14ac:dyDescent="0.25">
      <c r="C164"/>
      <c r="D164"/>
    </row>
    <row r="165" spans="3:4" x14ac:dyDescent="0.25">
      <c r="C165"/>
      <c r="D165"/>
    </row>
    <row r="166" spans="3:4" x14ac:dyDescent="0.25">
      <c r="C166"/>
      <c r="D166"/>
    </row>
    <row r="167" spans="3:4" x14ac:dyDescent="0.25">
      <c r="C167"/>
      <c r="D167"/>
    </row>
    <row r="168" spans="3:4" x14ac:dyDescent="0.25">
      <c r="C168"/>
      <c r="D168"/>
    </row>
    <row r="169" spans="3:4" x14ac:dyDescent="0.25">
      <c r="C169"/>
      <c r="D169"/>
    </row>
    <row r="170" spans="3:4" x14ac:dyDescent="0.25">
      <c r="C170"/>
      <c r="D170"/>
    </row>
    <row r="171" spans="3:4" x14ac:dyDescent="0.25">
      <c r="C171"/>
      <c r="D171"/>
    </row>
    <row r="172" spans="3:4" x14ac:dyDescent="0.25">
      <c r="C172"/>
      <c r="D172"/>
    </row>
    <row r="173" spans="3:4" x14ac:dyDescent="0.25">
      <c r="C173"/>
      <c r="D173"/>
    </row>
    <row r="174" spans="3:4" x14ac:dyDescent="0.25">
      <c r="C174"/>
      <c r="D174"/>
    </row>
    <row r="175" spans="3:4" x14ac:dyDescent="0.25">
      <c r="C175"/>
      <c r="D175"/>
    </row>
    <row r="176" spans="3:4" x14ac:dyDescent="0.25">
      <c r="C176"/>
      <c r="D176"/>
    </row>
    <row r="177" spans="3:4" x14ac:dyDescent="0.25">
      <c r="C177"/>
      <c r="D177"/>
    </row>
    <row r="178" spans="3:4" x14ac:dyDescent="0.25">
      <c r="C178"/>
      <c r="D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8" x14ac:dyDescent="0.25"/>
  <cols>
    <col min="2" max="2" width="11.109375" customWidth="1"/>
  </cols>
  <sheetData>
    <row r="1" spans="1:3" x14ac:dyDescent="0.25">
      <c r="B1" t="s">
        <v>91</v>
      </c>
      <c r="C1">
        <f>Sheet2!C35</f>
        <v>126.8</v>
      </c>
    </row>
    <row r="2" spans="1:3" x14ac:dyDescent="0.25">
      <c r="A2" s="32" t="s">
        <v>92</v>
      </c>
      <c r="B2" t="s">
        <v>93</v>
      </c>
      <c r="C2">
        <f>Sheet2!C27-Sheet2!C28</f>
        <v>0.375</v>
      </c>
    </row>
    <row r="3" spans="1:3" x14ac:dyDescent="0.25">
      <c r="A3" s="32"/>
      <c r="B3" t="s">
        <v>94</v>
      </c>
      <c r="C3">
        <f>Sheet2!C28-Sheet2!C29</f>
        <v>3.5590000000000002</v>
      </c>
    </row>
    <row r="4" spans="1:3" x14ac:dyDescent="0.25">
      <c r="A4" s="32"/>
      <c r="B4" t="s">
        <v>95</v>
      </c>
      <c r="C4">
        <f>Sheet2!C29-Sheet2!C22</f>
        <v>-3.25</v>
      </c>
    </row>
    <row r="5" spans="1:3" x14ac:dyDescent="0.25">
      <c r="A5" s="32"/>
      <c r="B5" t="s">
        <v>114</v>
      </c>
      <c r="C5">
        <f>Sheet2!C23-Sheet2!C24</f>
        <v>-1.4999999999998792E-2</v>
      </c>
    </row>
    <row r="6" spans="1:3" x14ac:dyDescent="0.25">
      <c r="A6" s="32"/>
      <c r="B6" t="s">
        <v>115</v>
      </c>
      <c r="C6">
        <f>Sheet2!C24-Sheet2!C25</f>
        <v>9.6000000000000085E-2</v>
      </c>
    </row>
    <row r="7" spans="1:3" x14ac:dyDescent="0.25">
      <c r="A7" s="14"/>
    </row>
    <row r="28" spans="1:7" x14ac:dyDescent="0.25">
      <c r="A28" s="33" t="s">
        <v>99</v>
      </c>
      <c r="B28" s="33" t="s">
        <v>96</v>
      </c>
      <c r="C28" s="33"/>
      <c r="D28" s="33" t="s">
        <v>97</v>
      </c>
      <c r="E28" s="33"/>
      <c r="F28" s="33" t="s">
        <v>98</v>
      </c>
      <c r="G28" s="33"/>
    </row>
    <row r="29" spans="1:7" x14ac:dyDescent="0.25">
      <c r="A29" s="33"/>
      <c r="B29" s="15" t="s">
        <v>101</v>
      </c>
      <c r="C29" s="15" t="s">
        <v>92</v>
      </c>
      <c r="D29" s="15" t="s">
        <v>100</v>
      </c>
      <c r="E29" s="15" t="s">
        <v>92</v>
      </c>
      <c r="F29" s="15" t="s">
        <v>101</v>
      </c>
      <c r="G29" s="15" t="s">
        <v>92</v>
      </c>
    </row>
    <row r="30" spans="1:7" x14ac:dyDescent="0.25">
      <c r="A30" s="33"/>
      <c r="B30" s="15"/>
      <c r="C30" s="15"/>
      <c r="D30" s="15">
        <v>100.3</v>
      </c>
      <c r="E30" s="15">
        <v>0.29199999999999982</v>
      </c>
      <c r="F30" s="15"/>
      <c r="G30" s="15"/>
    </row>
    <row r="31" spans="1:7" x14ac:dyDescent="0.25">
      <c r="A31" s="33"/>
      <c r="B31" s="15">
        <v>99</v>
      </c>
      <c r="C31" s="15">
        <v>0.53900000000000015</v>
      </c>
      <c r="D31" s="15">
        <v>104.7</v>
      </c>
      <c r="E31" s="15">
        <v>0.32200000000000006</v>
      </c>
      <c r="F31" s="15"/>
      <c r="G31" s="15"/>
    </row>
    <row r="32" spans="1:7" x14ac:dyDescent="0.25">
      <c r="A32" s="33"/>
      <c r="B32" s="15">
        <v>105.2</v>
      </c>
      <c r="C32" s="15">
        <v>0.5950000000000002</v>
      </c>
      <c r="D32" s="15">
        <v>106.3</v>
      </c>
      <c r="E32" s="15">
        <v>0.33599999999999985</v>
      </c>
      <c r="F32" s="15">
        <v>106.19</v>
      </c>
      <c r="G32" s="15">
        <v>0.26400000000000001</v>
      </c>
    </row>
    <row r="33" spans="1:7" x14ac:dyDescent="0.25">
      <c r="A33" s="33"/>
      <c r="B33" s="15">
        <v>128.1</v>
      </c>
      <c r="C33" s="15">
        <v>0.82499999999999973</v>
      </c>
      <c r="D33" s="15">
        <v>131.19999999999999</v>
      </c>
      <c r="E33" s="15">
        <v>0.5089999999999999</v>
      </c>
      <c r="F33" s="15">
        <v>118.92</v>
      </c>
      <c r="G33" s="15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8" x14ac:dyDescent="0.25"/>
  <sheetData>
    <row r="1" spans="2:14" x14ac:dyDescent="0.25">
      <c r="B1" s="35" t="s">
        <v>102</v>
      </c>
      <c r="C1" s="36"/>
      <c r="D1" s="36"/>
      <c r="E1" s="37"/>
      <c r="F1" s="34" t="s">
        <v>106</v>
      </c>
      <c r="G1" s="34"/>
      <c r="H1" s="34"/>
      <c r="I1" s="34"/>
      <c r="J1" s="35" t="s">
        <v>107</v>
      </c>
      <c r="K1" s="36"/>
      <c r="L1" s="37"/>
      <c r="M1" s="16"/>
      <c r="N1" s="12"/>
    </row>
    <row r="2" spans="2:14" x14ac:dyDescent="0.25">
      <c r="B2" s="15" t="s">
        <v>103</v>
      </c>
      <c r="C2" s="15" t="s">
        <v>108</v>
      </c>
      <c r="D2" s="15" t="s">
        <v>104</v>
      </c>
      <c r="E2" s="15" t="s">
        <v>105</v>
      </c>
      <c r="F2" s="9" t="s">
        <v>103</v>
      </c>
      <c r="G2" s="9" t="s">
        <v>109</v>
      </c>
      <c r="H2" s="9" t="s">
        <v>104</v>
      </c>
      <c r="I2" s="9" t="s">
        <v>105</v>
      </c>
      <c r="J2" s="15" t="s">
        <v>103</v>
      </c>
      <c r="K2" s="15" t="s">
        <v>110</v>
      </c>
      <c r="L2" s="15" t="s">
        <v>104</v>
      </c>
      <c r="M2" s="12"/>
    </row>
    <row r="3" spans="2:14" x14ac:dyDescent="0.25">
      <c r="B3" s="15">
        <v>302.07900000000001</v>
      </c>
      <c r="C3" s="15">
        <v>113</v>
      </c>
      <c r="D3" s="15">
        <v>2632.99</v>
      </c>
      <c r="E3" s="15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5">
        <v>200</v>
      </c>
      <c r="K3" s="15">
        <v>57.11</v>
      </c>
      <c r="L3" s="15">
        <v>2405</v>
      </c>
      <c r="M3" s="12"/>
    </row>
    <row r="4" spans="2:14" x14ac:dyDescent="0.25">
      <c r="B4" s="15">
        <v>420.173</v>
      </c>
      <c r="C4" s="15">
        <v>129.30000000000001</v>
      </c>
      <c r="D4" s="15">
        <v>4043.3</v>
      </c>
      <c r="E4" s="15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5">
        <v>340</v>
      </c>
      <c r="K4" s="15">
        <v>89.37</v>
      </c>
      <c r="L4" s="15">
        <v>3870</v>
      </c>
      <c r="M4" s="12"/>
    </row>
    <row r="5" spans="2:14" x14ac:dyDescent="0.25">
      <c r="B5" s="15">
        <v>420.57100000000003</v>
      </c>
      <c r="C5" s="15">
        <v>113.6</v>
      </c>
      <c r="D5" s="15">
        <v>3815.0230000000001</v>
      </c>
      <c r="E5" s="15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5">
        <v>420</v>
      </c>
      <c r="K5" s="15">
        <v>106.19</v>
      </c>
      <c r="L5" s="15">
        <v>4585</v>
      </c>
      <c r="M5" s="12"/>
    </row>
    <row r="6" spans="2:14" x14ac:dyDescent="0.25">
      <c r="B6" s="15"/>
      <c r="C6" s="15"/>
      <c r="D6" s="15"/>
      <c r="E6" s="15"/>
      <c r="F6" s="9">
        <v>505.52</v>
      </c>
      <c r="G6" s="9">
        <v>131.19999999999999</v>
      </c>
      <c r="H6" s="9">
        <v>5018.8</v>
      </c>
      <c r="I6" s="9">
        <v>1.3105627366496932</v>
      </c>
      <c r="J6" s="15">
        <v>500</v>
      </c>
      <c r="K6" s="15">
        <v>118.92</v>
      </c>
      <c r="L6" s="15">
        <v>5159</v>
      </c>
      <c r="M6" s="12"/>
    </row>
    <row r="7" spans="2:14" x14ac:dyDescent="0.25">
      <c r="B7" s="12"/>
      <c r="C7" s="12"/>
      <c r="D7" s="12"/>
      <c r="E7" s="12"/>
      <c r="F7" s="12"/>
      <c r="G7" s="12"/>
      <c r="I7" s="12"/>
      <c r="J7" s="12"/>
      <c r="L7" s="12"/>
      <c r="M7" s="12"/>
      <c r="N7" s="12"/>
    </row>
    <row r="8" spans="2:14" x14ac:dyDescent="0.25">
      <c r="B8" s="12"/>
      <c r="C8" s="12"/>
      <c r="D8" s="12"/>
      <c r="E8" s="12"/>
      <c r="F8" s="12"/>
      <c r="G8" s="12"/>
      <c r="I8" s="12"/>
      <c r="J8" s="12"/>
      <c r="L8" s="12"/>
      <c r="M8" s="12"/>
      <c r="N8" s="12"/>
    </row>
    <row r="9" spans="2:14" x14ac:dyDescent="0.25">
      <c r="B9" s="12"/>
      <c r="C9" s="12"/>
      <c r="D9" s="12"/>
      <c r="E9" s="12"/>
      <c r="F9" s="12"/>
      <c r="G9" s="12"/>
      <c r="I9" s="12"/>
      <c r="J9" s="12"/>
      <c r="L9" s="12"/>
      <c r="M9" s="12"/>
      <c r="N9" s="12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2021-04-12T00:50:34Z</dcterms:modified>
</cp:coreProperties>
</file>