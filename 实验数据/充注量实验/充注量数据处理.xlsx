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qhr\OneDrive\哈哈的文件\科研相关\项目相关\东风项目\实验\第二阶段实验20191021\充注量实验\"/>
    </mc:Choice>
  </mc:AlternateContent>
  <xr:revisionPtr revIDLastSave="1014" documentId="11_AD4DA82427541F7ACA7EB848404C08F06AE8DE09" xr6:coauthVersionLast="45" xr6:coauthVersionMax="45" xr10:uidLastSave="{555236CC-83E5-479A-8E4B-3A1F0448D5AD}"/>
  <bookViews>
    <workbookView xWindow="-103" yWindow="-12446" windowWidth="22149" windowHeight="11949" activeTab="4" xr2:uid="{00000000-000D-0000-FFFF-FFFF00000000}"/>
  </bookViews>
  <sheets>
    <sheet name="3" sheetId="1" r:id="rId1"/>
    <sheet name="4" sheetId="2" r:id="rId2"/>
    <sheet name="5&amp;6" sheetId="3" r:id="rId3"/>
    <sheet name="7" sheetId="4" r:id="rId4"/>
    <sheet name="8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36" i="3" l="1"/>
  <c r="L37" i="3"/>
  <c r="AA22" i="3"/>
  <c r="AB22" i="3"/>
  <c r="AC22" i="3"/>
  <c r="AD22" i="3"/>
  <c r="AA23" i="3"/>
  <c r="AB23" i="3"/>
  <c r="AC23" i="3"/>
  <c r="AD23" i="3"/>
  <c r="AA24" i="3"/>
  <c r="AB24" i="3"/>
  <c r="AC24" i="3"/>
  <c r="AD24" i="3"/>
  <c r="AA25" i="3"/>
  <c r="AB25" i="3"/>
  <c r="AC25" i="3"/>
  <c r="AD25" i="3"/>
  <c r="AA26" i="3"/>
  <c r="AB26" i="3"/>
  <c r="AC26" i="3"/>
  <c r="AD26" i="3"/>
  <c r="AA31" i="3"/>
  <c r="AB31" i="3"/>
  <c r="AC31" i="3"/>
  <c r="AD31" i="3"/>
  <c r="AA32" i="3"/>
  <c r="AB32" i="3"/>
  <c r="AC32" i="3"/>
  <c r="AD32" i="3"/>
  <c r="AA33" i="3"/>
  <c r="AB33" i="3"/>
  <c r="AC33" i="3"/>
  <c r="AD33" i="3"/>
  <c r="I31" i="3"/>
  <c r="J31" i="3"/>
  <c r="K31" i="3"/>
  <c r="L31" i="3"/>
  <c r="I32" i="3"/>
  <c r="J32" i="3"/>
  <c r="K32" i="3"/>
  <c r="L32" i="3"/>
  <c r="I33" i="3"/>
  <c r="J33" i="3"/>
  <c r="K33" i="3"/>
  <c r="L33" i="3"/>
  <c r="I34" i="3"/>
  <c r="J34" i="3"/>
  <c r="K34" i="3"/>
  <c r="L34" i="3"/>
  <c r="I35" i="3"/>
  <c r="J35" i="3"/>
  <c r="K35" i="3"/>
  <c r="L35" i="3"/>
  <c r="J36" i="3"/>
  <c r="K36" i="3"/>
  <c r="I37" i="3"/>
  <c r="J37" i="3"/>
  <c r="K37" i="3"/>
  <c r="AA20" i="3"/>
  <c r="AB20" i="3"/>
  <c r="AC20" i="3"/>
  <c r="AD20" i="3"/>
  <c r="AA21" i="3"/>
  <c r="AB21" i="3"/>
  <c r="AC21" i="3"/>
  <c r="AD21" i="3"/>
  <c r="AD19" i="3"/>
  <c r="AC19" i="3"/>
  <c r="AB19" i="3"/>
  <c r="AA19" i="3"/>
  <c r="I20" i="3"/>
  <c r="J20" i="3"/>
  <c r="K20" i="3"/>
  <c r="L20" i="3"/>
  <c r="I21" i="3"/>
  <c r="J21" i="3"/>
  <c r="K21" i="3"/>
  <c r="L21" i="3"/>
  <c r="I22" i="3"/>
  <c r="J22" i="3"/>
  <c r="K22" i="3"/>
  <c r="L22" i="3"/>
  <c r="I23" i="3"/>
  <c r="J23" i="3"/>
  <c r="K23" i="3"/>
  <c r="L23" i="3"/>
  <c r="I24" i="3"/>
  <c r="J24" i="3"/>
  <c r="K24" i="3"/>
  <c r="L24" i="3"/>
  <c r="I25" i="3"/>
  <c r="J25" i="3"/>
  <c r="K25" i="3"/>
  <c r="L25" i="3"/>
  <c r="L19" i="3"/>
  <c r="K19" i="3"/>
  <c r="J19" i="3"/>
  <c r="I19" i="3"/>
  <c r="AA7" i="3"/>
  <c r="AB7" i="3"/>
  <c r="AC7" i="3"/>
  <c r="AD7" i="3"/>
  <c r="AA8" i="3"/>
  <c r="AB8" i="3"/>
  <c r="AC8" i="3"/>
  <c r="AD8" i="3"/>
  <c r="AA9" i="3"/>
  <c r="AB9" i="3"/>
  <c r="AC9" i="3"/>
  <c r="AD9" i="3"/>
  <c r="AA10" i="3"/>
  <c r="AB10" i="3"/>
  <c r="AC10" i="3"/>
  <c r="AD10" i="3"/>
  <c r="AD6" i="3"/>
  <c r="AC6" i="3"/>
  <c r="AB6" i="3"/>
  <c r="AA6" i="3"/>
  <c r="I7" i="3"/>
  <c r="J7" i="3"/>
  <c r="K7" i="3"/>
  <c r="L7" i="3"/>
  <c r="I8" i="3"/>
  <c r="J8" i="3"/>
  <c r="K8" i="3"/>
  <c r="L8" i="3"/>
  <c r="I9" i="3"/>
  <c r="J9" i="3"/>
  <c r="K9" i="3"/>
  <c r="L9" i="3"/>
  <c r="I10" i="3"/>
  <c r="J10" i="3"/>
  <c r="K10" i="3"/>
  <c r="L10" i="3"/>
  <c r="I11" i="3"/>
  <c r="J11" i="3"/>
  <c r="K11" i="3"/>
  <c r="L11" i="3"/>
  <c r="I12" i="3"/>
  <c r="J12" i="3"/>
  <c r="K12" i="3"/>
  <c r="L12" i="3"/>
  <c r="L6" i="3"/>
  <c r="K6" i="3"/>
  <c r="J6" i="3"/>
  <c r="I6" i="3"/>
  <c r="AJ31" i="3"/>
  <c r="AK32" i="3"/>
  <c r="R31" i="3"/>
  <c r="AK6" i="3"/>
  <c r="AJ20" i="3"/>
  <c r="R21" i="3"/>
  <c r="R6" i="3"/>
  <c r="AK20" i="3"/>
  <c r="AK31" i="3"/>
  <c r="AK25" i="3"/>
  <c r="R32" i="3"/>
  <c r="AK7" i="3"/>
  <c r="AK19" i="3"/>
  <c r="R19" i="3"/>
  <c r="AJ8" i="3"/>
  <c r="AK23" i="3"/>
  <c r="AK33" i="3"/>
  <c r="R33" i="3"/>
  <c r="AK8" i="3"/>
  <c r="AJ19" i="3"/>
  <c r="R12" i="3"/>
  <c r="R7" i="3"/>
  <c r="AJ22" i="3"/>
  <c r="AJ24" i="3"/>
  <c r="R26" i="3"/>
  <c r="AJ6" i="3"/>
  <c r="AK9" i="3"/>
  <c r="R20" i="3"/>
  <c r="R9" i="3"/>
  <c r="AK22" i="3"/>
  <c r="AJ26" i="3"/>
  <c r="AJ32" i="3"/>
  <c r="R34" i="3"/>
  <c r="AJ7" i="3"/>
  <c r="AK10" i="3"/>
  <c r="R22" i="3"/>
  <c r="R11" i="3"/>
  <c r="R36" i="3"/>
  <c r="R23" i="3"/>
  <c r="AK26" i="3"/>
  <c r="AJ33" i="3"/>
  <c r="R35" i="3"/>
  <c r="AJ9" i="3"/>
  <c r="AK21" i="3"/>
  <c r="R24" i="3"/>
  <c r="AJ23" i="3"/>
  <c r="AK24" i="3"/>
  <c r="R37" i="3"/>
  <c r="AJ10" i="3"/>
  <c r="AJ21" i="3"/>
  <c r="R25" i="3"/>
  <c r="R10" i="3"/>
  <c r="AJ25" i="3"/>
  <c r="R8" i="3"/>
</calcChain>
</file>

<file path=xl/sharedStrings.xml><?xml version="1.0" encoding="utf-8"?>
<sst xmlns="http://schemas.openxmlformats.org/spreadsheetml/2006/main" count="194" uniqueCount="30">
  <si>
    <t>5000rpm，35℃</t>
    <phoneticPr fontId="4" type="noConversion"/>
  </si>
  <si>
    <t>排气压力</t>
    <phoneticPr fontId="4" type="noConversion"/>
  </si>
  <si>
    <t>制冷量</t>
    <phoneticPr fontId="4" type="noConversion"/>
  </si>
  <si>
    <t>COP</t>
    <phoneticPr fontId="4" type="noConversion"/>
  </si>
  <si>
    <t>充注量</t>
    <phoneticPr fontId="4" type="noConversion"/>
  </si>
  <si>
    <t>5000rpm，三个环温，最大制冷量和COP</t>
    <phoneticPr fontId="4" type="noConversion"/>
  </si>
  <si>
    <t>30℃</t>
    <phoneticPr fontId="4" type="noConversion"/>
  </si>
  <si>
    <t>35℃</t>
    <phoneticPr fontId="4" type="noConversion"/>
  </si>
  <si>
    <t>40℃</t>
    <phoneticPr fontId="4" type="noConversion"/>
  </si>
  <si>
    <t>全回热</t>
    <phoneticPr fontId="4" type="noConversion"/>
  </si>
  <si>
    <t>不回热</t>
    <phoneticPr fontId="4" type="noConversion"/>
  </si>
  <si>
    <t>气冷入口</t>
    <phoneticPr fontId="4" type="noConversion"/>
  </si>
  <si>
    <t>吸气</t>
    <phoneticPr fontId="4" type="noConversion"/>
  </si>
  <si>
    <t>气冷出口</t>
    <phoneticPr fontId="4" type="noConversion"/>
  </si>
  <si>
    <t>蒸发入口</t>
    <phoneticPr fontId="4" type="noConversion"/>
  </si>
  <si>
    <t>蒸发出口</t>
    <phoneticPr fontId="4" type="noConversion"/>
  </si>
  <si>
    <t>压力</t>
    <phoneticPr fontId="4" type="noConversion"/>
  </si>
  <si>
    <t>温度</t>
    <phoneticPr fontId="4" type="noConversion"/>
  </si>
  <si>
    <t>蒸发进口</t>
    <phoneticPr fontId="4" type="noConversion"/>
  </si>
  <si>
    <t>排气</t>
    <phoneticPr fontId="4" type="noConversion"/>
  </si>
  <si>
    <t>阀前</t>
    <phoneticPr fontId="4" type="noConversion"/>
  </si>
  <si>
    <t>过热度</t>
    <phoneticPr fontId="4" type="noConversion"/>
  </si>
  <si>
    <t>气冷压降</t>
    <phoneticPr fontId="4" type="noConversion"/>
  </si>
  <si>
    <t>蒸发压降</t>
    <phoneticPr fontId="4" type="noConversion"/>
  </si>
  <si>
    <t>低压压降</t>
    <phoneticPr fontId="4" type="noConversion"/>
  </si>
  <si>
    <t>高压压降</t>
    <phoneticPr fontId="4" type="noConversion"/>
  </si>
  <si>
    <t>质量流量</t>
    <phoneticPr fontId="4" type="noConversion"/>
  </si>
  <si>
    <t>吸气过热</t>
    <phoneticPr fontId="4" type="noConversion"/>
  </si>
  <si>
    <t>Q</t>
    <phoneticPr fontId="4" type="noConversion"/>
  </si>
  <si>
    <t>4000rpm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</si>
</sst>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1" fillId="4" borderId="2" applyNumberFormat="0" applyFont="0" applyAlignment="0" applyProtection="0">
      <alignment vertical="center"/>
    </xf>
  </cellStyleXfs>
  <cellXfs count="41">
    <xf numFmtId="0" fontId="0" fillId="0" borderId="0" xfId="0"/>
    <xf numFmtId="0" fontId="3" fillId="3" borderId="1" xfId="2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5" borderId="4" xfId="0" applyFill="1" applyBorder="1"/>
    <xf numFmtId="0" fontId="0" fillId="6" borderId="4" xfId="0" applyFill="1" applyBorder="1"/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5" xfId="0" applyFill="1" applyBorder="1"/>
    <xf numFmtId="0" fontId="0" fillId="5" borderId="2" xfId="3" applyNumberFormat="1" applyFont="1" applyFill="1" applyAlignment="1">
      <alignment horizontal="center" vertical="center"/>
    </xf>
    <xf numFmtId="0" fontId="0" fillId="5" borderId="11" xfId="3" applyNumberFormat="1" applyFont="1" applyFill="1" applyBorder="1" applyAlignment="1">
      <alignment horizontal="center" vertical="center"/>
    </xf>
    <xf numFmtId="0" fontId="0" fillId="5" borderId="9" xfId="3" applyNumberFormat="1" applyFont="1" applyFill="1" applyBorder="1" applyAlignment="1">
      <alignment horizontal="center" vertical="center"/>
    </xf>
    <xf numFmtId="0" fontId="0" fillId="5" borderId="4" xfId="3" applyNumberFormat="1" applyFont="1" applyFill="1" applyBorder="1" applyAlignment="1">
      <alignment horizontal="center" vertical="center"/>
    </xf>
    <xf numFmtId="0" fontId="0" fillId="5" borderId="8" xfId="3" applyNumberFormat="1" applyFont="1" applyFill="1" applyBorder="1" applyAlignment="1">
      <alignment horizontal="center" vertical="center"/>
    </xf>
    <xf numFmtId="0" fontId="0" fillId="5" borderId="10" xfId="3" applyNumberFormat="1" applyFont="1" applyFill="1" applyBorder="1" applyAlignment="1">
      <alignment horizontal="center" vertical="center"/>
    </xf>
    <xf numFmtId="0" fontId="2" fillId="5" borderId="2" xfId="1" applyNumberFormat="1" applyFill="1" applyBorder="1" applyAlignment="1">
      <alignment horizontal="center" vertical="center"/>
    </xf>
    <xf numFmtId="0" fontId="0" fillId="7" borderId="0" xfId="0" applyFill="1"/>
    <xf numFmtId="0" fontId="0" fillId="7" borderId="4" xfId="0" applyFill="1" applyBorder="1" applyAlignment="1"/>
    <xf numFmtId="0" fontId="0" fillId="7" borderId="4" xfId="0" applyFill="1" applyBorder="1"/>
    <xf numFmtId="0" fontId="0" fillId="7" borderId="4" xfId="3" applyNumberFormat="1" applyFont="1" applyFill="1" applyBorder="1" applyAlignment="1">
      <alignment horizontal="center" vertical="center"/>
    </xf>
    <xf numFmtId="0" fontId="3" fillId="5" borderId="1" xfId="2" applyFill="1" applyAlignment="1">
      <alignment horizontal="center" vertical="center"/>
    </xf>
    <xf numFmtId="0" fontId="0" fillId="6" borderId="7" xfId="0" applyFill="1" applyBorder="1" applyAlignment="1">
      <alignment horizontal="center"/>
    </xf>
    <xf numFmtId="0" fontId="0" fillId="7" borderId="0" xfId="0" applyFill="1" applyBorder="1"/>
    <xf numFmtId="0" fontId="0" fillId="5" borderId="13" xfId="3" applyNumberFormat="1" applyFont="1" applyFill="1" applyBorder="1" applyAlignment="1">
      <alignment horizontal="center" vertical="center"/>
    </xf>
    <xf numFmtId="0" fontId="0" fillId="6" borderId="14" xfId="0" applyFill="1" applyBorder="1"/>
    <xf numFmtId="0" fontId="0" fillId="7" borderId="14" xfId="0" applyFill="1" applyBorder="1"/>
    <xf numFmtId="0" fontId="0" fillId="0" borderId="4" xfId="0" applyBorder="1"/>
    <xf numFmtId="0" fontId="0" fillId="5" borderId="15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7" borderId="1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3" xfId="0" applyBorder="1" applyAlignment="1">
      <alignment horizontal="center"/>
    </xf>
  </cellXfs>
  <cellStyles count="4">
    <cellStyle name="常规" xfId="0" builtinId="0"/>
    <cellStyle name="好" xfId="1" builtinId="26"/>
    <cellStyle name="输入" xfId="2" builtinId="20"/>
    <cellStyle name="注释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697239874798444"/>
          <c:y val="5.1539595859549064E-2"/>
          <c:w val="0.67186121937028309"/>
          <c:h val="0.81722384965840922"/>
        </c:manualLayout>
      </c:layout>
      <c:scatterChart>
        <c:scatterStyle val="smoothMarker"/>
        <c:varyColors val="0"/>
        <c:ser>
          <c:idx val="0"/>
          <c:order val="0"/>
          <c:tx>
            <c:v>Q-500g</c:v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'3'!$B$3:$B$6</c:f>
              <c:numCache>
                <c:formatCode>General</c:formatCode>
                <c:ptCount val="4"/>
                <c:pt idx="0">
                  <c:v>8.6</c:v>
                </c:pt>
                <c:pt idx="1">
                  <c:v>9.1</c:v>
                </c:pt>
                <c:pt idx="2">
                  <c:v>9.2799999999999994</c:v>
                </c:pt>
                <c:pt idx="3">
                  <c:v>9.4</c:v>
                </c:pt>
              </c:numCache>
            </c:numRef>
          </c:xVal>
          <c:yVal>
            <c:numRef>
              <c:f>'3'!$C$3:$C$6</c:f>
              <c:numCache>
                <c:formatCode>General</c:formatCode>
                <c:ptCount val="4"/>
                <c:pt idx="0">
                  <c:v>3781.65</c:v>
                </c:pt>
                <c:pt idx="1">
                  <c:v>4362.5200000000004</c:v>
                </c:pt>
                <c:pt idx="2">
                  <c:v>4482.12</c:v>
                </c:pt>
                <c:pt idx="3">
                  <c:v>4537.34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C04-4657-A553-B0D608157ED5}"/>
            </c:ext>
          </c:extLst>
        </c:ser>
        <c:ser>
          <c:idx val="2"/>
          <c:order val="2"/>
          <c:tx>
            <c:v>Q-700g</c:v>
          </c:tx>
          <c:spPr>
            <a:ln w="9525" cap="rnd">
              <a:solidFill>
                <a:srgbClr val="0070C0"/>
              </a:solidFill>
              <a:round/>
            </a:ln>
            <a:effectLst/>
          </c:spPr>
          <c:marker>
            <c:symbol val="diamond"/>
            <c:size val="4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xVal>
            <c:numRef>
              <c:f>'3'!$B$7:$B$10</c:f>
              <c:numCache>
                <c:formatCode>General</c:formatCode>
                <c:ptCount val="4"/>
                <c:pt idx="0">
                  <c:v>8.73</c:v>
                </c:pt>
                <c:pt idx="1">
                  <c:v>9.1999999999999993</c:v>
                </c:pt>
                <c:pt idx="2">
                  <c:v>9.39</c:v>
                </c:pt>
                <c:pt idx="3">
                  <c:v>9.56</c:v>
                </c:pt>
              </c:numCache>
            </c:numRef>
          </c:xVal>
          <c:yVal>
            <c:numRef>
              <c:f>'3'!$C$7:$C$10</c:f>
              <c:numCache>
                <c:formatCode>General</c:formatCode>
                <c:ptCount val="4"/>
                <c:pt idx="0">
                  <c:v>3965.24</c:v>
                </c:pt>
                <c:pt idx="1">
                  <c:v>4445.21</c:v>
                </c:pt>
                <c:pt idx="2">
                  <c:v>4533.51</c:v>
                </c:pt>
                <c:pt idx="3">
                  <c:v>4571.91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C04-4657-A553-B0D608157ED5}"/>
            </c:ext>
          </c:extLst>
        </c:ser>
        <c:ser>
          <c:idx val="4"/>
          <c:order val="4"/>
          <c:tx>
            <c:v>Q-800g</c:v>
          </c:tx>
          <c:spPr>
            <a:ln w="9525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4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'3'!$B$11:$B$14</c:f>
              <c:numCache>
                <c:formatCode>General</c:formatCode>
                <c:ptCount val="4"/>
                <c:pt idx="0">
                  <c:v>9.06</c:v>
                </c:pt>
                <c:pt idx="1">
                  <c:v>9.1999999999999993</c:v>
                </c:pt>
                <c:pt idx="2">
                  <c:v>9.39</c:v>
                </c:pt>
                <c:pt idx="3">
                  <c:v>9.58</c:v>
                </c:pt>
              </c:numCache>
            </c:numRef>
          </c:xVal>
          <c:yVal>
            <c:numRef>
              <c:f>'3'!$C$11:$C$14</c:f>
              <c:numCache>
                <c:formatCode>General</c:formatCode>
                <c:ptCount val="4"/>
                <c:pt idx="0">
                  <c:v>4297.22</c:v>
                </c:pt>
                <c:pt idx="1">
                  <c:v>4388.3599999999997</c:v>
                </c:pt>
                <c:pt idx="2">
                  <c:v>4490.54</c:v>
                </c:pt>
                <c:pt idx="3">
                  <c:v>4523.3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C04-4657-A553-B0D608157ED5}"/>
            </c:ext>
          </c:extLst>
        </c:ser>
        <c:ser>
          <c:idx val="7"/>
          <c:order val="6"/>
          <c:tx>
            <c:v>Q-900g</c:v>
          </c:tx>
          <c:spPr>
            <a:ln w="952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diamond"/>
            <c:size val="4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'3'!$B$15:$B$18</c:f>
              <c:numCache>
                <c:formatCode>General</c:formatCode>
                <c:ptCount val="4"/>
                <c:pt idx="0">
                  <c:v>8.6999999999999993</c:v>
                </c:pt>
                <c:pt idx="1">
                  <c:v>9.2100000000000009</c:v>
                </c:pt>
                <c:pt idx="2">
                  <c:v>9.43</c:v>
                </c:pt>
                <c:pt idx="3">
                  <c:v>9.6300000000000008</c:v>
                </c:pt>
              </c:numCache>
            </c:numRef>
          </c:xVal>
          <c:yVal>
            <c:numRef>
              <c:f>'3'!$C$15:$C$18</c:f>
              <c:numCache>
                <c:formatCode>General</c:formatCode>
                <c:ptCount val="4"/>
                <c:pt idx="0">
                  <c:v>3690.32</c:v>
                </c:pt>
                <c:pt idx="1">
                  <c:v>4366.04</c:v>
                </c:pt>
                <c:pt idx="2">
                  <c:v>4375.3999999999996</c:v>
                </c:pt>
                <c:pt idx="3">
                  <c:v>4487.2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C04-4657-A553-B0D608157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9875424"/>
        <c:axId val="1451472384"/>
      </c:scatterChart>
      <c:scatterChart>
        <c:scatterStyle val="smoothMarker"/>
        <c:varyColors val="0"/>
        <c:ser>
          <c:idx val="1"/>
          <c:order val="1"/>
          <c:tx>
            <c:v>COP-500g</c:v>
          </c:tx>
          <c:spPr>
            <a:ln w="9525" cap="rnd">
              <a:solidFill>
                <a:srgbClr val="FF0000"/>
              </a:solidFill>
              <a:prstDash val="lgDashDotDot"/>
              <a:round/>
            </a:ln>
            <a:effectLst/>
          </c:spPr>
          <c:marker>
            <c:symbol val="diamond"/>
            <c:size val="4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'3'!$B$3:$B$6</c:f>
              <c:numCache>
                <c:formatCode>General</c:formatCode>
                <c:ptCount val="4"/>
                <c:pt idx="0">
                  <c:v>8.6</c:v>
                </c:pt>
                <c:pt idx="1">
                  <c:v>9.1</c:v>
                </c:pt>
                <c:pt idx="2">
                  <c:v>9.2799999999999994</c:v>
                </c:pt>
                <c:pt idx="3">
                  <c:v>9.4</c:v>
                </c:pt>
              </c:numCache>
            </c:numRef>
          </c:xVal>
          <c:yVal>
            <c:numRef>
              <c:f>'3'!$D$3:$D$6</c:f>
              <c:numCache>
                <c:formatCode>General</c:formatCode>
                <c:ptCount val="4"/>
                <c:pt idx="0">
                  <c:v>1.5780000000000001</c:v>
                </c:pt>
                <c:pt idx="1">
                  <c:v>1.6859999999999999</c:v>
                </c:pt>
                <c:pt idx="2">
                  <c:v>1.71</c:v>
                </c:pt>
                <c:pt idx="3">
                  <c:v>1.6970000000000001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C04-4657-A553-B0D608157ED5}"/>
            </c:ext>
          </c:extLst>
        </c:ser>
        <c:ser>
          <c:idx val="3"/>
          <c:order val="3"/>
          <c:tx>
            <c:v>COP-700g</c:v>
          </c:tx>
          <c:spPr>
            <a:ln w="9525" cap="rnd">
              <a:solidFill>
                <a:srgbClr val="0070C0"/>
              </a:solidFill>
              <a:prstDash val="lgDashDotDot"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xVal>
            <c:numRef>
              <c:f>'3'!$B$7:$B$10</c:f>
              <c:numCache>
                <c:formatCode>General</c:formatCode>
                <c:ptCount val="4"/>
                <c:pt idx="0">
                  <c:v>8.73</c:v>
                </c:pt>
                <c:pt idx="1">
                  <c:v>9.1999999999999993</c:v>
                </c:pt>
                <c:pt idx="2">
                  <c:v>9.39</c:v>
                </c:pt>
                <c:pt idx="3">
                  <c:v>9.56</c:v>
                </c:pt>
              </c:numCache>
            </c:numRef>
          </c:xVal>
          <c:yVal>
            <c:numRef>
              <c:f>'3'!$D$7:$D$10</c:f>
              <c:numCache>
                <c:formatCode>General</c:formatCode>
                <c:ptCount val="4"/>
                <c:pt idx="0">
                  <c:v>1.62</c:v>
                </c:pt>
                <c:pt idx="1">
                  <c:v>1.7</c:v>
                </c:pt>
                <c:pt idx="2">
                  <c:v>1.6839999999999999</c:v>
                </c:pt>
                <c:pt idx="3">
                  <c:v>1.677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C04-4657-A553-B0D608157ED5}"/>
            </c:ext>
          </c:extLst>
        </c:ser>
        <c:ser>
          <c:idx val="5"/>
          <c:order val="5"/>
          <c:tx>
            <c:v>COP-800g</c:v>
          </c:tx>
          <c:spPr>
            <a:ln w="9525" cap="rnd">
              <a:solidFill>
                <a:schemeClr val="tx1"/>
              </a:solidFill>
              <a:prstDash val="lgDashDotDot"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'3'!$B$11:$B$14</c:f>
              <c:numCache>
                <c:formatCode>General</c:formatCode>
                <c:ptCount val="4"/>
                <c:pt idx="0">
                  <c:v>9.06</c:v>
                </c:pt>
                <c:pt idx="1">
                  <c:v>9.1999999999999993</c:v>
                </c:pt>
                <c:pt idx="2">
                  <c:v>9.39</c:v>
                </c:pt>
                <c:pt idx="3">
                  <c:v>9.58</c:v>
                </c:pt>
              </c:numCache>
            </c:numRef>
          </c:xVal>
          <c:yVal>
            <c:numRef>
              <c:f>'3'!$D$11:$D$14</c:f>
              <c:numCache>
                <c:formatCode>General</c:formatCode>
                <c:ptCount val="4"/>
                <c:pt idx="0">
                  <c:v>1.68</c:v>
                </c:pt>
                <c:pt idx="1">
                  <c:v>1.7</c:v>
                </c:pt>
                <c:pt idx="2">
                  <c:v>1.69</c:v>
                </c:pt>
                <c:pt idx="3">
                  <c:v>1.66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C04-4657-A553-B0D608157ED5}"/>
            </c:ext>
          </c:extLst>
        </c:ser>
        <c:ser>
          <c:idx val="6"/>
          <c:order val="7"/>
          <c:tx>
            <c:v>COP-900g</c:v>
          </c:tx>
          <c:spPr>
            <a:ln w="9525" cap="rnd">
              <a:solidFill>
                <a:schemeClr val="accent2"/>
              </a:solidFill>
              <a:prstDash val="lgDashDotDot"/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'3'!$B$15:$B$18</c:f>
              <c:numCache>
                <c:formatCode>General</c:formatCode>
                <c:ptCount val="4"/>
                <c:pt idx="0">
                  <c:v>8.6999999999999993</c:v>
                </c:pt>
                <c:pt idx="1">
                  <c:v>9.2100000000000009</c:v>
                </c:pt>
                <c:pt idx="2">
                  <c:v>9.43</c:v>
                </c:pt>
                <c:pt idx="3">
                  <c:v>9.6300000000000008</c:v>
                </c:pt>
              </c:numCache>
            </c:numRef>
          </c:xVal>
          <c:yVal>
            <c:numRef>
              <c:f>'3'!$D$15:$D$18</c:f>
              <c:numCache>
                <c:formatCode>General</c:formatCode>
                <c:ptCount val="4"/>
                <c:pt idx="0">
                  <c:v>1.51</c:v>
                </c:pt>
                <c:pt idx="1">
                  <c:v>1.67</c:v>
                </c:pt>
                <c:pt idx="2">
                  <c:v>1.64</c:v>
                </c:pt>
                <c:pt idx="3">
                  <c:v>1.63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C04-4657-A553-B0D608157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1458656"/>
        <c:axId val="1451475712"/>
      </c:scatterChart>
      <c:valAx>
        <c:axId val="1949875424"/>
        <c:scaling>
          <c:orientation val="minMax"/>
          <c:min val="8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altLang="zh-CN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/>
                  <a:t>Discharge Pressure/MPa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altLang="zh-CN" sz="9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alt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451472384"/>
        <c:crosses val="autoZero"/>
        <c:crossBetween val="midCat"/>
        <c:majorUnit val="0.4"/>
      </c:valAx>
      <c:valAx>
        <c:axId val="1451472384"/>
        <c:scaling>
          <c:orientation val="minMax"/>
          <c:max val="6100"/>
          <c:min val="3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altLang="zh-CN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/>
                  <a:t>COP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91410067575657172"/>
              <c:y val="0.387952859600516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altLang="zh-CN" sz="9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949875424"/>
        <c:crosses val="autoZero"/>
        <c:crossBetween val="midCat"/>
        <c:majorUnit val="800"/>
      </c:valAx>
      <c:valAx>
        <c:axId val="1451475712"/>
        <c:scaling>
          <c:orientation val="minMax"/>
          <c:max val="1.8"/>
          <c:min val="1.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altLang="zh-CN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/>
                  <a:t>Cooling Capacity/W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2864836001493607E-2"/>
              <c:y val="0.276676888083015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altLang="zh-CN" sz="9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alt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451458656"/>
        <c:crosses val="max"/>
        <c:crossBetween val="midCat"/>
        <c:majorUnit val="0.1"/>
      </c:valAx>
      <c:valAx>
        <c:axId val="14514586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5147571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7021405609556065"/>
          <c:y val="6.9243825445915549E-2"/>
          <c:w val="0.68721872479602475"/>
          <c:h val="0.224208907520889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altLang="zh-CN"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 algn="ctr">
        <a:defRPr lang="en-US" altLang="zh-CN" sz="900" b="0" i="0" u="none" strike="noStrike" kern="1200" baseline="0">
          <a:solidFill>
            <a:sysClr val="windowText" lastClr="000000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468574979955565"/>
          <c:y val="5.1539608708129278E-2"/>
          <c:w val="0.67760385902091369"/>
          <c:h val="0.81967992053459038"/>
        </c:manualLayout>
      </c:layout>
      <c:scatterChart>
        <c:scatterStyle val="lineMarker"/>
        <c:varyColors val="0"/>
        <c:ser>
          <c:idx val="1"/>
          <c:order val="1"/>
          <c:tx>
            <c:v>COP-500g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trendline>
            <c:spPr>
              <a:ln w="12700" cap="rnd">
                <a:solidFill>
                  <a:srgbClr val="FF0000"/>
                </a:solidFill>
                <a:prstDash val="lgDashDot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'3'!$B$3:$B$6</c:f>
              <c:numCache>
                <c:formatCode>General</c:formatCode>
                <c:ptCount val="4"/>
                <c:pt idx="0">
                  <c:v>8.6</c:v>
                </c:pt>
                <c:pt idx="1">
                  <c:v>9.1</c:v>
                </c:pt>
                <c:pt idx="2">
                  <c:v>9.2799999999999994</c:v>
                </c:pt>
                <c:pt idx="3">
                  <c:v>9.4</c:v>
                </c:pt>
              </c:numCache>
            </c:numRef>
          </c:xVal>
          <c:yVal>
            <c:numRef>
              <c:f>'3'!$D$3:$D$6</c:f>
              <c:numCache>
                <c:formatCode>General</c:formatCode>
                <c:ptCount val="4"/>
                <c:pt idx="0">
                  <c:v>1.5780000000000001</c:v>
                </c:pt>
                <c:pt idx="1">
                  <c:v>1.6859999999999999</c:v>
                </c:pt>
                <c:pt idx="2">
                  <c:v>1.71</c:v>
                </c:pt>
                <c:pt idx="3">
                  <c:v>1.6970000000000001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994-4FB6-94EB-68C1B5D7F2EA}"/>
            </c:ext>
          </c:extLst>
        </c:ser>
        <c:ser>
          <c:idx val="3"/>
          <c:order val="3"/>
          <c:tx>
            <c:v>COP-700g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trendline>
            <c:spPr>
              <a:ln w="12700" cap="rnd">
                <a:solidFill>
                  <a:srgbClr val="0070C0"/>
                </a:solidFill>
                <a:prstDash val="lgDashDot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'3'!$B$7:$B$10</c:f>
              <c:numCache>
                <c:formatCode>General</c:formatCode>
                <c:ptCount val="4"/>
                <c:pt idx="0">
                  <c:v>8.73</c:v>
                </c:pt>
                <c:pt idx="1">
                  <c:v>9.1999999999999993</c:v>
                </c:pt>
                <c:pt idx="2">
                  <c:v>9.39</c:v>
                </c:pt>
                <c:pt idx="3">
                  <c:v>9.56</c:v>
                </c:pt>
              </c:numCache>
            </c:numRef>
          </c:xVal>
          <c:yVal>
            <c:numRef>
              <c:f>'3'!$D$7:$D$10</c:f>
              <c:numCache>
                <c:formatCode>General</c:formatCode>
                <c:ptCount val="4"/>
                <c:pt idx="0">
                  <c:v>1.62</c:v>
                </c:pt>
                <c:pt idx="1">
                  <c:v>1.7</c:v>
                </c:pt>
                <c:pt idx="2">
                  <c:v>1.6839999999999999</c:v>
                </c:pt>
                <c:pt idx="3">
                  <c:v>1.677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994-4FB6-94EB-68C1B5D7F2EA}"/>
            </c:ext>
          </c:extLst>
        </c:ser>
        <c:ser>
          <c:idx val="5"/>
          <c:order val="5"/>
          <c:tx>
            <c:v>COP-800g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lgDashDot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'3'!$B$11:$B$14</c:f>
              <c:numCache>
                <c:formatCode>General</c:formatCode>
                <c:ptCount val="4"/>
                <c:pt idx="0">
                  <c:v>9.06</c:v>
                </c:pt>
                <c:pt idx="1">
                  <c:v>9.1999999999999993</c:v>
                </c:pt>
                <c:pt idx="2">
                  <c:v>9.39</c:v>
                </c:pt>
                <c:pt idx="3">
                  <c:v>9.58</c:v>
                </c:pt>
              </c:numCache>
            </c:numRef>
          </c:xVal>
          <c:yVal>
            <c:numRef>
              <c:f>'3'!$D$11:$D$14</c:f>
              <c:numCache>
                <c:formatCode>General</c:formatCode>
                <c:ptCount val="4"/>
                <c:pt idx="0">
                  <c:v>1.68</c:v>
                </c:pt>
                <c:pt idx="1">
                  <c:v>1.7</c:v>
                </c:pt>
                <c:pt idx="2">
                  <c:v>1.69</c:v>
                </c:pt>
                <c:pt idx="3">
                  <c:v>1.66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994-4FB6-94EB-68C1B5D7F2EA}"/>
            </c:ext>
          </c:extLst>
        </c:ser>
        <c:ser>
          <c:idx val="6"/>
          <c:order val="7"/>
          <c:tx>
            <c:v>COP-900g</c:v>
          </c:tx>
          <c:spPr>
            <a:ln w="12700" cap="rnd">
              <a:noFill/>
              <a:prstDash val="lgDashDotDot"/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trendline>
            <c:spPr>
              <a:ln w="12700" cap="rnd">
                <a:solidFill>
                  <a:schemeClr val="accent2"/>
                </a:solidFill>
                <a:prstDash val="lgDashDot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'3'!$B$15:$B$18</c:f>
              <c:numCache>
                <c:formatCode>General</c:formatCode>
                <c:ptCount val="4"/>
                <c:pt idx="0">
                  <c:v>8.6999999999999993</c:v>
                </c:pt>
                <c:pt idx="1">
                  <c:v>9.2100000000000009</c:v>
                </c:pt>
                <c:pt idx="2">
                  <c:v>9.43</c:v>
                </c:pt>
                <c:pt idx="3">
                  <c:v>9.6300000000000008</c:v>
                </c:pt>
              </c:numCache>
            </c:numRef>
          </c:xVal>
          <c:yVal>
            <c:numRef>
              <c:f>'3'!$D$15:$D$18</c:f>
              <c:numCache>
                <c:formatCode>General</c:formatCode>
                <c:ptCount val="4"/>
                <c:pt idx="0">
                  <c:v>1.51</c:v>
                </c:pt>
                <c:pt idx="1">
                  <c:v>1.67</c:v>
                </c:pt>
                <c:pt idx="2">
                  <c:v>1.64</c:v>
                </c:pt>
                <c:pt idx="3">
                  <c:v>1.63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994-4FB6-94EB-68C1B5D7F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9875424"/>
        <c:axId val="1451472384"/>
      </c:scatterChart>
      <c:scatterChart>
        <c:scatterStyle val="lineMarker"/>
        <c:varyColors val="0"/>
        <c:ser>
          <c:idx val="0"/>
          <c:order val="0"/>
          <c:tx>
            <c:v>Q-500g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trendline>
            <c:spPr>
              <a:ln w="9525" cap="rnd">
                <a:solidFill>
                  <a:srgbClr val="FF0000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'3'!$B$3:$B$6</c:f>
              <c:numCache>
                <c:formatCode>General</c:formatCode>
                <c:ptCount val="4"/>
                <c:pt idx="0">
                  <c:v>8.6</c:v>
                </c:pt>
                <c:pt idx="1">
                  <c:v>9.1</c:v>
                </c:pt>
                <c:pt idx="2">
                  <c:v>9.2799999999999994</c:v>
                </c:pt>
                <c:pt idx="3">
                  <c:v>9.4</c:v>
                </c:pt>
              </c:numCache>
            </c:numRef>
          </c:xVal>
          <c:yVal>
            <c:numRef>
              <c:f>'3'!$C$3:$C$6</c:f>
              <c:numCache>
                <c:formatCode>General</c:formatCode>
                <c:ptCount val="4"/>
                <c:pt idx="0">
                  <c:v>3781.65</c:v>
                </c:pt>
                <c:pt idx="1">
                  <c:v>4362.5200000000004</c:v>
                </c:pt>
                <c:pt idx="2">
                  <c:v>4482.12</c:v>
                </c:pt>
                <c:pt idx="3">
                  <c:v>4537.34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94-4FB6-94EB-68C1B5D7F2EA}"/>
            </c:ext>
          </c:extLst>
        </c:ser>
        <c:ser>
          <c:idx val="2"/>
          <c:order val="2"/>
          <c:tx>
            <c:v>Q-700g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trendline>
            <c:spPr>
              <a:ln w="9525" cap="rnd">
                <a:solidFill>
                  <a:srgbClr val="0070C0"/>
                </a:solidFill>
                <a:prstDash val="solid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'3'!$B$7:$B$10</c:f>
              <c:numCache>
                <c:formatCode>General</c:formatCode>
                <c:ptCount val="4"/>
                <c:pt idx="0">
                  <c:v>8.73</c:v>
                </c:pt>
                <c:pt idx="1">
                  <c:v>9.1999999999999993</c:v>
                </c:pt>
                <c:pt idx="2">
                  <c:v>9.39</c:v>
                </c:pt>
                <c:pt idx="3">
                  <c:v>9.56</c:v>
                </c:pt>
              </c:numCache>
            </c:numRef>
          </c:xVal>
          <c:yVal>
            <c:numRef>
              <c:f>'3'!$C$7:$C$10</c:f>
              <c:numCache>
                <c:formatCode>General</c:formatCode>
                <c:ptCount val="4"/>
                <c:pt idx="0">
                  <c:v>3965.24</c:v>
                </c:pt>
                <c:pt idx="1">
                  <c:v>4445.21</c:v>
                </c:pt>
                <c:pt idx="2">
                  <c:v>4533.51</c:v>
                </c:pt>
                <c:pt idx="3">
                  <c:v>4571.91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94-4FB6-94EB-68C1B5D7F2EA}"/>
            </c:ext>
          </c:extLst>
        </c:ser>
        <c:ser>
          <c:idx val="4"/>
          <c:order val="4"/>
          <c:tx>
            <c:v>Q-800g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9525" cap="rnd">
                <a:solidFill>
                  <a:schemeClr val="tx1"/>
                </a:solidFill>
                <a:prstDash val="solid"/>
              </a:ln>
              <a:effectLst/>
            </c:spPr>
            <c:trendlineType val="poly"/>
            <c:order val="5"/>
            <c:dispRSqr val="0"/>
            <c:dispEq val="0"/>
          </c:trendline>
          <c:xVal>
            <c:numRef>
              <c:f>'3'!$B$11:$B$14</c:f>
              <c:numCache>
                <c:formatCode>General</c:formatCode>
                <c:ptCount val="4"/>
                <c:pt idx="0">
                  <c:v>9.06</c:v>
                </c:pt>
                <c:pt idx="1">
                  <c:v>9.1999999999999993</c:v>
                </c:pt>
                <c:pt idx="2">
                  <c:v>9.39</c:v>
                </c:pt>
                <c:pt idx="3">
                  <c:v>9.58</c:v>
                </c:pt>
              </c:numCache>
            </c:numRef>
          </c:xVal>
          <c:yVal>
            <c:numRef>
              <c:f>'3'!$C$11:$C$14</c:f>
              <c:numCache>
                <c:formatCode>General</c:formatCode>
                <c:ptCount val="4"/>
                <c:pt idx="0">
                  <c:v>4297.22</c:v>
                </c:pt>
                <c:pt idx="1">
                  <c:v>4388.3599999999997</c:v>
                </c:pt>
                <c:pt idx="2">
                  <c:v>4490.54</c:v>
                </c:pt>
                <c:pt idx="3">
                  <c:v>4523.3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94-4FB6-94EB-68C1B5D7F2EA}"/>
            </c:ext>
          </c:extLst>
        </c:ser>
        <c:ser>
          <c:idx val="7"/>
          <c:order val="6"/>
          <c:tx>
            <c:v>Q-900g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trendline>
            <c:spPr>
              <a:ln w="9525" cap="rnd">
                <a:solidFill>
                  <a:schemeClr val="accent2"/>
                </a:solidFill>
                <a:prstDash val="solid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'3'!$B$15:$B$18</c:f>
              <c:numCache>
                <c:formatCode>General</c:formatCode>
                <c:ptCount val="4"/>
                <c:pt idx="0">
                  <c:v>8.6999999999999993</c:v>
                </c:pt>
                <c:pt idx="1">
                  <c:v>9.2100000000000009</c:v>
                </c:pt>
                <c:pt idx="2">
                  <c:v>9.43</c:v>
                </c:pt>
                <c:pt idx="3">
                  <c:v>9.6300000000000008</c:v>
                </c:pt>
              </c:numCache>
            </c:numRef>
          </c:xVal>
          <c:yVal>
            <c:numRef>
              <c:f>'3'!$C$15:$C$18</c:f>
              <c:numCache>
                <c:formatCode>General</c:formatCode>
                <c:ptCount val="4"/>
                <c:pt idx="0">
                  <c:v>3690.32</c:v>
                </c:pt>
                <c:pt idx="1">
                  <c:v>4366.04</c:v>
                </c:pt>
                <c:pt idx="2">
                  <c:v>4375.3999999999996</c:v>
                </c:pt>
                <c:pt idx="3">
                  <c:v>4487.2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994-4FB6-94EB-68C1B5D7F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1477376"/>
        <c:axId val="1451467392"/>
      </c:scatterChart>
      <c:valAx>
        <c:axId val="1949875424"/>
        <c:scaling>
          <c:orientation val="minMax"/>
          <c:min val="8.5"/>
        </c:scaling>
        <c:delete val="0"/>
        <c:axPos val="b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altLang="zh-CN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/>
                  <a:t>Discharge Pressure/MPa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altLang="zh-CN" sz="9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alt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451472384"/>
        <c:crosses val="autoZero"/>
        <c:crossBetween val="midCat"/>
        <c:majorUnit val="0.30000000000000004"/>
      </c:valAx>
      <c:valAx>
        <c:axId val="1451472384"/>
        <c:scaling>
          <c:orientation val="minMax"/>
          <c:max val="1.8"/>
          <c:min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altLang="zh-CN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/>
                  <a:t>COP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altLang="zh-CN" sz="9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949875424"/>
        <c:crosses val="autoZero"/>
        <c:crossBetween val="midCat"/>
        <c:majorUnit val="5.000000000000001E-2"/>
      </c:valAx>
      <c:valAx>
        <c:axId val="1451467392"/>
        <c:scaling>
          <c:orientation val="minMax"/>
          <c:max val="6100"/>
          <c:min val="36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altLang="zh-CN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/>
                  <a:t>Cooling</a:t>
                </a:r>
                <a:r>
                  <a:rPr lang="en-US" altLang="zh-CN" baseline="0"/>
                  <a:t> Capacity/W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altLang="zh-CN" sz="9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altLang="zh-CN"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451477376"/>
        <c:crosses val="max"/>
        <c:crossBetween val="midCat"/>
        <c:majorUnit val="500"/>
      </c:valAx>
      <c:valAx>
        <c:axId val="14514773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51467392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ayout>
        <c:manualLayout>
          <c:xMode val="edge"/>
          <c:yMode val="edge"/>
          <c:x val="0.20253008959846228"/>
          <c:y val="5.593493836793479E-2"/>
          <c:w val="0.58738914919156837"/>
          <c:h val="0.2070109540486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altLang="zh-CN"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 algn="ctr">
        <a:defRPr lang="en-US" altLang="zh-CN" sz="900" b="0" i="0" u="none" strike="noStrike" kern="1200" baseline="0">
          <a:solidFill>
            <a:sysClr val="windowText" lastClr="000000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374876</xdr:colOff>
      <xdr:row>1</xdr:row>
      <xdr:rowOff>67693</xdr:rowOff>
    </xdr:from>
    <xdr:to>
      <xdr:col>8</xdr:col>
      <xdr:colOff>76200</xdr:colOff>
      <xdr:row>19</xdr:row>
      <xdr:rowOff>58509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86982E0-1721-4F87-B870-FC25934A1B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505506</xdr:colOff>
      <xdr:row>2</xdr:row>
      <xdr:rowOff>101370</xdr:rowOff>
    </xdr:from>
    <xdr:to>
      <xdr:col>13</xdr:col>
      <xdr:colOff>317048</xdr:colOff>
      <xdr:row>19</xdr:row>
      <xdr:rowOff>114300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440F362-1402-40F8-A379-F0B3A5AAC1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qhr\AppData\Roaming\Microsoft\AddIns\REFPROP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UserInformation"/>
      <sheetName val="Examples"/>
      <sheetName val="Mixture Examples"/>
      <sheetName val="CheckSum"/>
    </sheetNames>
    <definedNames>
      <definedName name="Temperature"/>
    </defined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workbookViewId="0">
      <selection activeCell="C21" sqref="C21"/>
    </sheetView>
  </sheetViews>
  <sheetFormatPr defaultRowHeight="13.9" x14ac:dyDescent="0.4"/>
  <sheetData>
    <row r="1" spans="1:11" x14ac:dyDescent="0.4">
      <c r="B1" s="28" t="s">
        <v>0</v>
      </c>
      <c r="C1" s="28"/>
      <c r="D1" s="28"/>
    </row>
    <row r="2" spans="1:11" x14ac:dyDescent="0.4">
      <c r="A2" t="s">
        <v>4</v>
      </c>
      <c r="B2" t="s">
        <v>1</v>
      </c>
      <c r="C2" t="s">
        <v>2</v>
      </c>
      <c r="D2" t="s">
        <v>3</v>
      </c>
    </row>
    <row r="3" spans="1:11" x14ac:dyDescent="0.4">
      <c r="A3" s="29">
        <v>500</v>
      </c>
      <c r="B3">
        <v>8.6</v>
      </c>
      <c r="C3">
        <v>3781.65</v>
      </c>
      <c r="D3">
        <v>1.5780000000000001</v>
      </c>
    </row>
    <row r="4" spans="1:11" x14ac:dyDescent="0.4">
      <c r="A4" s="29"/>
      <c r="B4">
        <v>9.1</v>
      </c>
      <c r="C4">
        <v>4362.5200000000004</v>
      </c>
      <c r="D4">
        <v>1.6859999999999999</v>
      </c>
    </row>
    <row r="5" spans="1:11" x14ac:dyDescent="0.4">
      <c r="A5" s="29"/>
      <c r="B5">
        <v>9.2799999999999994</v>
      </c>
      <c r="C5">
        <v>4482.12</v>
      </c>
      <c r="D5">
        <v>1.71</v>
      </c>
    </row>
    <row r="6" spans="1:11" x14ac:dyDescent="0.4">
      <c r="A6" s="29"/>
      <c r="B6">
        <v>9.4</v>
      </c>
      <c r="C6">
        <v>4537.34</v>
      </c>
      <c r="D6">
        <v>1.6970000000000001</v>
      </c>
    </row>
    <row r="7" spans="1:11" x14ac:dyDescent="0.4">
      <c r="A7" s="29">
        <v>700</v>
      </c>
      <c r="B7">
        <v>8.73</v>
      </c>
      <c r="C7">
        <v>3965.24</v>
      </c>
      <c r="D7">
        <v>1.62</v>
      </c>
      <c r="H7" s="1"/>
      <c r="I7" s="1"/>
      <c r="J7" s="1"/>
      <c r="K7" s="1"/>
    </row>
    <row r="8" spans="1:11" x14ac:dyDescent="0.4">
      <c r="A8" s="29"/>
      <c r="B8">
        <v>9.1999999999999993</v>
      </c>
      <c r="C8">
        <v>4445.21</v>
      </c>
      <c r="D8">
        <v>1.7</v>
      </c>
    </row>
    <row r="9" spans="1:11" x14ac:dyDescent="0.4">
      <c r="A9" s="29"/>
      <c r="B9">
        <v>9.39</v>
      </c>
      <c r="C9">
        <v>4533.51</v>
      </c>
      <c r="D9">
        <v>1.6839999999999999</v>
      </c>
    </row>
    <row r="10" spans="1:11" x14ac:dyDescent="0.4">
      <c r="A10" s="29"/>
      <c r="B10">
        <v>9.56</v>
      </c>
      <c r="C10">
        <v>4571.91</v>
      </c>
      <c r="D10">
        <v>1.677</v>
      </c>
    </row>
    <row r="11" spans="1:11" x14ac:dyDescent="0.4">
      <c r="A11" s="29">
        <v>800</v>
      </c>
      <c r="B11">
        <v>9.06</v>
      </c>
      <c r="C11">
        <v>4297.22</v>
      </c>
      <c r="D11">
        <v>1.68</v>
      </c>
    </row>
    <row r="12" spans="1:11" x14ac:dyDescent="0.4">
      <c r="A12" s="29"/>
      <c r="B12">
        <v>9.1999999999999993</v>
      </c>
      <c r="C12">
        <v>4388.3599999999997</v>
      </c>
      <c r="D12">
        <v>1.7</v>
      </c>
    </row>
    <row r="13" spans="1:11" x14ac:dyDescent="0.4">
      <c r="A13" s="29"/>
      <c r="B13">
        <v>9.39</v>
      </c>
      <c r="C13">
        <v>4490.54</v>
      </c>
      <c r="D13">
        <v>1.69</v>
      </c>
    </row>
    <row r="14" spans="1:11" x14ac:dyDescent="0.4">
      <c r="A14" s="29"/>
      <c r="B14">
        <v>9.58</v>
      </c>
      <c r="C14">
        <v>4523.3</v>
      </c>
      <c r="D14">
        <v>1.66</v>
      </c>
    </row>
    <row r="15" spans="1:11" x14ac:dyDescent="0.4">
      <c r="A15" s="29">
        <v>900</v>
      </c>
      <c r="B15">
        <v>8.6999999999999993</v>
      </c>
      <c r="C15">
        <v>3690.32</v>
      </c>
      <c r="D15">
        <v>1.51</v>
      </c>
    </row>
    <row r="16" spans="1:11" x14ac:dyDescent="0.4">
      <c r="A16" s="29"/>
      <c r="B16">
        <v>9.2100000000000009</v>
      </c>
      <c r="C16">
        <v>4366.04</v>
      </c>
      <c r="D16">
        <v>1.67</v>
      </c>
    </row>
    <row r="17" spans="1:4" x14ac:dyDescent="0.4">
      <c r="A17" s="29"/>
      <c r="B17">
        <v>9.43</v>
      </c>
      <c r="C17">
        <v>4375.3999999999996</v>
      </c>
      <c r="D17">
        <v>1.64</v>
      </c>
    </row>
    <row r="18" spans="1:4" x14ac:dyDescent="0.4">
      <c r="A18" s="29"/>
      <c r="B18">
        <v>9.6300000000000008</v>
      </c>
      <c r="C18">
        <v>4487.2</v>
      </c>
      <c r="D18">
        <v>1.63</v>
      </c>
    </row>
  </sheetData>
  <mergeCells count="5">
    <mergeCell ref="B1:D1"/>
    <mergeCell ref="A3:A6"/>
    <mergeCell ref="A7:A10"/>
    <mergeCell ref="A11:A14"/>
    <mergeCell ref="A15:A18"/>
  </mergeCells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8239C-372E-4603-9C1E-AE9E05BD5D7C}">
  <dimension ref="A1:M11"/>
  <sheetViews>
    <sheetView workbookViewId="0">
      <selection activeCell="A15" sqref="A15"/>
    </sheetView>
  </sheetViews>
  <sheetFormatPr defaultRowHeight="13.9" x14ac:dyDescent="0.4"/>
  <sheetData>
    <row r="1" spans="1:13" x14ac:dyDescent="0.4">
      <c r="A1" s="28" t="s">
        <v>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x14ac:dyDescent="0.4">
      <c r="B2" s="28" t="s">
        <v>6</v>
      </c>
      <c r="C2" s="28"/>
      <c r="D2" s="28"/>
      <c r="E2" s="28"/>
      <c r="F2" s="28" t="s">
        <v>7</v>
      </c>
      <c r="G2" s="28"/>
      <c r="H2" s="28"/>
      <c r="I2" s="28"/>
      <c r="J2" s="28" t="s">
        <v>8</v>
      </c>
      <c r="K2" s="28"/>
      <c r="L2" s="28"/>
      <c r="M2" s="28"/>
    </row>
    <row r="3" spans="1:13" x14ac:dyDescent="0.4">
      <c r="B3" s="28" t="s">
        <v>9</v>
      </c>
      <c r="C3" s="28"/>
      <c r="D3" s="28" t="s">
        <v>10</v>
      </c>
      <c r="E3" s="28"/>
      <c r="F3" s="28" t="s">
        <v>10</v>
      </c>
      <c r="G3" s="28"/>
      <c r="H3" s="28" t="s">
        <v>9</v>
      </c>
      <c r="I3" s="28"/>
      <c r="J3" s="28" t="s">
        <v>10</v>
      </c>
      <c r="K3" s="28"/>
      <c r="L3" s="28" t="s">
        <v>9</v>
      </c>
      <c r="M3" s="28"/>
    </row>
    <row r="4" spans="1:13" x14ac:dyDescent="0.4">
      <c r="A4" t="s">
        <v>4</v>
      </c>
      <c r="B4" t="s">
        <v>3</v>
      </c>
      <c r="C4" t="s">
        <v>2</v>
      </c>
      <c r="D4" t="s">
        <v>3</v>
      </c>
      <c r="E4" t="s">
        <v>2</v>
      </c>
      <c r="F4" t="s">
        <v>3</v>
      </c>
      <c r="G4" t="s">
        <v>2</v>
      </c>
      <c r="H4" t="s">
        <v>3</v>
      </c>
      <c r="I4" t="s">
        <v>2</v>
      </c>
      <c r="J4" t="s">
        <v>3</v>
      </c>
      <c r="K4" t="s">
        <v>2</v>
      </c>
      <c r="L4" t="s">
        <v>3</v>
      </c>
      <c r="M4" t="s">
        <v>2</v>
      </c>
    </row>
    <row r="5" spans="1:13" x14ac:dyDescent="0.4">
      <c r="A5">
        <v>400</v>
      </c>
      <c r="B5">
        <v>1.7</v>
      </c>
      <c r="C5">
        <v>3978</v>
      </c>
      <c r="D5">
        <v>1.534</v>
      </c>
      <c r="E5">
        <v>3704.28</v>
      </c>
      <c r="F5">
        <v>1.41</v>
      </c>
      <c r="G5">
        <v>3703.5</v>
      </c>
      <c r="H5">
        <v>1.57</v>
      </c>
      <c r="I5">
        <v>3861.15</v>
      </c>
      <c r="J5">
        <v>1.212</v>
      </c>
      <c r="K5">
        <v>3472.15</v>
      </c>
    </row>
    <row r="6" spans="1:13" x14ac:dyDescent="0.4">
      <c r="A6">
        <v>500</v>
      </c>
      <c r="B6">
        <v>1.89</v>
      </c>
      <c r="C6">
        <v>4818.25</v>
      </c>
      <c r="D6">
        <v>1.72</v>
      </c>
      <c r="E6">
        <v>4567.78</v>
      </c>
      <c r="F6">
        <v>1.49</v>
      </c>
      <c r="G6">
        <v>4410.21</v>
      </c>
      <c r="H6">
        <v>1.72</v>
      </c>
      <c r="I6">
        <v>4579.6099999999997</v>
      </c>
      <c r="J6">
        <v>1.226</v>
      </c>
      <c r="K6">
        <v>3938.54</v>
      </c>
      <c r="L6">
        <v>1.47</v>
      </c>
      <c r="M6">
        <v>3939.35</v>
      </c>
    </row>
    <row r="7" spans="1:13" x14ac:dyDescent="0.4">
      <c r="A7">
        <v>600</v>
      </c>
      <c r="B7">
        <v>1.93</v>
      </c>
      <c r="C7">
        <v>4932.0200000000004</v>
      </c>
      <c r="D7">
        <v>1.68</v>
      </c>
      <c r="E7">
        <v>4646.49</v>
      </c>
      <c r="F7">
        <v>1.47</v>
      </c>
      <c r="G7">
        <v>4355.3900000000003</v>
      </c>
      <c r="H7">
        <v>1.71</v>
      </c>
      <c r="I7">
        <v>4471.08</v>
      </c>
      <c r="J7">
        <v>1.2</v>
      </c>
      <c r="K7">
        <v>3894.98</v>
      </c>
      <c r="L7">
        <v>1.46</v>
      </c>
      <c r="M7">
        <v>4018.02</v>
      </c>
    </row>
    <row r="8" spans="1:13" x14ac:dyDescent="0.4">
      <c r="A8">
        <v>700</v>
      </c>
      <c r="B8">
        <v>1.93</v>
      </c>
      <c r="C8">
        <v>4913.42</v>
      </c>
      <c r="D8">
        <v>1.6859999999999999</v>
      </c>
      <c r="E8">
        <v>4624.49</v>
      </c>
      <c r="H8">
        <v>1.72</v>
      </c>
      <c r="I8">
        <v>4503.47</v>
      </c>
      <c r="J8">
        <v>1.1599999999999999</v>
      </c>
      <c r="K8">
        <v>3753.3</v>
      </c>
      <c r="L8">
        <v>1.46</v>
      </c>
      <c r="M8">
        <v>4031.34</v>
      </c>
    </row>
    <row r="9" spans="1:13" x14ac:dyDescent="0.4">
      <c r="A9">
        <v>800</v>
      </c>
      <c r="B9">
        <v>1.94</v>
      </c>
      <c r="C9">
        <v>4953.37</v>
      </c>
      <c r="D9">
        <v>1.63</v>
      </c>
      <c r="E9">
        <v>4510.7</v>
      </c>
      <c r="H9">
        <v>1.7</v>
      </c>
      <c r="I9">
        <v>4402.34</v>
      </c>
      <c r="L9">
        <v>1.44</v>
      </c>
      <c r="M9">
        <v>3984.94</v>
      </c>
    </row>
    <row r="10" spans="1:13" x14ac:dyDescent="0.4">
      <c r="A10">
        <v>900</v>
      </c>
      <c r="B10">
        <v>1.93</v>
      </c>
      <c r="C10">
        <v>4861</v>
      </c>
      <c r="H10">
        <v>1.66</v>
      </c>
      <c r="I10">
        <v>4307</v>
      </c>
      <c r="L10">
        <v>1.3740000000000001</v>
      </c>
      <c r="M10">
        <v>3790.92</v>
      </c>
    </row>
    <row r="11" spans="1:13" x14ac:dyDescent="0.4">
      <c r="A11">
        <v>1000</v>
      </c>
      <c r="B11">
        <v>1.85</v>
      </c>
      <c r="C11">
        <v>4660.4799999999996</v>
      </c>
      <c r="H11">
        <v>1.54</v>
      </c>
      <c r="I11">
        <v>4138.6099999999997</v>
      </c>
      <c r="L11">
        <v>1.22</v>
      </c>
      <c r="M11">
        <v>3606.7</v>
      </c>
    </row>
  </sheetData>
  <mergeCells count="10">
    <mergeCell ref="J3:K3"/>
    <mergeCell ref="L3:M3"/>
    <mergeCell ref="A1:M1"/>
    <mergeCell ref="J2:M2"/>
    <mergeCell ref="B3:C3"/>
    <mergeCell ref="D3:E3"/>
    <mergeCell ref="B2:E2"/>
    <mergeCell ref="F2:I2"/>
    <mergeCell ref="F3:G3"/>
    <mergeCell ref="H3:I3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048D3-C03D-48E9-8499-ED61F8881C1C}">
  <dimension ref="A1:AL67"/>
  <sheetViews>
    <sheetView topLeftCell="X25" workbookViewId="0">
      <selection activeCell="AH37" sqref="AH37"/>
    </sheetView>
  </sheetViews>
  <sheetFormatPr defaultRowHeight="13.9" x14ac:dyDescent="0.4"/>
  <cols>
    <col min="2" max="7" width="9.06640625" style="2"/>
    <col min="8" max="17" width="9.06640625" style="3"/>
  </cols>
  <sheetData>
    <row r="1" spans="1:38" x14ac:dyDescent="0.4">
      <c r="A1" s="28" t="s">
        <v>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</row>
    <row r="2" spans="1:38" x14ac:dyDescent="0.4">
      <c r="B2" s="38" t="s">
        <v>6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</row>
    <row r="3" spans="1:38" x14ac:dyDescent="0.4">
      <c r="B3" s="32" t="s">
        <v>9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2" t="s">
        <v>10</v>
      </c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</row>
    <row r="4" spans="1:38" x14ac:dyDescent="0.4">
      <c r="B4" s="32" t="s">
        <v>16</v>
      </c>
      <c r="C4" s="33"/>
      <c r="D4" s="33"/>
      <c r="E4" s="33"/>
      <c r="F4" s="33"/>
      <c r="G4" s="33"/>
      <c r="H4" s="33"/>
      <c r="I4" s="33"/>
      <c r="J4" s="33"/>
      <c r="K4" s="33"/>
      <c r="L4" s="34"/>
      <c r="M4" s="35" t="s">
        <v>17</v>
      </c>
      <c r="N4" s="36"/>
      <c r="O4" s="36"/>
      <c r="P4" s="36"/>
      <c r="Q4" s="36"/>
      <c r="R4" s="37"/>
      <c r="S4" s="17" t="s">
        <v>26</v>
      </c>
      <c r="T4" s="32" t="s">
        <v>16</v>
      </c>
      <c r="U4" s="33"/>
      <c r="V4" s="33"/>
      <c r="W4" s="33"/>
      <c r="X4" s="33"/>
      <c r="Y4" s="33"/>
      <c r="Z4" s="33"/>
      <c r="AA4" s="33"/>
      <c r="AB4" s="33"/>
      <c r="AC4" s="33"/>
      <c r="AD4" s="34"/>
      <c r="AE4" s="35" t="s">
        <v>17</v>
      </c>
      <c r="AF4" s="36"/>
      <c r="AG4" s="36"/>
      <c r="AH4" s="36"/>
      <c r="AI4" s="36"/>
      <c r="AJ4" s="36"/>
      <c r="AK4" s="37"/>
      <c r="AL4" s="17" t="s">
        <v>26</v>
      </c>
    </row>
    <row r="5" spans="1:38" x14ac:dyDescent="0.4">
      <c r="A5" t="s">
        <v>4</v>
      </c>
      <c r="B5" s="6" t="s">
        <v>12</v>
      </c>
      <c r="C5" s="6" t="s">
        <v>19</v>
      </c>
      <c r="D5" s="6" t="s">
        <v>11</v>
      </c>
      <c r="E5" s="6" t="s">
        <v>13</v>
      </c>
      <c r="F5" s="6" t="s">
        <v>20</v>
      </c>
      <c r="G5" s="6" t="s">
        <v>14</v>
      </c>
      <c r="H5" s="7" t="s">
        <v>15</v>
      </c>
      <c r="I5" s="7" t="s">
        <v>22</v>
      </c>
      <c r="J5" s="7" t="s">
        <v>23</v>
      </c>
      <c r="K5" s="7" t="s">
        <v>25</v>
      </c>
      <c r="L5" s="7" t="s">
        <v>24</v>
      </c>
      <c r="M5" s="5" t="s">
        <v>12</v>
      </c>
      <c r="N5" s="5" t="s">
        <v>19</v>
      </c>
      <c r="O5" s="5" t="s">
        <v>20</v>
      </c>
      <c r="P5" s="5" t="s">
        <v>18</v>
      </c>
      <c r="Q5" s="5" t="s">
        <v>15</v>
      </c>
      <c r="R5" s="5" t="s">
        <v>21</v>
      </c>
      <c r="S5" s="18"/>
      <c r="T5" s="6" t="s">
        <v>12</v>
      </c>
      <c r="U5" s="6" t="s">
        <v>19</v>
      </c>
      <c r="V5" s="6" t="s">
        <v>11</v>
      </c>
      <c r="W5" s="6" t="s">
        <v>13</v>
      </c>
      <c r="X5" s="6" t="s">
        <v>20</v>
      </c>
      <c r="Y5" s="6" t="s">
        <v>14</v>
      </c>
      <c r="Z5" s="7" t="s">
        <v>15</v>
      </c>
      <c r="AA5" s="7" t="s">
        <v>22</v>
      </c>
      <c r="AB5" s="7" t="s">
        <v>23</v>
      </c>
      <c r="AC5" s="7" t="s">
        <v>25</v>
      </c>
      <c r="AD5" s="7" t="s">
        <v>24</v>
      </c>
      <c r="AE5" s="5" t="s">
        <v>12</v>
      </c>
      <c r="AF5" s="5" t="s">
        <v>19</v>
      </c>
      <c r="AG5" s="5" t="s">
        <v>20</v>
      </c>
      <c r="AH5" s="5" t="s">
        <v>18</v>
      </c>
      <c r="AI5" s="5" t="s">
        <v>15</v>
      </c>
      <c r="AJ5" s="5" t="s">
        <v>21</v>
      </c>
      <c r="AK5" s="5" t="s">
        <v>27</v>
      </c>
      <c r="AL5" s="18"/>
    </row>
    <row r="6" spans="1:38" x14ac:dyDescent="0.4">
      <c r="A6">
        <v>400</v>
      </c>
      <c r="B6" s="9">
        <v>2.8</v>
      </c>
      <c r="C6" s="9">
        <v>8.18</v>
      </c>
      <c r="D6" s="9">
        <v>8.0530000000000008</v>
      </c>
      <c r="E6" s="9">
        <v>8.1720000000000006</v>
      </c>
      <c r="F6" s="9">
        <v>7.9530000000000003</v>
      </c>
      <c r="G6" s="11">
        <v>3.6190000000000002</v>
      </c>
      <c r="H6" s="12">
        <v>3.149</v>
      </c>
      <c r="I6" s="12">
        <f>D6-E6</f>
        <v>-0.11899999999999977</v>
      </c>
      <c r="J6" s="12">
        <f>G6-H6</f>
        <v>0.4700000000000002</v>
      </c>
      <c r="K6" s="12">
        <f>C6-F6</f>
        <v>0.22699999999999942</v>
      </c>
      <c r="L6" s="12">
        <f>G6-B6</f>
        <v>0.81900000000000039</v>
      </c>
      <c r="M6" s="5">
        <v>33</v>
      </c>
      <c r="N6" s="5">
        <v>134.13</v>
      </c>
      <c r="O6" s="5">
        <v>32.21</v>
      </c>
      <c r="P6" s="5">
        <v>2.16</v>
      </c>
      <c r="Q6" s="5">
        <v>18.190000000000001</v>
      </c>
      <c r="R6" s="5">
        <f>Q6-[1]!Temperature("carbon dioxide","Pvap","SI",G6)+273.15</f>
        <v>16.759141860097031</v>
      </c>
      <c r="S6" s="18">
        <v>95.4</v>
      </c>
      <c r="T6" s="9">
        <v>2.5</v>
      </c>
      <c r="U6" s="9">
        <v>8.51</v>
      </c>
      <c r="V6" s="9">
        <v>8.5120000000000005</v>
      </c>
      <c r="W6" s="9">
        <v>8.3670000000000009</v>
      </c>
      <c r="X6" s="9">
        <v>8.359</v>
      </c>
      <c r="Y6" s="9">
        <v>3.3010000000000002</v>
      </c>
      <c r="Z6" s="9">
        <v>2.794</v>
      </c>
      <c r="AA6" s="2">
        <f>V6-W6</f>
        <v>0.14499999999999957</v>
      </c>
      <c r="AB6" s="2">
        <f>Y6-Z6</f>
        <v>0.50700000000000012</v>
      </c>
      <c r="AC6" s="2">
        <f>U6-X6</f>
        <v>0.1509999999999998</v>
      </c>
      <c r="AD6" s="2">
        <f>Y6-T6</f>
        <v>0.80100000000000016</v>
      </c>
      <c r="AE6" s="3">
        <v>17</v>
      </c>
      <c r="AF6" s="3">
        <v>134.11000000000001</v>
      </c>
      <c r="AG6" s="3">
        <v>32.21</v>
      </c>
      <c r="AH6" s="3">
        <v>2.16</v>
      </c>
      <c r="AI6" s="3">
        <v>18.190000000000001</v>
      </c>
      <c r="AJ6" s="3">
        <f>AI6-[1]!Temperature("carbon dioxide","Pvap","SI",Z6)+273.15</f>
        <v>26.300662378301354</v>
      </c>
      <c r="AK6" s="3">
        <f>AE6-[1]!Temperature("carbon dioxide","Pvap","SI",T6)+273.15</f>
        <v>29.013169764651025</v>
      </c>
      <c r="AL6" s="16">
        <v>85.2</v>
      </c>
    </row>
    <row r="7" spans="1:38" x14ac:dyDescent="0.4">
      <c r="A7">
        <v>500</v>
      </c>
      <c r="B7" s="13">
        <v>3.05</v>
      </c>
      <c r="C7" s="13">
        <v>8.8800000000000008</v>
      </c>
      <c r="D7" s="13">
        <v>8.8350000000000009</v>
      </c>
      <c r="E7" s="13">
        <v>8.7270000000000003</v>
      </c>
      <c r="F7" s="13">
        <v>8.6479999999999997</v>
      </c>
      <c r="G7" s="14">
        <v>3.7410000000000001</v>
      </c>
      <c r="H7" s="12">
        <v>3.3860000000000001</v>
      </c>
      <c r="I7" s="12">
        <f t="shared" ref="I7:I12" si="0">D7-E7</f>
        <v>0.10800000000000054</v>
      </c>
      <c r="J7" s="12">
        <f t="shared" ref="J7:J12" si="1">G7-H7</f>
        <v>0.35499999999999998</v>
      </c>
      <c r="K7" s="12">
        <f t="shared" ref="K7:K12" si="2">C7-F7</f>
        <v>0.23200000000000109</v>
      </c>
      <c r="L7" s="12">
        <f t="shared" ref="L7:L12" si="3">G7-B7</f>
        <v>0.69100000000000028</v>
      </c>
      <c r="M7" s="5">
        <v>29.26</v>
      </c>
      <c r="N7" s="5">
        <v>130.44</v>
      </c>
      <c r="O7" s="5">
        <v>27.15</v>
      </c>
      <c r="P7" s="5">
        <v>3.05</v>
      </c>
      <c r="Q7" s="5">
        <v>6.86</v>
      </c>
      <c r="R7" s="5">
        <f>Q7-[1]!Temperature("carbon dioxide","Pvap","SI",G7)+273.15</f>
        <v>4.1587315247646188</v>
      </c>
      <c r="S7" s="18">
        <v>106.5</v>
      </c>
      <c r="T7" s="20">
        <v>3.02</v>
      </c>
      <c r="U7" s="20">
        <v>9.1999999999999993</v>
      </c>
      <c r="V7" s="20">
        <v>9.1890000000000001</v>
      </c>
      <c r="W7" s="20">
        <v>9.0310000000000006</v>
      </c>
      <c r="X7" s="20">
        <v>8.9009999999999998</v>
      </c>
      <c r="Y7" s="20">
        <v>3.883</v>
      </c>
      <c r="Z7" s="20">
        <v>3.391</v>
      </c>
      <c r="AA7" s="2">
        <f t="shared" ref="AA7:AA10" si="4">V7-W7</f>
        <v>0.15799999999999947</v>
      </c>
      <c r="AB7" s="2">
        <f t="shared" ref="AB7:AB10" si="5">Y7-Z7</f>
        <v>0.49199999999999999</v>
      </c>
      <c r="AC7" s="2">
        <f t="shared" ref="AC7:AC10" si="6">U7-X7</f>
        <v>0.29899999999999949</v>
      </c>
      <c r="AD7" s="2">
        <f t="shared" ref="AD7:AD10" si="7">Y7-T7</f>
        <v>0.86299999999999999</v>
      </c>
      <c r="AE7" s="3">
        <v>3.93</v>
      </c>
      <c r="AF7" s="3">
        <v>101.2</v>
      </c>
      <c r="AG7" s="3">
        <v>33.65</v>
      </c>
      <c r="AH7" s="3">
        <v>4.6399999999999997</v>
      </c>
      <c r="AI7" s="3">
        <v>6.86</v>
      </c>
      <c r="AJ7" s="3">
        <f>AI7-[1]!Temperature("carbon dioxide","Pvap","SI",Z7)+273.15</f>
        <v>7.8907700705653383</v>
      </c>
      <c r="AK7" s="3">
        <f>AE7-[1]!Temperature("carbon dioxide","Pvap","SI",T7)+273.15</f>
        <v>9.2406646325190991</v>
      </c>
      <c r="AL7" s="16">
        <v>123.8</v>
      </c>
    </row>
    <row r="8" spans="1:38" x14ac:dyDescent="0.4">
      <c r="A8">
        <v>600</v>
      </c>
      <c r="B8" s="15">
        <v>3.16</v>
      </c>
      <c r="C8" s="15">
        <v>8.94</v>
      </c>
      <c r="D8" s="15">
        <v>8.9290000000000003</v>
      </c>
      <c r="E8" s="15">
        <v>8.7629999999999999</v>
      </c>
      <c r="F8" s="15">
        <v>8.6720000000000006</v>
      </c>
      <c r="G8" s="15">
        <v>3.7869999999999999</v>
      </c>
      <c r="H8" s="15">
        <v>3.4889999999999999</v>
      </c>
      <c r="I8" s="12">
        <f t="shared" si="0"/>
        <v>0.16600000000000037</v>
      </c>
      <c r="J8" s="12">
        <f t="shared" si="1"/>
        <v>0.29800000000000004</v>
      </c>
      <c r="K8" s="12">
        <f t="shared" si="2"/>
        <v>0.26799999999999891</v>
      </c>
      <c r="L8" s="12">
        <f t="shared" si="3"/>
        <v>0.62699999999999978</v>
      </c>
      <c r="M8" s="5">
        <v>26.6</v>
      </c>
      <c r="N8" s="5">
        <v>123.23</v>
      </c>
      <c r="O8" s="5">
        <v>23.21</v>
      </c>
      <c r="P8" s="5">
        <v>3.41</v>
      </c>
      <c r="Q8" s="5">
        <v>0.55000000000000004</v>
      </c>
      <c r="R8" s="5">
        <f>Q8-[1]!Temperature("carbon dioxide","Pvap","SI",G8)+273.15</f>
        <v>-2.6223147550470571</v>
      </c>
      <c r="S8" s="18">
        <v>113.4</v>
      </c>
      <c r="T8" s="15">
        <v>3.14</v>
      </c>
      <c r="U8" s="15">
        <v>9.49</v>
      </c>
      <c r="V8" s="15">
        <v>9.4510000000000005</v>
      </c>
      <c r="W8" s="15">
        <v>9.3079999999999998</v>
      </c>
      <c r="X8" s="15">
        <v>9.1470000000000002</v>
      </c>
      <c r="Y8" s="15">
        <v>4.0039999999999996</v>
      </c>
      <c r="Z8" s="15">
        <v>3.524</v>
      </c>
      <c r="AA8" s="2">
        <f t="shared" si="4"/>
        <v>0.14300000000000068</v>
      </c>
      <c r="AB8" s="2">
        <f t="shared" si="5"/>
        <v>0.47999999999999954</v>
      </c>
      <c r="AC8" s="2">
        <f t="shared" si="6"/>
        <v>0.34299999999999997</v>
      </c>
      <c r="AD8" s="2">
        <f t="shared" si="7"/>
        <v>0.86399999999999944</v>
      </c>
      <c r="AE8" s="3">
        <v>-3.14</v>
      </c>
      <c r="AF8" s="3">
        <v>87.04</v>
      </c>
      <c r="AG8" s="3">
        <v>33.72</v>
      </c>
      <c r="AH8" s="3">
        <v>5.62</v>
      </c>
      <c r="AI8" s="3">
        <v>0.9</v>
      </c>
      <c r="AJ8" s="3">
        <f>AI8-[1]!Temperature("carbon dioxide","Pvap","SI",Z8)+273.15</f>
        <v>0.48050319517227535</v>
      </c>
      <c r="AK8" s="3">
        <f>AE8-[1]!Temperature("carbon dioxide","Pvap","SI",T8)+273.15</f>
        <v>0.74600235608420462</v>
      </c>
      <c r="AL8" s="16">
        <v>141.19999999999999</v>
      </c>
    </row>
    <row r="9" spans="1:38" x14ac:dyDescent="0.4">
      <c r="A9">
        <v>700</v>
      </c>
      <c r="B9" s="9">
        <v>3.14</v>
      </c>
      <c r="C9" s="9">
        <v>8.93</v>
      </c>
      <c r="D9" s="9">
        <v>8.9179999999999993</v>
      </c>
      <c r="E9" s="9">
        <v>8.7850000000000001</v>
      </c>
      <c r="F9" s="9">
        <v>8.702</v>
      </c>
      <c r="G9" s="9">
        <v>3.738</v>
      </c>
      <c r="H9" s="9">
        <v>3.456</v>
      </c>
      <c r="I9" s="12">
        <f t="shared" si="0"/>
        <v>0.13299999999999912</v>
      </c>
      <c r="J9" s="12">
        <f t="shared" si="1"/>
        <v>0.28200000000000003</v>
      </c>
      <c r="K9" s="12">
        <f t="shared" si="2"/>
        <v>0.22799999999999976</v>
      </c>
      <c r="L9" s="12">
        <f t="shared" si="3"/>
        <v>0.59799999999999986</v>
      </c>
      <c r="M9" s="5">
        <v>26.34</v>
      </c>
      <c r="N9" s="5">
        <v>124.5</v>
      </c>
      <c r="O9" s="5">
        <v>22.05</v>
      </c>
      <c r="P9" s="5">
        <v>2.78</v>
      </c>
      <c r="Q9" s="5">
        <v>0.16</v>
      </c>
      <c r="R9" s="5">
        <f>Q9-[1]!Temperature("carbon dioxide","Pvap","SI",G9)+273.15</f>
        <v>-2.5103993331200627</v>
      </c>
      <c r="S9" s="18">
        <v>112</v>
      </c>
      <c r="T9" s="10">
        <v>3.12</v>
      </c>
      <c r="U9" s="9">
        <v>9.51</v>
      </c>
      <c r="V9" s="9">
        <v>9.5120000000000005</v>
      </c>
      <c r="W9" s="9">
        <v>9.3330000000000002</v>
      </c>
      <c r="X9" s="9">
        <v>9.1880000000000006</v>
      </c>
      <c r="Y9" s="9">
        <v>3.9580000000000002</v>
      </c>
      <c r="Z9" s="9">
        <v>3.4910000000000001</v>
      </c>
      <c r="AA9" s="2">
        <f t="shared" si="4"/>
        <v>0.17900000000000027</v>
      </c>
      <c r="AB9" s="2">
        <f t="shared" si="5"/>
        <v>0.46700000000000008</v>
      </c>
      <c r="AC9" s="2">
        <f t="shared" si="6"/>
        <v>0.32199999999999918</v>
      </c>
      <c r="AD9" s="2">
        <f t="shared" si="7"/>
        <v>0.83800000000000008</v>
      </c>
      <c r="AE9" s="3">
        <v>-3.56</v>
      </c>
      <c r="AF9" s="3">
        <v>88.72</v>
      </c>
      <c r="AG9" s="3">
        <v>33.17</v>
      </c>
      <c r="AH9" s="3">
        <v>5.09</v>
      </c>
      <c r="AI9" s="3">
        <v>0.55000000000000004</v>
      </c>
      <c r="AJ9" s="3">
        <f>AI9-[1]!Temperature("carbon dioxide","Pvap","SI",Z9)+273.15</f>
        <v>0.48652757854955553</v>
      </c>
      <c r="AK9" s="3">
        <f>AE9-[1]!Temperature("carbon dioxide","Pvap","SI",T9)+273.15</f>
        <v>0.56063698804496198</v>
      </c>
      <c r="AL9" s="22">
        <v>137.80000000000001</v>
      </c>
    </row>
    <row r="10" spans="1:38" x14ac:dyDescent="0.4">
      <c r="A10">
        <v>800</v>
      </c>
      <c r="B10" s="10">
        <v>3.2</v>
      </c>
      <c r="C10" s="9">
        <v>8.9499999999999993</v>
      </c>
      <c r="D10" s="9">
        <v>8.91</v>
      </c>
      <c r="E10" s="9">
        <v>8.8049999999999997</v>
      </c>
      <c r="F10" s="9">
        <v>8.6929999999999996</v>
      </c>
      <c r="G10" s="9">
        <v>3.798</v>
      </c>
      <c r="H10" s="9">
        <v>3.516</v>
      </c>
      <c r="I10" s="12">
        <f t="shared" si="0"/>
        <v>0.10500000000000043</v>
      </c>
      <c r="J10" s="12">
        <f t="shared" si="1"/>
        <v>0.28200000000000003</v>
      </c>
      <c r="K10" s="12">
        <f t="shared" si="2"/>
        <v>0.25699999999999967</v>
      </c>
      <c r="L10" s="12">
        <f t="shared" si="3"/>
        <v>0.59799999999999986</v>
      </c>
      <c r="M10" s="5">
        <v>26.27</v>
      </c>
      <c r="N10" s="5">
        <v>123.43</v>
      </c>
      <c r="O10" s="5">
        <v>22.41</v>
      </c>
      <c r="P10" s="5">
        <v>5.92</v>
      </c>
      <c r="Q10" s="5">
        <v>1.47</v>
      </c>
      <c r="R10" s="5">
        <f>Q10-[1]!Temperature("carbon dioxide","Pvap","SI",G10)+273.15</f>
        <v>-1.814327475582445</v>
      </c>
      <c r="S10" s="18">
        <v>113.6</v>
      </c>
      <c r="T10" s="10">
        <v>3.2</v>
      </c>
      <c r="U10" s="9">
        <v>9.61</v>
      </c>
      <c r="V10" s="9">
        <v>9.6010000000000009</v>
      </c>
      <c r="W10" s="9">
        <v>9.4269999999999996</v>
      </c>
      <c r="X10" s="9">
        <v>9.2959999999999994</v>
      </c>
      <c r="Y10" s="9">
        <v>4.0419999999999998</v>
      </c>
      <c r="Z10" s="9">
        <v>3.4729999999999999</v>
      </c>
      <c r="AA10" s="2">
        <f t="shared" si="4"/>
        <v>0.17400000000000126</v>
      </c>
      <c r="AB10" s="2">
        <f t="shared" si="5"/>
        <v>0.56899999999999995</v>
      </c>
      <c r="AC10" s="2">
        <f t="shared" si="6"/>
        <v>0.31400000000000006</v>
      </c>
      <c r="AD10" s="2">
        <f t="shared" si="7"/>
        <v>0.84199999999999964</v>
      </c>
      <c r="AE10" s="3">
        <v>-2.89</v>
      </c>
      <c r="AF10" s="3">
        <v>85.67</v>
      </c>
      <c r="AG10" s="3">
        <v>34.11</v>
      </c>
      <c r="AH10" s="3">
        <v>5.92</v>
      </c>
      <c r="AI10" s="3">
        <v>1.47</v>
      </c>
      <c r="AJ10" s="3">
        <f>AI10-[1]!Temperature("carbon dioxide","Pvap","SI",Z10)+273.15</f>
        <v>1.6017702004483567</v>
      </c>
      <c r="AK10" s="3">
        <f>AE10-[1]!Temperature("carbon dioxide","Pvap","SI",T10)+273.15</f>
        <v>0.29862251636740211</v>
      </c>
      <c r="AL10" s="22">
        <v>143.69999999999999</v>
      </c>
    </row>
    <row r="11" spans="1:38" x14ac:dyDescent="0.4">
      <c r="A11">
        <v>900</v>
      </c>
      <c r="B11" s="9">
        <v>3.21</v>
      </c>
      <c r="C11" s="9">
        <v>8.83</v>
      </c>
      <c r="D11" s="9">
        <v>8.83</v>
      </c>
      <c r="E11" s="9">
        <v>8.6780000000000008</v>
      </c>
      <c r="F11" s="9">
        <v>8.58</v>
      </c>
      <c r="G11" s="9">
        <v>3.8029999999999999</v>
      </c>
      <c r="H11" s="9">
        <v>3.5270000000000001</v>
      </c>
      <c r="I11" s="12">
        <f t="shared" si="0"/>
        <v>0.15199999999999925</v>
      </c>
      <c r="J11" s="12">
        <f t="shared" si="1"/>
        <v>0.2759999999999998</v>
      </c>
      <c r="K11" s="12">
        <f t="shared" si="2"/>
        <v>0.25</v>
      </c>
      <c r="L11" s="12">
        <f t="shared" si="3"/>
        <v>0.59299999999999997</v>
      </c>
      <c r="M11" s="5">
        <v>25.92</v>
      </c>
      <c r="N11" s="5">
        <v>122.45</v>
      </c>
      <c r="O11" s="5">
        <v>22.2</v>
      </c>
      <c r="P11" s="5">
        <v>3.22</v>
      </c>
      <c r="Q11" s="5">
        <v>0.83</v>
      </c>
      <c r="R11" s="5">
        <f>Q11-[1]!Temperature("carbon dioxide","Pvap","SI",G11)+273.15</f>
        <v>-2.5051628518934876</v>
      </c>
      <c r="S11" s="19">
        <v>113.5</v>
      </c>
      <c r="AL11" s="16"/>
    </row>
    <row r="12" spans="1:38" x14ac:dyDescent="0.4">
      <c r="A12">
        <v>1000</v>
      </c>
      <c r="B12" s="9">
        <v>3.29</v>
      </c>
      <c r="C12" s="9">
        <v>8.82</v>
      </c>
      <c r="D12" s="9">
        <v>8.7910000000000004</v>
      </c>
      <c r="E12" s="9">
        <v>8.6310000000000002</v>
      </c>
      <c r="F12" s="9">
        <v>8.5150000000000006</v>
      </c>
      <c r="G12" s="9">
        <v>3.879</v>
      </c>
      <c r="H12" s="9">
        <v>3.613</v>
      </c>
      <c r="I12" s="12">
        <f t="shared" si="0"/>
        <v>0.16000000000000014</v>
      </c>
      <c r="J12" s="12">
        <f t="shared" si="1"/>
        <v>0.26600000000000001</v>
      </c>
      <c r="K12" s="12">
        <f t="shared" si="2"/>
        <v>0.30499999999999972</v>
      </c>
      <c r="L12" s="12">
        <f t="shared" si="3"/>
        <v>0.58899999999999997</v>
      </c>
      <c r="M12" s="5">
        <v>17.96</v>
      </c>
      <c r="N12" s="5">
        <v>108.4</v>
      </c>
      <c r="O12" s="5">
        <v>18.420000000000002</v>
      </c>
      <c r="P12" s="5">
        <v>4.01</v>
      </c>
      <c r="Q12" s="5">
        <v>1.85</v>
      </c>
      <c r="R12" s="5">
        <f>Q12-[1]!Temperature("carbon dioxide","Pvap","SI",G12)+273.15</f>
        <v>-2.2518246321779998</v>
      </c>
      <c r="S12" s="19">
        <v>126.5</v>
      </c>
      <c r="AL12" s="16"/>
    </row>
    <row r="13" spans="1:38" x14ac:dyDescent="0.4">
      <c r="B13" s="4"/>
      <c r="C13" s="4"/>
      <c r="D13" s="4"/>
      <c r="E13" s="4"/>
      <c r="F13" s="4"/>
      <c r="G13" s="4"/>
      <c r="H13" s="8"/>
      <c r="I13" s="8"/>
      <c r="J13" s="8"/>
      <c r="K13" s="8"/>
      <c r="L13" s="8"/>
      <c r="M13" s="5"/>
      <c r="N13" s="5"/>
      <c r="O13" s="5"/>
      <c r="P13" s="5"/>
      <c r="Q13" s="5"/>
      <c r="R13" s="5"/>
      <c r="S13" s="19"/>
      <c r="AL13" s="16"/>
    </row>
    <row r="14" spans="1:38" x14ac:dyDescent="0.4">
      <c r="B14" s="4"/>
      <c r="C14" s="4"/>
      <c r="D14" s="4"/>
      <c r="E14" s="4"/>
      <c r="F14" s="4"/>
      <c r="G14" s="4"/>
      <c r="H14" s="8"/>
      <c r="I14" s="8"/>
      <c r="J14" s="8"/>
      <c r="K14" s="8"/>
      <c r="L14" s="8"/>
      <c r="M14" s="5"/>
      <c r="N14" s="5"/>
      <c r="O14" s="5"/>
      <c r="P14" s="5"/>
      <c r="Q14" s="5"/>
      <c r="R14" s="5"/>
      <c r="S14" s="19"/>
      <c r="AL14" s="16"/>
    </row>
    <row r="15" spans="1:38" x14ac:dyDescent="0.4">
      <c r="B15" s="30" t="s">
        <v>7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</row>
    <row r="16" spans="1:38" x14ac:dyDescent="0.4">
      <c r="B16" s="32" t="s">
        <v>9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2" t="s">
        <v>10</v>
      </c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</row>
    <row r="17" spans="1:38" x14ac:dyDescent="0.4">
      <c r="B17" s="32" t="s">
        <v>16</v>
      </c>
      <c r="C17" s="33"/>
      <c r="D17" s="33"/>
      <c r="E17" s="33"/>
      <c r="F17" s="33"/>
      <c r="G17" s="33"/>
      <c r="H17" s="33"/>
      <c r="I17" s="33"/>
      <c r="J17" s="33"/>
      <c r="K17" s="33"/>
      <c r="L17" s="34"/>
      <c r="M17" s="35" t="s">
        <v>17</v>
      </c>
      <c r="N17" s="36"/>
      <c r="O17" s="36"/>
      <c r="P17" s="36"/>
      <c r="Q17" s="36"/>
      <c r="R17" s="37"/>
      <c r="S17" s="17" t="s">
        <v>26</v>
      </c>
      <c r="T17" s="32" t="s">
        <v>16</v>
      </c>
      <c r="U17" s="33"/>
      <c r="V17" s="33"/>
      <c r="W17" s="33"/>
      <c r="X17" s="33"/>
      <c r="Y17" s="33"/>
      <c r="Z17" s="33"/>
      <c r="AA17" s="33"/>
      <c r="AB17" s="33"/>
      <c r="AC17" s="33"/>
      <c r="AD17" s="34"/>
      <c r="AE17" s="35" t="s">
        <v>17</v>
      </c>
      <c r="AF17" s="36"/>
      <c r="AG17" s="36"/>
      <c r="AH17" s="36"/>
      <c r="AI17" s="36"/>
      <c r="AJ17" s="37"/>
      <c r="AK17" s="21"/>
      <c r="AL17" s="17" t="s">
        <v>26</v>
      </c>
    </row>
    <row r="18" spans="1:38" x14ac:dyDescent="0.4">
      <c r="A18" t="s">
        <v>4</v>
      </c>
      <c r="B18" s="6" t="s">
        <v>12</v>
      </c>
      <c r="C18" s="6" t="s">
        <v>19</v>
      </c>
      <c r="D18" s="6" t="s">
        <v>11</v>
      </c>
      <c r="E18" s="6" t="s">
        <v>13</v>
      </c>
      <c r="F18" s="6" t="s">
        <v>20</v>
      </c>
      <c r="G18" s="6" t="s">
        <v>14</v>
      </c>
      <c r="H18" s="7" t="s">
        <v>15</v>
      </c>
      <c r="I18" s="7" t="s">
        <v>22</v>
      </c>
      <c r="J18" s="7" t="s">
        <v>23</v>
      </c>
      <c r="K18" s="7" t="s">
        <v>25</v>
      </c>
      <c r="L18" s="7" t="s">
        <v>24</v>
      </c>
      <c r="M18" s="5" t="s">
        <v>12</v>
      </c>
      <c r="N18" s="5" t="s">
        <v>19</v>
      </c>
      <c r="O18" s="5" t="s">
        <v>20</v>
      </c>
      <c r="P18" s="5" t="s">
        <v>18</v>
      </c>
      <c r="Q18" s="5" t="s">
        <v>15</v>
      </c>
      <c r="R18" s="5" t="s">
        <v>21</v>
      </c>
      <c r="S18" s="18"/>
      <c r="T18" s="6" t="s">
        <v>12</v>
      </c>
      <c r="U18" s="6" t="s">
        <v>19</v>
      </c>
      <c r="V18" s="6" t="s">
        <v>11</v>
      </c>
      <c r="W18" s="6" t="s">
        <v>13</v>
      </c>
      <c r="X18" s="6" t="s">
        <v>20</v>
      </c>
      <c r="Y18" s="6" t="s">
        <v>14</v>
      </c>
      <c r="Z18" s="7" t="s">
        <v>15</v>
      </c>
      <c r="AA18" s="7" t="s">
        <v>22</v>
      </c>
      <c r="AB18" s="7" t="s">
        <v>23</v>
      </c>
      <c r="AC18" s="7" t="s">
        <v>25</v>
      </c>
      <c r="AD18" s="7" t="s">
        <v>24</v>
      </c>
      <c r="AE18" s="5" t="s">
        <v>12</v>
      </c>
      <c r="AF18" s="5" t="s">
        <v>19</v>
      </c>
      <c r="AG18" s="5" t="s">
        <v>20</v>
      </c>
      <c r="AH18" s="5" t="s">
        <v>18</v>
      </c>
      <c r="AI18" s="5" t="s">
        <v>15</v>
      </c>
      <c r="AJ18" s="5" t="s">
        <v>21</v>
      </c>
      <c r="AK18" s="5" t="s">
        <v>27</v>
      </c>
      <c r="AL18" s="18"/>
    </row>
    <row r="19" spans="1:38" x14ac:dyDescent="0.4">
      <c r="A19">
        <v>400</v>
      </c>
      <c r="B19" s="9">
        <v>3.21</v>
      </c>
      <c r="C19" s="9">
        <v>8.7200000000000006</v>
      </c>
      <c r="D19" s="9">
        <v>8.7110000000000003</v>
      </c>
      <c r="E19" s="9">
        <v>8.6310000000000002</v>
      </c>
      <c r="F19" s="9">
        <v>8.4960000000000004</v>
      </c>
      <c r="G19" s="9">
        <v>3.9009999999999998</v>
      </c>
      <c r="H19" s="9">
        <v>3.532</v>
      </c>
      <c r="I19" s="8">
        <f>D19-E19</f>
        <v>8.0000000000000071E-2</v>
      </c>
      <c r="J19" s="9">
        <f>G19-H19</f>
        <v>0.36899999999999977</v>
      </c>
      <c r="K19" s="8">
        <f>C19-F19</f>
        <v>0.2240000000000002</v>
      </c>
      <c r="L19" s="8">
        <f>G19-B19</f>
        <v>0.69099999999999984</v>
      </c>
      <c r="M19" s="5">
        <v>35.729999999999997</v>
      </c>
      <c r="N19" s="5">
        <v>135.72</v>
      </c>
      <c r="O19" s="5">
        <v>36.76</v>
      </c>
      <c r="P19" s="5">
        <v>1.44</v>
      </c>
      <c r="Q19" s="5">
        <v>18.489999999999998</v>
      </c>
      <c r="R19" s="5">
        <f>Q19-[1]!Temperature("carbon dioxide","Pvap","SI",H19)+273.15</f>
        <v>17.984564998382893</v>
      </c>
      <c r="S19" s="18">
        <v>102.4</v>
      </c>
      <c r="T19" s="9">
        <v>2.84</v>
      </c>
      <c r="U19" s="9">
        <v>9.2200000000000006</v>
      </c>
      <c r="V19" s="9">
        <v>9.2219999999999995</v>
      </c>
      <c r="W19" s="9">
        <v>9.1609999999999996</v>
      </c>
      <c r="X19" s="9">
        <v>9.0660000000000007</v>
      </c>
      <c r="Y19" s="9">
        <v>3.581</v>
      </c>
      <c r="Z19" s="9">
        <v>3.1280000000000001</v>
      </c>
      <c r="AA19" s="2">
        <f>V19-W19</f>
        <v>6.0999999999999943E-2</v>
      </c>
      <c r="AB19" s="2">
        <f>Y19-Z19</f>
        <v>0.45299999999999985</v>
      </c>
      <c r="AC19" s="2">
        <f>U19-X19</f>
        <v>0.15399999999999991</v>
      </c>
      <c r="AD19" s="2">
        <f>Y19-T19</f>
        <v>0.7410000000000001</v>
      </c>
      <c r="AE19" s="2">
        <v>17.8</v>
      </c>
      <c r="AF19" s="2">
        <v>135.44999999999999</v>
      </c>
      <c r="AG19" s="2">
        <v>36.76</v>
      </c>
      <c r="AH19" s="2">
        <v>1.44</v>
      </c>
      <c r="AI19" s="2">
        <v>18.489999999999998</v>
      </c>
      <c r="AJ19" s="2">
        <f>AI19-[1]!Temperature("carbon dioxide","Pvap","SI",Z19)+273.15</f>
        <v>22.516650954017564</v>
      </c>
      <c r="AK19" s="2">
        <f>AE19-[1]!Temperature("carbon dioxide","Pvap","SI",T19)+273.15</f>
        <v>25.327641052740319</v>
      </c>
      <c r="AL19" s="16">
        <v>92.6</v>
      </c>
    </row>
    <row r="20" spans="1:38" x14ac:dyDescent="0.4">
      <c r="A20">
        <v>500</v>
      </c>
      <c r="B20" s="9">
        <v>3.34</v>
      </c>
      <c r="C20" s="9">
        <v>9.3800000000000008</v>
      </c>
      <c r="D20" s="9">
        <v>9.3800000000000008</v>
      </c>
      <c r="E20" s="9">
        <v>9.2520000000000007</v>
      </c>
      <c r="F20" s="9">
        <v>9.1549999999999994</v>
      </c>
      <c r="G20" s="9">
        <v>3.92</v>
      </c>
      <c r="H20" s="9">
        <v>3.6349999999999998</v>
      </c>
      <c r="I20" s="8">
        <f t="shared" ref="I20:I25" si="8">D20-E20</f>
        <v>0.12800000000000011</v>
      </c>
      <c r="J20" s="9">
        <f t="shared" ref="J20:J25" si="9">G20-H20</f>
        <v>0.28500000000000014</v>
      </c>
      <c r="K20" s="8">
        <f t="shared" ref="K20:K25" si="10">C20-F20</f>
        <v>0.22500000000000142</v>
      </c>
      <c r="L20" s="8">
        <f t="shared" ref="L20:L25" si="11">G20-B20</f>
        <v>0.58000000000000007</v>
      </c>
      <c r="M20" s="5">
        <v>31.79</v>
      </c>
      <c r="N20" s="5">
        <v>133.12</v>
      </c>
      <c r="O20" s="5">
        <v>28.37</v>
      </c>
      <c r="P20" s="5">
        <v>4.72</v>
      </c>
      <c r="Q20" s="5">
        <v>2.15</v>
      </c>
      <c r="R20" s="5">
        <f>Q20-[1]!Temperature("carbon dioxide","Pvap","SI",H20)+273.15</f>
        <v>0.55074301980897644</v>
      </c>
      <c r="S20" s="18">
        <v>110.6</v>
      </c>
      <c r="T20" s="9">
        <v>3.27</v>
      </c>
      <c r="U20" s="9">
        <v>10.3</v>
      </c>
      <c r="V20" s="9">
        <v>10.67</v>
      </c>
      <c r="W20" s="9">
        <v>10.17</v>
      </c>
      <c r="X20" s="9">
        <v>10.051</v>
      </c>
      <c r="Y20" s="9">
        <v>4.048</v>
      </c>
      <c r="Z20" s="23">
        <v>3.613</v>
      </c>
      <c r="AA20" s="2">
        <f t="shared" ref="AA20:AA22" si="12">V20-W20</f>
        <v>0.5</v>
      </c>
      <c r="AB20" s="2">
        <f t="shared" ref="AB20:AB22" si="13">Y20-Z20</f>
        <v>0.43500000000000005</v>
      </c>
      <c r="AC20" s="2">
        <f t="shared" ref="AC20:AC22" si="14">U20-X20</f>
        <v>0.24900000000000055</v>
      </c>
      <c r="AD20" s="2">
        <f t="shared" ref="AD20:AD22" si="15">Y20-T20</f>
        <v>0.77800000000000002</v>
      </c>
      <c r="AE20" s="2">
        <v>2.85</v>
      </c>
      <c r="AF20" s="2">
        <v>107.69</v>
      </c>
      <c r="AG20" s="2">
        <v>37.159999999999997</v>
      </c>
      <c r="AH20" s="2">
        <v>6.0030000000000001</v>
      </c>
      <c r="AI20" s="2">
        <v>5.1509999999999998</v>
      </c>
      <c r="AJ20" s="2">
        <f>AI20-[1]!Temperature("carbon dioxide","Pvap","SI",Z20)+273.15</f>
        <v>3.7834333041287209</v>
      </c>
      <c r="AK20" s="2">
        <f>AE20-[1]!Temperature("carbon dioxide","Pvap","SI",T20)+273.15</f>
        <v>5.2370557023184574</v>
      </c>
      <c r="AL20" s="16">
        <v>127.2</v>
      </c>
    </row>
    <row r="21" spans="1:38" x14ac:dyDescent="0.4">
      <c r="A21">
        <v>600</v>
      </c>
      <c r="B21" s="9">
        <v>3.4</v>
      </c>
      <c r="C21" s="9">
        <v>9.25</v>
      </c>
      <c r="D21" s="9">
        <v>9.2469999999999999</v>
      </c>
      <c r="E21" s="9">
        <v>9.1389999999999993</v>
      </c>
      <c r="F21" s="9">
        <v>9.0150000000000006</v>
      </c>
      <c r="G21" s="9">
        <v>3.9550000000000001</v>
      </c>
      <c r="H21" s="9">
        <v>3.6869999999999998</v>
      </c>
      <c r="I21" s="8">
        <f t="shared" si="8"/>
        <v>0.10800000000000054</v>
      </c>
      <c r="J21" s="9">
        <f t="shared" si="9"/>
        <v>0.26800000000000024</v>
      </c>
      <c r="K21" s="8">
        <f t="shared" si="10"/>
        <v>0.23499999999999943</v>
      </c>
      <c r="L21" s="8">
        <f t="shared" si="11"/>
        <v>0.55500000000000016</v>
      </c>
      <c r="M21" s="5">
        <v>31.22</v>
      </c>
      <c r="N21" s="5">
        <v>129.86000000000001</v>
      </c>
      <c r="O21" s="5">
        <v>27.5</v>
      </c>
      <c r="P21" s="5">
        <v>4.91</v>
      </c>
      <c r="Q21" s="5">
        <v>2.5299999999999998</v>
      </c>
      <c r="R21" s="5">
        <f>Q21-[1]!Temperature("carbon dioxide","Pvap","SI",H21)+273.15</f>
        <v>0.38720446293689292</v>
      </c>
      <c r="S21" s="18">
        <v>113.6</v>
      </c>
      <c r="T21" s="9">
        <v>3.34</v>
      </c>
      <c r="U21" s="9">
        <v>10.32</v>
      </c>
      <c r="V21" s="9">
        <v>10.253</v>
      </c>
      <c r="W21" s="9">
        <v>10.173</v>
      </c>
      <c r="X21" s="9">
        <v>10.007999999999999</v>
      </c>
      <c r="Y21" s="9">
        <v>4.1429999999999998</v>
      </c>
      <c r="Z21" s="9">
        <v>3.6949999999999998</v>
      </c>
      <c r="AA21" s="2">
        <f t="shared" si="12"/>
        <v>8.0000000000000071E-2</v>
      </c>
      <c r="AB21" s="2">
        <f t="shared" si="13"/>
        <v>0.44799999999999995</v>
      </c>
      <c r="AC21" s="2">
        <f t="shared" si="14"/>
        <v>0.31200000000000117</v>
      </c>
      <c r="AD21" s="2">
        <f t="shared" si="15"/>
        <v>0.80299999999999994</v>
      </c>
      <c r="AE21" s="2">
        <v>-1.06</v>
      </c>
      <c r="AF21" s="2">
        <v>94.86</v>
      </c>
      <c r="AG21" s="2">
        <v>37.369999999999997</v>
      </c>
      <c r="AH21" s="2">
        <v>6.79</v>
      </c>
      <c r="AI21" s="2">
        <v>2.66</v>
      </c>
      <c r="AJ21" s="2">
        <f>AI21-[1]!Temperature("carbon dioxide","Pvap","SI",Z21)+273.15</f>
        <v>0.43408734180513875</v>
      </c>
      <c r="AK21" s="2">
        <f>AE21-[1]!Temperature("carbon dioxide","Pvap","SI",T21)+273.15</f>
        <v>0.53801249385099936</v>
      </c>
      <c r="AL21" s="2">
        <v>140.4</v>
      </c>
    </row>
    <row r="22" spans="1:38" x14ac:dyDescent="0.4">
      <c r="A22">
        <v>700</v>
      </c>
      <c r="B22" s="9">
        <v>3.41</v>
      </c>
      <c r="C22" s="9">
        <v>9.26</v>
      </c>
      <c r="D22" s="9">
        <v>9.266</v>
      </c>
      <c r="E22" s="9">
        <v>9.1590000000000007</v>
      </c>
      <c r="F22" s="9">
        <v>9.0549999999999997</v>
      </c>
      <c r="G22" s="9">
        <v>3.9359999999999999</v>
      </c>
      <c r="H22" s="9">
        <v>3.6949999999999998</v>
      </c>
      <c r="I22" s="8">
        <f t="shared" si="8"/>
        <v>0.10699999999999932</v>
      </c>
      <c r="J22" s="9">
        <f t="shared" si="9"/>
        <v>0.2410000000000001</v>
      </c>
      <c r="K22" s="8">
        <f t="shared" si="10"/>
        <v>0.20500000000000007</v>
      </c>
      <c r="L22" s="8">
        <f t="shared" si="11"/>
        <v>0.5259999999999998</v>
      </c>
      <c r="M22" s="5">
        <v>31.01</v>
      </c>
      <c r="N22" s="5">
        <v>130.85</v>
      </c>
      <c r="O22" s="5">
        <v>26.61</v>
      </c>
      <c r="P22" s="5">
        <v>4.6900000000000004</v>
      </c>
      <c r="Q22" s="5">
        <v>2.5</v>
      </c>
      <c r="R22" s="5">
        <f>Q22-[1]!Temperature("carbon dioxide","Pvap","SI",H22)+273.15</f>
        <v>0.27408734180511374</v>
      </c>
      <c r="S22" s="18">
        <v>112.1</v>
      </c>
      <c r="AA22" s="2">
        <f t="shared" si="12"/>
        <v>0</v>
      </c>
      <c r="AB22" s="2">
        <f t="shared" si="13"/>
        <v>0</v>
      </c>
      <c r="AC22" s="2">
        <f t="shared" si="14"/>
        <v>0</v>
      </c>
      <c r="AD22" s="2">
        <f t="shared" si="15"/>
        <v>0</v>
      </c>
      <c r="AJ22" s="2" t="e">
        <f>AI22-[1]!Temperature("carbon dioxide","Pvap","SI",Z22)+273.15</f>
        <v>#VALUE!</v>
      </c>
      <c r="AK22" s="2" t="e">
        <f>AE22-[1]!Temperature("carbon dioxide","Pvap","SI",T22)+273.15</f>
        <v>#VALUE!</v>
      </c>
    </row>
    <row r="23" spans="1:38" x14ac:dyDescent="0.4">
      <c r="A23">
        <v>800</v>
      </c>
      <c r="B23" s="9">
        <v>3.44</v>
      </c>
      <c r="C23" s="9">
        <v>9.15</v>
      </c>
      <c r="D23" s="9">
        <v>9.1609999999999996</v>
      </c>
      <c r="E23" s="9">
        <v>9.0419999999999998</v>
      </c>
      <c r="F23" s="9">
        <v>8.9280000000000008</v>
      </c>
      <c r="G23" s="9">
        <v>3.972</v>
      </c>
      <c r="H23" s="9">
        <v>3.7170000000000001</v>
      </c>
      <c r="I23" s="8">
        <f t="shared" si="8"/>
        <v>0.11899999999999977</v>
      </c>
      <c r="J23" s="9">
        <f t="shared" si="9"/>
        <v>0.25499999999999989</v>
      </c>
      <c r="K23" s="8">
        <f t="shared" si="10"/>
        <v>0.22199999999999953</v>
      </c>
      <c r="L23" s="8">
        <f t="shared" si="11"/>
        <v>0.53200000000000003</v>
      </c>
      <c r="M23" s="5">
        <v>31.15</v>
      </c>
      <c r="N23" s="5">
        <v>128.78</v>
      </c>
      <c r="O23" s="5">
        <v>27.48</v>
      </c>
      <c r="P23" s="5">
        <v>5.01</v>
      </c>
      <c r="Q23" s="5">
        <v>2.86</v>
      </c>
      <c r="R23" s="5">
        <f>Q23-[1]!Temperature("carbon dioxide","Pvap","SI",H23)+273.15</f>
        <v>0.40619994186442909</v>
      </c>
      <c r="S23" s="18">
        <v>114.3</v>
      </c>
      <c r="AA23" s="2">
        <f t="shared" ref="AA23:AA33" si="16">V23-W23</f>
        <v>0</v>
      </c>
      <c r="AB23" s="2">
        <f t="shared" ref="AB23:AB33" si="17">Y23-Z23</f>
        <v>0</v>
      </c>
      <c r="AC23" s="2">
        <f t="shared" ref="AC23:AC33" si="18">U23-X23</f>
        <v>0</v>
      </c>
      <c r="AD23" s="2">
        <f t="shared" ref="AD23:AD33" si="19">Y23-T23</f>
        <v>0</v>
      </c>
      <c r="AJ23" s="2" t="e">
        <f>AI23-[1]!Temperature("carbon dioxide","Pvap","SI",Z23)+273.15</f>
        <v>#VALUE!</v>
      </c>
      <c r="AK23" s="2" t="e">
        <f>AE23-[1]!Temperature("carbon dioxide","Pvap","SI",T23)+273.15</f>
        <v>#VALUE!</v>
      </c>
    </row>
    <row r="24" spans="1:38" x14ac:dyDescent="0.4">
      <c r="A24">
        <v>900</v>
      </c>
      <c r="B24" s="9">
        <v>3.49</v>
      </c>
      <c r="C24" s="9">
        <v>9.1300000000000008</v>
      </c>
      <c r="D24" s="9">
        <v>9.1029999999999998</v>
      </c>
      <c r="E24" s="9">
        <v>9.0060000000000002</v>
      </c>
      <c r="F24" s="9">
        <v>8.8469999999999995</v>
      </c>
      <c r="G24" s="9">
        <v>4.0119999999999996</v>
      </c>
      <c r="H24" s="9">
        <v>3.7789999999999999</v>
      </c>
      <c r="I24" s="8">
        <f t="shared" si="8"/>
        <v>9.6999999999999531E-2</v>
      </c>
      <c r="J24" s="9">
        <f t="shared" si="9"/>
        <v>0.23299999999999965</v>
      </c>
      <c r="K24" s="8">
        <f t="shared" si="10"/>
        <v>0.28300000000000125</v>
      </c>
      <c r="L24" s="8">
        <f t="shared" si="11"/>
        <v>0.52199999999999935</v>
      </c>
      <c r="M24" s="5">
        <v>26.86</v>
      </c>
      <c r="N24" s="5">
        <v>121.21</v>
      </c>
      <c r="O24" s="5">
        <v>24.37</v>
      </c>
      <c r="P24" s="5">
        <v>5.28</v>
      </c>
      <c r="Q24" s="5">
        <v>3.31</v>
      </c>
      <c r="R24" s="5">
        <f>Q24-[1]!Temperature("carbon dioxide","Pvap","SI",H24)+273.15</f>
        <v>0.21930061891544028</v>
      </c>
      <c r="S24" s="18">
        <v>120.1</v>
      </c>
      <c r="AA24" s="2">
        <f t="shared" si="16"/>
        <v>0</v>
      </c>
      <c r="AB24" s="2">
        <f t="shared" si="17"/>
        <v>0</v>
      </c>
      <c r="AC24" s="2">
        <f t="shared" si="18"/>
        <v>0</v>
      </c>
      <c r="AD24" s="2">
        <f t="shared" si="19"/>
        <v>0</v>
      </c>
      <c r="AJ24" s="2" t="e">
        <f>AI24-[1]!Temperature("carbon dioxide","Pvap","SI",Z24)+273.15</f>
        <v>#VALUE!</v>
      </c>
      <c r="AK24" s="2" t="e">
        <f>AE24-[1]!Temperature("carbon dioxide","Pvap","SI",T24)+273.15</f>
        <v>#VALUE!</v>
      </c>
    </row>
    <row r="25" spans="1:38" x14ac:dyDescent="0.4">
      <c r="A25">
        <v>1000</v>
      </c>
      <c r="B25" s="9">
        <v>3.57</v>
      </c>
      <c r="C25" s="9">
        <v>9.42</v>
      </c>
      <c r="D25" s="9">
        <v>9.3849999999999998</v>
      </c>
      <c r="E25" s="9">
        <v>9.2439999999999998</v>
      </c>
      <c r="F25" s="9">
        <v>9.0630000000000006</v>
      </c>
      <c r="G25" s="9">
        <v>4.1589999999999998</v>
      </c>
      <c r="H25" s="9">
        <v>3.9009999999999998</v>
      </c>
      <c r="I25" s="8">
        <f t="shared" si="8"/>
        <v>0.14100000000000001</v>
      </c>
      <c r="J25" s="9">
        <f t="shared" si="9"/>
        <v>0.25800000000000001</v>
      </c>
      <c r="K25" s="8">
        <f t="shared" si="10"/>
        <v>0.35699999999999932</v>
      </c>
      <c r="L25" s="8">
        <f t="shared" si="11"/>
        <v>0.58899999999999997</v>
      </c>
      <c r="M25" s="5">
        <v>6.14</v>
      </c>
      <c r="N25" s="5">
        <v>93.48</v>
      </c>
      <c r="O25" s="5">
        <v>18.54</v>
      </c>
      <c r="P25" s="5">
        <v>6.52</v>
      </c>
      <c r="Q25" s="5">
        <v>4.59</v>
      </c>
      <c r="R25" s="5">
        <f>Q25-[1]!Temperature("carbon dioxide","Pvap","SI",H25)+273.15</f>
        <v>0.26832967806234365</v>
      </c>
      <c r="S25" s="18">
        <v>146.5</v>
      </c>
      <c r="AA25" s="2">
        <f t="shared" si="16"/>
        <v>0</v>
      </c>
      <c r="AB25" s="2">
        <f t="shared" si="17"/>
        <v>0</v>
      </c>
      <c r="AC25" s="2">
        <f t="shared" si="18"/>
        <v>0</v>
      </c>
      <c r="AD25" s="2">
        <f t="shared" si="19"/>
        <v>0</v>
      </c>
      <c r="AJ25" s="2" t="e">
        <f>AI25-[1]!Temperature("carbon dioxide","Pvap","SI",Z25)+273.15</f>
        <v>#VALUE!</v>
      </c>
      <c r="AK25" s="2" t="e">
        <f>AE25-[1]!Temperature("carbon dioxide","Pvap","SI",T25)+273.15</f>
        <v>#VALUE!</v>
      </c>
    </row>
    <row r="26" spans="1:38" x14ac:dyDescent="0.4">
      <c r="D26" s="9"/>
      <c r="H26" s="2"/>
      <c r="I26" s="8"/>
      <c r="J26" s="9"/>
      <c r="K26" s="8"/>
      <c r="L26" s="8"/>
      <c r="M26" s="5"/>
      <c r="N26" s="5"/>
      <c r="O26" s="5"/>
      <c r="P26" s="5"/>
      <c r="Q26" s="5"/>
      <c r="R26" s="5" t="e">
        <f>Q26-[1]!Temperature("carbon dioxide","Pvap","SI",H26)+273.15</f>
        <v>#VALUE!</v>
      </c>
      <c r="S26" s="18"/>
      <c r="T26" s="9"/>
      <c r="AA26" s="2">
        <f t="shared" si="16"/>
        <v>0</v>
      </c>
      <c r="AB26" s="2">
        <f t="shared" si="17"/>
        <v>0</v>
      </c>
      <c r="AC26" s="2">
        <f t="shared" si="18"/>
        <v>0</v>
      </c>
      <c r="AD26" s="2">
        <f t="shared" si="19"/>
        <v>0</v>
      </c>
      <c r="AJ26" s="2" t="e">
        <f>AI26-[1]!Temperature("carbon dioxide","Pvap","SI",Z26)+273.15</f>
        <v>#VALUE!</v>
      </c>
      <c r="AK26" s="2" t="e">
        <f>AE26-[1]!Temperature("carbon dioxide","Pvap","SI",T26)+273.15</f>
        <v>#VALUE!</v>
      </c>
    </row>
    <row r="27" spans="1:38" x14ac:dyDescent="0.4">
      <c r="B27" s="30" t="s">
        <v>7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</row>
    <row r="28" spans="1:38" x14ac:dyDescent="0.4">
      <c r="A28" s="26"/>
      <c r="B28" s="32" t="s">
        <v>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2" t="s">
        <v>10</v>
      </c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</row>
    <row r="29" spans="1:38" x14ac:dyDescent="0.4">
      <c r="A29" s="26"/>
      <c r="B29" s="32" t="s">
        <v>16</v>
      </c>
      <c r="C29" s="33"/>
      <c r="D29" s="33"/>
      <c r="E29" s="33"/>
      <c r="F29" s="33"/>
      <c r="G29" s="33"/>
      <c r="H29" s="33"/>
      <c r="I29" s="33"/>
      <c r="J29" s="33"/>
      <c r="K29" s="33"/>
      <c r="L29" s="34"/>
      <c r="M29" s="35" t="s">
        <v>17</v>
      </c>
      <c r="N29" s="36"/>
      <c r="O29" s="36"/>
      <c r="P29" s="36"/>
      <c r="Q29" s="36"/>
      <c r="R29" s="37"/>
      <c r="S29" s="17" t="s">
        <v>26</v>
      </c>
      <c r="T29" s="32" t="s">
        <v>16</v>
      </c>
      <c r="U29" s="33"/>
      <c r="V29" s="33"/>
      <c r="W29" s="33"/>
      <c r="X29" s="33"/>
      <c r="Y29" s="33"/>
      <c r="Z29" s="33"/>
      <c r="AA29" s="33"/>
      <c r="AB29" s="33"/>
      <c r="AC29" s="33"/>
      <c r="AD29" s="34"/>
      <c r="AE29" s="35" t="s">
        <v>17</v>
      </c>
      <c r="AF29" s="36"/>
      <c r="AG29" s="36"/>
      <c r="AH29" s="36"/>
      <c r="AI29" s="36"/>
      <c r="AJ29" s="37"/>
      <c r="AK29" s="21"/>
      <c r="AL29" s="17" t="s">
        <v>26</v>
      </c>
    </row>
    <row r="30" spans="1:38" x14ac:dyDescent="0.4">
      <c r="A30" s="26" t="s">
        <v>4</v>
      </c>
      <c r="B30" s="6" t="s">
        <v>12</v>
      </c>
      <c r="C30" s="6" t="s">
        <v>19</v>
      </c>
      <c r="D30" s="6" t="s">
        <v>11</v>
      </c>
      <c r="E30" s="6" t="s">
        <v>13</v>
      </c>
      <c r="F30" s="6" t="s">
        <v>20</v>
      </c>
      <c r="G30" s="6" t="s">
        <v>14</v>
      </c>
      <c r="H30" s="7" t="s">
        <v>15</v>
      </c>
      <c r="I30" s="7" t="s">
        <v>22</v>
      </c>
      <c r="J30" s="7" t="s">
        <v>23</v>
      </c>
      <c r="K30" s="7" t="s">
        <v>25</v>
      </c>
      <c r="L30" s="7" t="s">
        <v>24</v>
      </c>
      <c r="M30" s="5" t="s">
        <v>12</v>
      </c>
      <c r="N30" s="5" t="s">
        <v>19</v>
      </c>
      <c r="O30" s="5" t="s">
        <v>20</v>
      </c>
      <c r="P30" s="5" t="s">
        <v>18</v>
      </c>
      <c r="Q30" s="5" t="s">
        <v>15</v>
      </c>
      <c r="R30" s="5" t="s">
        <v>21</v>
      </c>
      <c r="S30" s="18"/>
      <c r="T30" s="6" t="s">
        <v>12</v>
      </c>
      <c r="U30" s="6" t="s">
        <v>19</v>
      </c>
      <c r="V30" s="6" t="s">
        <v>11</v>
      </c>
      <c r="W30" s="6" t="s">
        <v>13</v>
      </c>
      <c r="X30" s="6" t="s">
        <v>20</v>
      </c>
      <c r="Y30" s="6" t="s">
        <v>14</v>
      </c>
      <c r="Z30" s="7" t="s">
        <v>15</v>
      </c>
      <c r="AA30" s="7" t="s">
        <v>22</v>
      </c>
      <c r="AB30" s="7" t="s">
        <v>23</v>
      </c>
      <c r="AC30" s="7" t="s">
        <v>25</v>
      </c>
      <c r="AD30" s="7" t="s">
        <v>24</v>
      </c>
      <c r="AE30" s="5" t="s">
        <v>12</v>
      </c>
      <c r="AF30" s="5" t="s">
        <v>19</v>
      </c>
      <c r="AG30" s="5" t="s">
        <v>20</v>
      </c>
      <c r="AH30" s="5" t="s">
        <v>18</v>
      </c>
      <c r="AI30" s="5" t="s">
        <v>15</v>
      </c>
      <c r="AJ30" s="5" t="s">
        <v>21</v>
      </c>
      <c r="AK30" s="5" t="s">
        <v>27</v>
      </c>
      <c r="AL30" s="18"/>
    </row>
    <row r="31" spans="1:38" x14ac:dyDescent="0.4">
      <c r="A31" s="26">
        <v>400</v>
      </c>
      <c r="B31" s="9"/>
      <c r="C31" s="9"/>
      <c r="D31" s="9"/>
      <c r="E31" s="9"/>
      <c r="F31" s="9"/>
      <c r="G31" s="9"/>
      <c r="H31" s="9"/>
      <c r="I31" s="4">
        <f t="shared" ref="I31:I37" si="20">D31-E31</f>
        <v>0</v>
      </c>
      <c r="J31" s="12">
        <f t="shared" ref="J31:J37" si="21">G31-H31</f>
        <v>0</v>
      </c>
      <c r="K31" s="4">
        <f t="shared" ref="K31:K37" si="22">C31-F31</f>
        <v>0</v>
      </c>
      <c r="L31" s="4">
        <f t="shared" ref="L31:L37" si="23">G31-B31</f>
        <v>0</v>
      </c>
      <c r="M31" s="5"/>
      <c r="N31" s="5"/>
      <c r="O31" s="5"/>
      <c r="P31" s="5"/>
      <c r="Q31" s="5"/>
      <c r="R31" s="5" t="e">
        <f>Q31-[1]!Temperature("carbon dioxide","Pvap","SI",H31)+273.15</f>
        <v>#VALUE!</v>
      </c>
      <c r="S31" s="18"/>
      <c r="T31" s="12">
        <v>3.12</v>
      </c>
      <c r="U31" s="12">
        <v>10.02</v>
      </c>
      <c r="V31" s="12">
        <v>10.023</v>
      </c>
      <c r="W31" s="12">
        <v>9.9629999999999992</v>
      </c>
      <c r="X31" s="12">
        <v>9.8190000000000008</v>
      </c>
      <c r="Y31" s="12">
        <v>4.0830000000000002</v>
      </c>
      <c r="Z31" s="12">
        <v>3.5619999999999998</v>
      </c>
      <c r="AA31" s="2">
        <f t="shared" si="16"/>
        <v>6.0000000000000497E-2</v>
      </c>
      <c r="AB31" s="2">
        <f t="shared" si="17"/>
        <v>0.52100000000000035</v>
      </c>
      <c r="AC31" s="2">
        <f t="shared" si="18"/>
        <v>0.20099999999999874</v>
      </c>
      <c r="AD31" s="2">
        <f t="shared" si="19"/>
        <v>0.96300000000000008</v>
      </c>
      <c r="AE31" s="3">
        <v>17.88</v>
      </c>
      <c r="AF31" s="3">
        <v>135.63999999999999</v>
      </c>
      <c r="AG31" s="3">
        <v>41.56</v>
      </c>
      <c r="AH31" s="3">
        <v>4.55</v>
      </c>
      <c r="AI31" s="3">
        <v>18.47</v>
      </c>
      <c r="AJ31" s="3">
        <f>AI31-[1]!Temperature("carbon dioxide","Pvap","SI",Z31)+273.15</f>
        <v>17.643570831096582</v>
      </c>
      <c r="AK31" s="3">
        <f>AE31-[1]!Temperature("carbon dioxide","Pvap","SI",T31)+273.15</f>
        <v>22.00063698804496</v>
      </c>
      <c r="AL31" s="3">
        <v>101.6</v>
      </c>
    </row>
    <row r="32" spans="1:38" x14ac:dyDescent="0.4">
      <c r="A32" s="26">
        <v>500</v>
      </c>
      <c r="B32" s="9">
        <v>3.65</v>
      </c>
      <c r="C32" s="9">
        <v>9.73</v>
      </c>
      <c r="D32" s="9">
        <v>9.7360000000000007</v>
      </c>
      <c r="E32" s="9">
        <v>9.6449999999999996</v>
      </c>
      <c r="F32" s="9">
        <v>9.5009999999999994</v>
      </c>
      <c r="G32" s="9">
        <v>4.17</v>
      </c>
      <c r="H32" s="9">
        <v>3.92</v>
      </c>
      <c r="I32" s="4">
        <f t="shared" si="20"/>
        <v>9.100000000000108E-2</v>
      </c>
      <c r="J32" s="12">
        <f t="shared" si="21"/>
        <v>0.25</v>
      </c>
      <c r="K32" s="4">
        <f t="shared" si="22"/>
        <v>0.22900000000000098</v>
      </c>
      <c r="L32" s="4">
        <f t="shared" si="23"/>
        <v>0.52</v>
      </c>
      <c r="M32" s="5">
        <v>35.86</v>
      </c>
      <c r="N32" s="5">
        <v>135.75</v>
      </c>
      <c r="O32" s="5">
        <v>32.67</v>
      </c>
      <c r="P32" s="5">
        <v>7.2</v>
      </c>
      <c r="Q32" s="5">
        <v>5.04</v>
      </c>
      <c r="R32" s="5">
        <f>Q32-[1]!Temperature("carbon dioxide","Pvap","SI",H32)+273.15</f>
        <v>0.5292029321907421</v>
      </c>
      <c r="S32" s="18">
        <v>115.4</v>
      </c>
      <c r="T32" s="12">
        <v>3.47</v>
      </c>
      <c r="U32" s="12">
        <v>11.22</v>
      </c>
      <c r="V32" s="12">
        <v>11.122</v>
      </c>
      <c r="W32" s="12">
        <v>10.989000000000001</v>
      </c>
      <c r="X32" s="12">
        <v>10.824999999999999</v>
      </c>
      <c r="Y32" s="12">
        <v>4.1509999999999998</v>
      </c>
      <c r="Z32" s="12">
        <v>3.706</v>
      </c>
      <c r="AA32" s="2">
        <f t="shared" si="16"/>
        <v>0.13299999999999912</v>
      </c>
      <c r="AB32" s="2">
        <f t="shared" si="17"/>
        <v>0.44499999999999984</v>
      </c>
      <c r="AC32" s="2">
        <f t="shared" si="18"/>
        <v>0.39500000000000135</v>
      </c>
      <c r="AD32" s="2">
        <f t="shared" si="19"/>
        <v>0.68099999999999961</v>
      </c>
      <c r="AE32" s="3">
        <v>2.91</v>
      </c>
      <c r="AF32" s="3">
        <v>109.57</v>
      </c>
      <c r="AG32" s="3">
        <v>41.6</v>
      </c>
      <c r="AH32" s="3">
        <v>8.14</v>
      </c>
      <c r="AI32" s="3">
        <v>5.37</v>
      </c>
      <c r="AJ32" s="3">
        <f>AI32-[1]!Temperature("carbon dioxide","Pvap","SI",Z32)+273.15</f>
        <v>3.0300184763953553</v>
      </c>
      <c r="AK32" s="3">
        <f>AE32-[1]!Temperature("carbon dioxide","Pvap","SI",T32)+273.15</f>
        <v>3.0743831526474423</v>
      </c>
      <c r="AL32" s="3">
        <v>135.5</v>
      </c>
    </row>
    <row r="33" spans="1:38" x14ac:dyDescent="0.4">
      <c r="A33" s="26">
        <v>600</v>
      </c>
      <c r="B33" s="9">
        <v>3.68</v>
      </c>
      <c r="C33" s="9">
        <v>9.74</v>
      </c>
      <c r="D33" s="9">
        <v>9.7309999999999999</v>
      </c>
      <c r="E33" s="9">
        <v>9.6120000000000001</v>
      </c>
      <c r="F33" s="9">
        <v>9.5120000000000005</v>
      </c>
      <c r="G33" s="9">
        <v>4.1829999999999998</v>
      </c>
      <c r="H33" s="9">
        <v>3.92</v>
      </c>
      <c r="I33" s="4">
        <f t="shared" si="20"/>
        <v>0.11899999999999977</v>
      </c>
      <c r="J33" s="12">
        <f t="shared" si="21"/>
        <v>0.2629999999999999</v>
      </c>
      <c r="K33" s="4">
        <f t="shared" si="22"/>
        <v>0.22799999999999976</v>
      </c>
      <c r="L33" s="4">
        <f t="shared" si="23"/>
        <v>0.50299999999999967</v>
      </c>
      <c r="M33" s="5">
        <v>35.61</v>
      </c>
      <c r="N33" s="5">
        <v>136.09</v>
      </c>
      <c r="O33" s="5">
        <v>32.5</v>
      </c>
      <c r="P33" s="5">
        <v>7.24</v>
      </c>
      <c r="Q33" s="5">
        <v>5.19</v>
      </c>
      <c r="R33" s="5">
        <f>Q33-[1]!Temperature("carbon dioxide","Pvap","SI",H33)+273.15</f>
        <v>0.67920293219071937</v>
      </c>
      <c r="S33" s="18">
        <v>115.4</v>
      </c>
      <c r="T33" s="9">
        <v>3.58</v>
      </c>
      <c r="U33" s="9">
        <v>11.15</v>
      </c>
      <c r="V33" s="9">
        <v>11.145</v>
      </c>
      <c r="W33" s="9">
        <v>11.048</v>
      </c>
      <c r="X33" s="9">
        <v>10.896000000000001</v>
      </c>
      <c r="Y33" s="9">
        <v>4.3109999999999999</v>
      </c>
      <c r="Z33" s="9">
        <v>3.8959999999999999</v>
      </c>
      <c r="AA33" s="2">
        <f t="shared" si="16"/>
        <v>9.6999999999999531E-2</v>
      </c>
      <c r="AB33" s="2">
        <f t="shared" si="17"/>
        <v>0.41500000000000004</v>
      </c>
      <c r="AC33" s="2">
        <f t="shared" si="18"/>
        <v>0.25399999999999956</v>
      </c>
      <c r="AD33" s="2">
        <f t="shared" si="19"/>
        <v>0.73099999999999987</v>
      </c>
      <c r="AE33" s="3">
        <v>1.52</v>
      </c>
      <c r="AF33" s="3">
        <v>101.17</v>
      </c>
      <c r="AG33" s="3">
        <v>42.58</v>
      </c>
      <c r="AH33" s="3">
        <v>8.4499999999999993</v>
      </c>
      <c r="AI33" s="3">
        <v>4.76</v>
      </c>
      <c r="AJ33" s="3">
        <f>AI33-[1]!Temperature("carbon dioxide","Pvap","SI",Z33)+273.15</f>
        <v>0.48821358863119713</v>
      </c>
      <c r="AK33" s="3">
        <f>AE33-[1]!Temperature("carbon dioxide","Pvap","SI",T33)+273.15</f>
        <v>0.50193142942470104</v>
      </c>
      <c r="AL33" s="3">
        <v>142.19999999999999</v>
      </c>
    </row>
    <row r="34" spans="1:38" x14ac:dyDescent="0.4">
      <c r="A34" s="26">
        <v>700</v>
      </c>
      <c r="B34" s="9">
        <v>3.73</v>
      </c>
      <c r="C34" s="9">
        <v>9.77</v>
      </c>
      <c r="D34" s="9">
        <v>9.766</v>
      </c>
      <c r="E34" s="9">
        <v>9.6780000000000008</v>
      </c>
      <c r="F34" s="9">
        <v>9.5709999999999997</v>
      </c>
      <c r="G34" s="9">
        <v>4.2270000000000003</v>
      </c>
      <c r="H34" s="9">
        <v>3.9830000000000001</v>
      </c>
      <c r="I34" s="4">
        <f t="shared" si="20"/>
        <v>8.799999999999919E-2</v>
      </c>
      <c r="J34" s="12">
        <f t="shared" si="21"/>
        <v>0.24400000000000022</v>
      </c>
      <c r="K34" s="4">
        <f t="shared" si="22"/>
        <v>0.19899999999999984</v>
      </c>
      <c r="L34" s="4">
        <f t="shared" si="23"/>
        <v>0.49700000000000033</v>
      </c>
      <c r="M34" s="5">
        <v>35.369999999999997</v>
      </c>
      <c r="N34" s="5">
        <v>135.59</v>
      </c>
      <c r="O34" s="5">
        <v>31.94</v>
      </c>
      <c r="P34" s="5">
        <v>7.49</v>
      </c>
      <c r="Q34" s="5">
        <v>5.63</v>
      </c>
      <c r="R34" s="5">
        <f>Q34-[1]!Temperature("carbon dioxide","Pvap","SI",H34)+273.15</f>
        <v>0.49693420011868739</v>
      </c>
      <c r="S34" s="18">
        <v>115.4</v>
      </c>
    </row>
    <row r="35" spans="1:38" x14ac:dyDescent="0.4">
      <c r="A35" s="26">
        <v>800</v>
      </c>
      <c r="B35" s="9">
        <v>3.75</v>
      </c>
      <c r="C35" s="9">
        <v>9.75</v>
      </c>
      <c r="D35" s="9">
        <v>9.7720000000000002</v>
      </c>
      <c r="E35" s="9">
        <v>9.6590000000000007</v>
      </c>
      <c r="F35" s="9">
        <v>9.5470000000000006</v>
      </c>
      <c r="G35" s="27">
        <v>4.24</v>
      </c>
      <c r="H35" s="9">
        <v>4.0039999999999996</v>
      </c>
      <c r="I35" s="4">
        <f t="shared" si="20"/>
        <v>0.11299999999999955</v>
      </c>
      <c r="J35" s="12">
        <f t="shared" si="21"/>
        <v>0.23600000000000065</v>
      </c>
      <c r="K35" s="4">
        <f t="shared" si="22"/>
        <v>0.2029999999999994</v>
      </c>
      <c r="L35" s="4">
        <f t="shared" si="23"/>
        <v>0.49000000000000021</v>
      </c>
      <c r="M35" s="5">
        <v>35.21</v>
      </c>
      <c r="N35" s="5">
        <v>134.88999999999999</v>
      </c>
      <c r="O35" s="5">
        <v>31.91</v>
      </c>
      <c r="P35" s="5">
        <v>7.5</v>
      </c>
      <c r="Q35" s="5">
        <v>5.69</v>
      </c>
      <c r="R35" s="5">
        <f>Q35-[1]!Temperature("carbon dioxide","Pvap","SI",H35)+273.15</f>
        <v>0.35113886054500654</v>
      </c>
      <c r="S35" s="18">
        <v>115.4</v>
      </c>
    </row>
    <row r="36" spans="1:38" x14ac:dyDescent="0.4">
      <c r="A36" s="26">
        <v>900</v>
      </c>
      <c r="B36" s="9">
        <v>3.82</v>
      </c>
      <c r="C36" s="9">
        <v>9.74</v>
      </c>
      <c r="D36" s="9">
        <v>9.7390000000000008</v>
      </c>
      <c r="E36" s="9">
        <v>9.6199999999999992</v>
      </c>
      <c r="F36" s="9">
        <v>9.4789999999999992</v>
      </c>
      <c r="G36" s="9">
        <v>4.3220000000000001</v>
      </c>
      <c r="H36" s="9">
        <v>4.1020000000000003</v>
      </c>
      <c r="I36" s="9">
        <v>4.1020000000000003</v>
      </c>
      <c r="J36" s="12">
        <f t="shared" si="21"/>
        <v>0.21999999999999975</v>
      </c>
      <c r="K36" s="4">
        <f t="shared" si="22"/>
        <v>0.26100000000000101</v>
      </c>
      <c r="L36" s="4">
        <f t="shared" si="23"/>
        <v>0.50200000000000022</v>
      </c>
      <c r="M36" s="5">
        <v>24.72</v>
      </c>
      <c r="N36" s="5">
        <v>118.35</v>
      </c>
      <c r="O36" s="5">
        <v>27.01</v>
      </c>
      <c r="P36" s="5">
        <v>8.1</v>
      </c>
      <c r="Q36" s="5">
        <v>6.48</v>
      </c>
      <c r="R36" s="5">
        <f>Q36-[1]!Temperature("carbon dioxide","Pvap","SI",H36)+273.15</f>
        <v>0.19125393176324224</v>
      </c>
      <c r="S36" s="18">
        <v>129</v>
      </c>
    </row>
    <row r="37" spans="1:38" x14ac:dyDescent="0.4">
      <c r="A37" s="26">
        <v>1000</v>
      </c>
      <c r="B37" s="9">
        <v>3.88</v>
      </c>
      <c r="C37" s="9">
        <v>10.130000000000001</v>
      </c>
      <c r="D37" s="9">
        <v>10.131</v>
      </c>
      <c r="E37" s="9">
        <v>9.9489999999999998</v>
      </c>
      <c r="F37" s="9">
        <v>9.7629999999999999</v>
      </c>
      <c r="G37" s="9">
        <v>4.4409999999999998</v>
      </c>
      <c r="H37" s="9">
        <v>4.181</v>
      </c>
      <c r="I37" s="4">
        <f t="shared" si="20"/>
        <v>0.18200000000000038</v>
      </c>
      <c r="J37" s="12">
        <f t="shared" si="21"/>
        <v>0.25999999999999979</v>
      </c>
      <c r="K37" s="4">
        <f t="shared" si="22"/>
        <v>0.36700000000000088</v>
      </c>
      <c r="L37" s="4">
        <f t="shared" si="23"/>
        <v>0.56099999999999994</v>
      </c>
      <c r="M37" s="5">
        <v>6.65</v>
      </c>
      <c r="N37" s="5">
        <v>94.93</v>
      </c>
      <c r="O37" s="5">
        <v>23.18</v>
      </c>
      <c r="P37" s="5">
        <v>8.9600000000000009</v>
      </c>
      <c r="Q37" s="5">
        <v>7.23</v>
      </c>
      <c r="R37" s="5">
        <f>Q37-[1]!Temperature("carbon dioxide","Pvap","SI",H37)+273.15</f>
        <v>0.18777965975237976</v>
      </c>
      <c r="S37" s="18">
        <v>156.19999999999999</v>
      </c>
    </row>
    <row r="38" spans="1:38" x14ac:dyDescent="0.4">
      <c r="A38" s="26"/>
      <c r="B38" s="9"/>
      <c r="C38" s="4"/>
      <c r="D38" s="4"/>
      <c r="E38" s="4"/>
      <c r="F38" s="4"/>
      <c r="G38" s="4"/>
      <c r="H38" s="4"/>
      <c r="I38" s="4"/>
      <c r="J38" s="12"/>
      <c r="K38" s="4"/>
      <c r="L38" s="4"/>
      <c r="M38" s="5"/>
      <c r="N38" s="5"/>
      <c r="O38" s="5"/>
      <c r="P38" s="5"/>
      <c r="Q38" s="5"/>
      <c r="R38" s="5"/>
      <c r="S38" s="18"/>
    </row>
    <row r="39" spans="1:38" x14ac:dyDescent="0.4">
      <c r="A39" s="26"/>
      <c r="B39" s="9"/>
      <c r="C39" s="4"/>
      <c r="D39" s="4"/>
      <c r="E39" s="4"/>
      <c r="F39" s="4"/>
      <c r="G39" s="4"/>
      <c r="H39" s="4"/>
      <c r="I39" s="4"/>
      <c r="J39" s="12"/>
      <c r="K39" s="4"/>
      <c r="L39" s="4"/>
      <c r="M39" s="5"/>
      <c r="N39" s="5"/>
      <c r="O39" s="5"/>
      <c r="P39" s="5"/>
      <c r="Q39" s="5"/>
      <c r="R39" s="5"/>
      <c r="S39" s="18"/>
    </row>
    <row r="40" spans="1:38" x14ac:dyDescent="0.4">
      <c r="A40" s="26"/>
      <c r="B40" s="9"/>
      <c r="C40" s="4"/>
      <c r="D40" s="4"/>
      <c r="E40" s="4"/>
      <c r="F40" s="4"/>
      <c r="G40" s="4"/>
      <c r="H40" s="4"/>
      <c r="I40" s="4"/>
      <c r="J40" s="12"/>
      <c r="K40" s="4"/>
      <c r="L40" s="4"/>
      <c r="M40" s="5"/>
      <c r="N40" s="5"/>
      <c r="O40" s="5"/>
      <c r="P40" s="5"/>
      <c r="Q40" s="5"/>
      <c r="R40" s="5"/>
      <c r="S40" s="18"/>
    </row>
    <row r="41" spans="1:38" x14ac:dyDescent="0.4">
      <c r="A41" s="26"/>
      <c r="B41" s="9"/>
      <c r="C41" s="4"/>
      <c r="D41" s="4"/>
      <c r="E41" s="4"/>
      <c r="F41" s="4"/>
      <c r="G41" s="4"/>
      <c r="H41" s="4"/>
      <c r="I41" s="4"/>
      <c r="J41" s="12"/>
      <c r="K41" s="4"/>
      <c r="L41" s="4"/>
      <c r="M41" s="5"/>
      <c r="N41" s="5"/>
      <c r="O41" s="5"/>
      <c r="P41" s="5"/>
      <c r="Q41" s="5"/>
      <c r="R41" s="5"/>
      <c r="S41" s="18"/>
    </row>
    <row r="42" spans="1:38" x14ac:dyDescent="0.4">
      <c r="B42" s="9"/>
      <c r="H42" s="2"/>
      <c r="I42" s="2"/>
      <c r="J42" s="2"/>
      <c r="K42" s="2"/>
      <c r="L42" s="2"/>
      <c r="M42" s="24"/>
      <c r="N42" s="24"/>
      <c r="O42" s="24"/>
      <c r="P42" s="24"/>
      <c r="Q42" s="24"/>
      <c r="R42" s="24"/>
      <c r="S42" s="25"/>
    </row>
    <row r="43" spans="1:38" x14ac:dyDescent="0.4">
      <c r="H43" s="2"/>
      <c r="I43" s="2"/>
      <c r="J43" s="2"/>
      <c r="K43" s="2"/>
      <c r="L43" s="2"/>
      <c r="M43" s="5"/>
      <c r="N43" s="5"/>
      <c r="O43" s="5"/>
      <c r="P43" s="5"/>
      <c r="Q43" s="5"/>
      <c r="R43" s="5"/>
      <c r="S43" s="18"/>
    </row>
    <row r="44" spans="1:38" x14ac:dyDescent="0.4">
      <c r="H44" s="2"/>
      <c r="I44" s="2"/>
      <c r="J44" s="2"/>
      <c r="K44" s="2"/>
      <c r="L44" s="2"/>
      <c r="M44" s="5"/>
      <c r="N44" s="5"/>
      <c r="O44" s="5"/>
      <c r="P44" s="5"/>
      <c r="Q44" s="5"/>
      <c r="R44" s="5"/>
      <c r="S44" s="18"/>
    </row>
    <row r="45" spans="1:38" x14ac:dyDescent="0.4">
      <c r="H45" s="2"/>
      <c r="I45" s="2"/>
      <c r="J45" s="2"/>
      <c r="K45" s="2"/>
      <c r="L45" s="2"/>
      <c r="M45" s="5"/>
      <c r="N45" s="5"/>
      <c r="O45" s="5"/>
      <c r="P45" s="5"/>
      <c r="Q45" s="5"/>
      <c r="R45" s="5"/>
      <c r="S45" s="18"/>
    </row>
    <row r="46" spans="1:38" x14ac:dyDescent="0.4">
      <c r="H46" s="2"/>
      <c r="I46" s="2"/>
      <c r="J46" s="2"/>
      <c r="K46" s="2"/>
      <c r="L46" s="2"/>
      <c r="M46" s="5"/>
      <c r="N46" s="5"/>
      <c r="O46" s="5"/>
      <c r="P46" s="5"/>
      <c r="Q46" s="5"/>
      <c r="R46" s="5"/>
      <c r="S46" s="16"/>
    </row>
    <row r="47" spans="1:38" x14ac:dyDescent="0.4">
      <c r="H47" s="2"/>
      <c r="I47" s="2"/>
      <c r="J47" s="2"/>
      <c r="K47" s="2"/>
      <c r="L47" s="2"/>
      <c r="M47" s="5"/>
      <c r="N47" s="5"/>
      <c r="O47" s="5"/>
      <c r="P47" s="5"/>
      <c r="Q47" s="5"/>
      <c r="R47" s="5"/>
      <c r="S47" s="16"/>
    </row>
    <row r="48" spans="1:38" x14ac:dyDescent="0.4">
      <c r="H48" s="2"/>
      <c r="I48" s="2"/>
      <c r="J48" s="2"/>
      <c r="K48" s="2"/>
      <c r="L48" s="2"/>
      <c r="M48" s="5"/>
      <c r="N48" s="5"/>
      <c r="O48" s="5"/>
      <c r="P48" s="5"/>
      <c r="Q48" s="5"/>
      <c r="R48" s="5"/>
      <c r="S48" s="16"/>
    </row>
    <row r="49" spans="8:19" x14ac:dyDescent="0.4">
      <c r="H49" s="2"/>
      <c r="I49" s="2"/>
      <c r="J49" s="2"/>
      <c r="K49" s="2"/>
      <c r="L49" s="2"/>
      <c r="M49" s="5"/>
      <c r="N49" s="5"/>
      <c r="O49" s="5"/>
      <c r="P49" s="5"/>
      <c r="Q49" s="5"/>
      <c r="R49" s="5"/>
      <c r="S49" s="16"/>
    </row>
    <row r="50" spans="8:19" x14ac:dyDescent="0.4">
      <c r="H50" s="2"/>
      <c r="I50" s="2"/>
      <c r="J50" s="2"/>
      <c r="K50" s="2"/>
      <c r="L50" s="2"/>
      <c r="M50" s="5"/>
      <c r="N50" s="5"/>
      <c r="O50" s="5"/>
      <c r="P50" s="5"/>
      <c r="Q50" s="5"/>
      <c r="R50" s="5"/>
      <c r="S50" s="16"/>
    </row>
    <row r="51" spans="8:19" x14ac:dyDescent="0.4">
      <c r="H51" s="2"/>
      <c r="I51" s="2"/>
      <c r="J51" s="2"/>
      <c r="K51" s="2"/>
      <c r="L51" s="2"/>
      <c r="M51" s="5"/>
      <c r="N51" s="5"/>
      <c r="O51" s="5"/>
      <c r="P51" s="5"/>
      <c r="Q51" s="5"/>
      <c r="R51" s="5"/>
      <c r="S51" s="16"/>
    </row>
    <row r="52" spans="8:19" x14ac:dyDescent="0.4">
      <c r="H52" s="2"/>
      <c r="I52" s="2"/>
      <c r="J52" s="2"/>
      <c r="K52" s="2"/>
      <c r="L52" s="2"/>
      <c r="M52" s="5"/>
      <c r="N52" s="5"/>
      <c r="O52" s="5"/>
      <c r="P52" s="5"/>
      <c r="Q52" s="5"/>
      <c r="R52" s="5"/>
      <c r="S52" s="16"/>
    </row>
    <row r="53" spans="8:19" x14ac:dyDescent="0.4">
      <c r="H53" s="2"/>
      <c r="I53" s="2"/>
      <c r="J53" s="2"/>
      <c r="K53" s="2"/>
      <c r="L53" s="2"/>
      <c r="M53" s="5"/>
      <c r="N53" s="5"/>
      <c r="O53" s="5"/>
      <c r="P53" s="5"/>
      <c r="Q53" s="5"/>
      <c r="R53" s="5"/>
      <c r="S53" s="16"/>
    </row>
    <row r="54" spans="8:19" x14ac:dyDescent="0.4">
      <c r="H54" s="2"/>
      <c r="I54" s="2"/>
      <c r="J54" s="2"/>
      <c r="K54" s="2"/>
      <c r="L54" s="2"/>
      <c r="M54" s="5"/>
      <c r="N54" s="5"/>
      <c r="O54" s="5"/>
      <c r="P54" s="5"/>
      <c r="Q54" s="5"/>
      <c r="R54" s="5"/>
      <c r="S54" s="16"/>
    </row>
    <row r="55" spans="8:19" x14ac:dyDescent="0.4">
      <c r="H55" s="2"/>
      <c r="I55" s="2"/>
      <c r="J55" s="2"/>
      <c r="K55" s="2"/>
      <c r="L55" s="2"/>
      <c r="M55" s="5"/>
      <c r="N55" s="5"/>
      <c r="O55" s="5"/>
      <c r="P55" s="5"/>
      <c r="Q55" s="5"/>
      <c r="R55" s="5"/>
      <c r="S55" s="16"/>
    </row>
    <row r="56" spans="8:19" x14ac:dyDescent="0.4">
      <c r="H56" s="2"/>
      <c r="I56" s="2"/>
      <c r="J56" s="2"/>
      <c r="K56" s="2"/>
      <c r="L56" s="2"/>
      <c r="M56" s="5"/>
      <c r="N56" s="5"/>
      <c r="O56" s="5"/>
      <c r="P56" s="5"/>
      <c r="Q56" s="5"/>
      <c r="R56" s="5"/>
      <c r="S56" s="16"/>
    </row>
    <row r="57" spans="8:19" x14ac:dyDescent="0.4">
      <c r="H57" s="2"/>
      <c r="I57" s="2"/>
      <c r="J57" s="2"/>
      <c r="K57" s="2"/>
      <c r="L57" s="2"/>
      <c r="M57" s="5"/>
      <c r="N57" s="5"/>
      <c r="O57" s="5"/>
      <c r="P57" s="5"/>
      <c r="Q57" s="5"/>
      <c r="R57" s="5"/>
      <c r="S57" s="16"/>
    </row>
    <row r="58" spans="8:19" x14ac:dyDescent="0.4">
      <c r="H58" s="2"/>
      <c r="I58" s="2"/>
      <c r="J58" s="2"/>
      <c r="K58" s="2"/>
      <c r="L58" s="2"/>
      <c r="S58" s="16"/>
    </row>
    <row r="59" spans="8:19" x14ac:dyDescent="0.4">
      <c r="H59" s="2"/>
      <c r="I59" s="2"/>
      <c r="J59" s="2"/>
      <c r="K59" s="2"/>
      <c r="L59" s="2"/>
      <c r="S59" s="16"/>
    </row>
    <row r="60" spans="8:19" x14ac:dyDescent="0.4">
      <c r="H60" s="2"/>
      <c r="I60" s="2"/>
      <c r="J60" s="2"/>
      <c r="K60" s="2"/>
      <c r="L60" s="2"/>
      <c r="S60" s="16"/>
    </row>
    <row r="61" spans="8:19" x14ac:dyDescent="0.4">
      <c r="H61" s="2"/>
      <c r="I61" s="2"/>
      <c r="J61" s="2"/>
      <c r="K61" s="2"/>
      <c r="L61" s="2"/>
      <c r="S61" s="16"/>
    </row>
    <row r="62" spans="8:19" x14ac:dyDescent="0.4">
      <c r="H62" s="2"/>
      <c r="I62" s="2"/>
      <c r="J62" s="2"/>
      <c r="K62" s="2"/>
      <c r="L62" s="2"/>
      <c r="S62" s="16"/>
    </row>
    <row r="63" spans="8:19" x14ac:dyDescent="0.4">
      <c r="H63" s="2"/>
      <c r="I63" s="2"/>
      <c r="J63" s="2"/>
      <c r="K63" s="2"/>
      <c r="L63" s="2"/>
      <c r="S63" s="16"/>
    </row>
    <row r="64" spans="8:19" x14ac:dyDescent="0.4">
      <c r="H64" s="2"/>
      <c r="I64" s="2"/>
      <c r="J64" s="2"/>
      <c r="K64" s="2"/>
      <c r="L64" s="2"/>
      <c r="S64" s="16"/>
    </row>
    <row r="65" spans="8:19" x14ac:dyDescent="0.4">
      <c r="H65" s="2"/>
      <c r="I65" s="2"/>
      <c r="J65" s="2"/>
      <c r="K65" s="2"/>
      <c r="L65" s="2"/>
      <c r="S65" s="16"/>
    </row>
    <row r="66" spans="8:19" x14ac:dyDescent="0.4">
      <c r="H66" s="2"/>
      <c r="I66" s="2"/>
      <c r="J66" s="2"/>
      <c r="K66" s="2"/>
      <c r="L66" s="2"/>
      <c r="S66" s="16"/>
    </row>
    <row r="67" spans="8:19" x14ac:dyDescent="0.4">
      <c r="H67" s="2"/>
      <c r="I67" s="2"/>
      <c r="J67" s="2"/>
      <c r="K67" s="2"/>
      <c r="L67" s="2"/>
      <c r="S67" s="16"/>
    </row>
  </sheetData>
  <mergeCells count="22">
    <mergeCell ref="A1:Q1"/>
    <mergeCell ref="AE4:AK4"/>
    <mergeCell ref="B2:AL2"/>
    <mergeCell ref="B15:AL15"/>
    <mergeCell ref="B16:S16"/>
    <mergeCell ref="T16:AL16"/>
    <mergeCell ref="B17:L17"/>
    <mergeCell ref="M17:R17"/>
    <mergeCell ref="T17:AD17"/>
    <mergeCell ref="AE17:AJ17"/>
    <mergeCell ref="B4:L4"/>
    <mergeCell ref="M4:R4"/>
    <mergeCell ref="B3:S3"/>
    <mergeCell ref="T3:AL3"/>
    <mergeCell ref="T4:AD4"/>
    <mergeCell ref="B27:AL27"/>
    <mergeCell ref="T28:AL28"/>
    <mergeCell ref="T29:AD29"/>
    <mergeCell ref="AE29:AJ29"/>
    <mergeCell ref="B28:S28"/>
    <mergeCell ref="B29:L29"/>
    <mergeCell ref="M29:R29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9CB6E-1B8D-4073-8E2C-A14254F907FE}">
  <dimension ref="A1:G8"/>
  <sheetViews>
    <sheetView workbookViewId="0">
      <selection activeCell="D12" sqref="D12"/>
    </sheetView>
  </sheetViews>
  <sheetFormatPr defaultRowHeight="13.9" x14ac:dyDescent="0.4"/>
  <sheetData>
    <row r="1" spans="1:7" x14ac:dyDescent="0.4">
      <c r="B1" s="28">
        <v>4000</v>
      </c>
      <c r="C1" s="28"/>
      <c r="D1" s="28">
        <v>5000</v>
      </c>
      <c r="E1" s="28"/>
      <c r="F1" s="28">
        <v>6000</v>
      </c>
      <c r="G1" s="28"/>
    </row>
    <row r="2" spans="1:7" x14ac:dyDescent="0.4">
      <c r="A2" t="s">
        <v>4</v>
      </c>
      <c r="B2" t="s">
        <v>3</v>
      </c>
      <c r="C2" t="s">
        <v>28</v>
      </c>
      <c r="D2" t="s">
        <v>3</v>
      </c>
      <c r="E2" t="s">
        <v>28</v>
      </c>
      <c r="F2" t="s">
        <v>3</v>
      </c>
      <c r="G2" t="s">
        <v>28</v>
      </c>
    </row>
    <row r="3" spans="1:7" x14ac:dyDescent="0.4">
      <c r="A3">
        <v>400</v>
      </c>
      <c r="B3">
        <v>1.6140000000000001</v>
      </c>
      <c r="C3">
        <v>3007.16</v>
      </c>
      <c r="D3">
        <v>1.472</v>
      </c>
      <c r="E3">
        <v>3555.44</v>
      </c>
      <c r="F3">
        <v>1.3340000000000001</v>
      </c>
      <c r="G3">
        <v>4003.4</v>
      </c>
    </row>
    <row r="4" spans="1:7" x14ac:dyDescent="0.4">
      <c r="A4">
        <v>500</v>
      </c>
      <c r="B4">
        <v>1.962</v>
      </c>
      <c r="C4">
        <v>3993.59</v>
      </c>
      <c r="D4">
        <v>1.71</v>
      </c>
      <c r="E4">
        <v>4482.12</v>
      </c>
      <c r="F4">
        <v>1.4670000000000001</v>
      </c>
      <c r="G4">
        <v>4681.75</v>
      </c>
    </row>
    <row r="5" spans="1:7" x14ac:dyDescent="0.4">
      <c r="A5">
        <v>600</v>
      </c>
      <c r="B5">
        <v>1.98</v>
      </c>
      <c r="C5">
        <v>4030.83</v>
      </c>
      <c r="D5">
        <v>1.7050000000000001</v>
      </c>
      <c r="E5">
        <v>4470.9399999999996</v>
      </c>
      <c r="F5">
        <v>1.4750000000000001</v>
      </c>
      <c r="G5">
        <v>4680.43</v>
      </c>
    </row>
    <row r="6" spans="1:7" x14ac:dyDescent="0.4">
      <c r="A6">
        <v>700</v>
      </c>
      <c r="B6">
        <v>1.9630000000000001</v>
      </c>
      <c r="C6">
        <v>3995.45</v>
      </c>
      <c r="D6">
        <v>1.6950000000000001</v>
      </c>
      <c r="E6">
        <v>4445.21</v>
      </c>
      <c r="F6">
        <v>1.464</v>
      </c>
      <c r="G6">
        <v>4646.3100000000004</v>
      </c>
    </row>
    <row r="7" spans="1:7" x14ac:dyDescent="0.4">
      <c r="A7">
        <v>800</v>
      </c>
      <c r="B7">
        <v>1.9350000000000001</v>
      </c>
      <c r="C7">
        <v>4004.95</v>
      </c>
      <c r="D7">
        <v>1.696</v>
      </c>
      <c r="E7">
        <v>4388.3599999999997</v>
      </c>
      <c r="F7">
        <v>1.458</v>
      </c>
      <c r="G7">
        <v>4626.3900000000003</v>
      </c>
    </row>
    <row r="8" spans="1:7" x14ac:dyDescent="0.4">
      <c r="A8">
        <v>900</v>
      </c>
      <c r="B8">
        <v>1.9370000000000001</v>
      </c>
      <c r="C8">
        <v>3809.51</v>
      </c>
      <c r="D8">
        <v>1.665</v>
      </c>
      <c r="E8">
        <v>4366.04</v>
      </c>
      <c r="F8">
        <v>1.464</v>
      </c>
      <c r="G8">
        <v>4696.42</v>
      </c>
    </row>
  </sheetData>
  <mergeCells count="3">
    <mergeCell ref="B1:C1"/>
    <mergeCell ref="D1:E1"/>
    <mergeCell ref="F1:G1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5389E-1B61-41D4-BE94-A1F000B27880}">
  <dimension ref="A1:T10"/>
  <sheetViews>
    <sheetView tabSelected="1" workbookViewId="0">
      <selection activeCell="A3" sqref="A3:A9"/>
    </sheetView>
  </sheetViews>
  <sheetFormatPr defaultRowHeight="13.9" x14ac:dyDescent="0.4"/>
  <sheetData>
    <row r="1" spans="1:20" x14ac:dyDescent="0.4">
      <c r="B1" s="40" t="s">
        <v>29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</row>
    <row r="2" spans="1:20" x14ac:dyDescent="0.4">
      <c r="B2" s="32" t="s">
        <v>16</v>
      </c>
      <c r="C2" s="33"/>
      <c r="D2" s="33"/>
      <c r="E2" s="33"/>
      <c r="F2" s="33"/>
      <c r="G2" s="33"/>
      <c r="H2" s="33"/>
      <c r="I2" s="33"/>
      <c r="J2" s="33"/>
      <c r="K2" s="33"/>
      <c r="L2" s="34"/>
      <c r="M2" s="35" t="s">
        <v>17</v>
      </c>
      <c r="N2" s="36"/>
      <c r="O2" s="36"/>
      <c r="P2" s="36"/>
      <c r="Q2" s="36"/>
      <c r="R2" s="36"/>
      <c r="S2" s="37"/>
      <c r="T2" s="18" t="s">
        <v>26</v>
      </c>
    </row>
    <row r="3" spans="1:20" x14ac:dyDescent="0.4">
      <c r="A3" t="s">
        <v>4</v>
      </c>
      <c r="B3" s="6" t="s">
        <v>12</v>
      </c>
      <c r="C3" s="6" t="s">
        <v>19</v>
      </c>
      <c r="D3" s="6" t="s">
        <v>11</v>
      </c>
      <c r="E3" s="6" t="s">
        <v>13</v>
      </c>
      <c r="F3" s="6" t="s">
        <v>20</v>
      </c>
      <c r="G3" s="6" t="s">
        <v>14</v>
      </c>
      <c r="H3" s="7" t="s">
        <v>15</v>
      </c>
      <c r="I3" s="7" t="s">
        <v>22</v>
      </c>
      <c r="J3" s="7" t="s">
        <v>23</v>
      </c>
      <c r="K3" s="7" t="s">
        <v>25</v>
      </c>
      <c r="L3" s="7" t="s">
        <v>24</v>
      </c>
      <c r="M3" s="5" t="s">
        <v>12</v>
      </c>
      <c r="N3" s="5" t="s">
        <v>19</v>
      </c>
      <c r="O3" s="5" t="s">
        <v>20</v>
      </c>
      <c r="P3" s="5" t="s">
        <v>18</v>
      </c>
      <c r="Q3" s="5" t="s">
        <v>15</v>
      </c>
      <c r="R3" s="5" t="s">
        <v>21</v>
      </c>
      <c r="S3" s="5" t="s">
        <v>27</v>
      </c>
      <c r="T3" s="18"/>
    </row>
    <row r="4" spans="1:20" x14ac:dyDescent="0.4">
      <c r="A4">
        <v>400</v>
      </c>
    </row>
    <row r="5" spans="1:20" x14ac:dyDescent="0.4">
      <c r="A5">
        <v>500</v>
      </c>
    </row>
    <row r="6" spans="1:20" x14ac:dyDescent="0.4">
      <c r="A6">
        <v>600</v>
      </c>
    </row>
    <row r="7" spans="1:20" x14ac:dyDescent="0.4">
      <c r="A7">
        <v>700</v>
      </c>
    </row>
    <row r="8" spans="1:20" x14ac:dyDescent="0.4">
      <c r="A8">
        <v>800</v>
      </c>
    </row>
    <row r="9" spans="1:20" x14ac:dyDescent="0.4">
      <c r="A9">
        <v>900</v>
      </c>
    </row>
    <row r="10" spans="1:20" x14ac:dyDescent="0.4">
      <c r="A10">
        <v>1000</v>
      </c>
    </row>
  </sheetData>
  <mergeCells count="3">
    <mergeCell ref="B2:L2"/>
    <mergeCell ref="M2:S2"/>
    <mergeCell ref="B1:T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3</vt:lpstr>
      <vt:lpstr>4</vt:lpstr>
      <vt:lpstr>5&amp;6</vt:lpstr>
      <vt:lpstr>7</vt:lpstr>
      <vt:lpstr>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</dc:creator>
  <cp:lastModifiedBy>qhr</cp:lastModifiedBy>
  <dcterms:created xsi:type="dcterms:W3CDTF">2015-06-05T18:19:34Z</dcterms:created>
  <dcterms:modified xsi:type="dcterms:W3CDTF">2019-12-24T08:32:21Z</dcterms:modified>
</cp:coreProperties>
</file>