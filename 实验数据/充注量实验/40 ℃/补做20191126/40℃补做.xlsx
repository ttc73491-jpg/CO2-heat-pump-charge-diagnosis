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73666be62db9b3f/哈哈的文件/科研相关/项目相关/东风项目/实验相关内容/第二阶段实验20191021/充注量实验/40 ℃/补做20191126/"/>
    </mc:Choice>
  </mc:AlternateContent>
  <xr:revisionPtr revIDLastSave="221" documentId="13_ncr:1_{8A7E1B34-7C28-402F-895F-8277B7E06B38}" xr6:coauthVersionLast="47" xr6:coauthVersionMax="47" xr10:uidLastSave="{15191377-3F3F-4F49-93EF-802E67D6547E}"/>
  <bookViews>
    <workbookView xWindow="-110" yWindow="-110" windowWidth="19420" windowHeight="11500" xr2:uid="{00000000-000D-0000-FFFF-FFFF00000000}"/>
  </bookViews>
  <sheets>
    <sheet name="Sheet2" sheetId="2" r:id="rId1"/>
    <sheet name="压降分析" sheetId="7" r:id="rId2"/>
    <sheet name="Sheet3" sheetId="8" r:id="rId3"/>
  </sheets>
  <externalReferences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6" i="2" l="1" a="1"/>
  <c r="E56" i="2" s="1"/>
  <c r="E53" i="2"/>
  <c r="G53" i="2"/>
  <c r="H53" i="2"/>
  <c r="I53" i="2"/>
  <c r="J53" i="2"/>
  <c r="K53" i="2"/>
  <c r="L53" i="2"/>
  <c r="M53" i="2"/>
  <c r="N53" i="2"/>
  <c r="O53" i="2"/>
  <c r="P53" i="2"/>
  <c r="N43" i="2"/>
  <c r="P41" i="2"/>
  <c r="P43" i="2" s="1"/>
  <c r="O41" i="2"/>
  <c r="O43" i="2" s="1"/>
  <c r="N41" i="2"/>
  <c r="M41" i="2"/>
  <c r="M43" i="2" s="1"/>
  <c r="L41" i="2"/>
  <c r="L43" i="2" s="1"/>
  <c r="D56" i="2" a="1"/>
  <c r="T56" i="2" a="1"/>
  <c r="AB56" i="2" a="1"/>
  <c r="U56" i="2" a="1"/>
  <c r="AF56" i="2" a="1"/>
  <c r="Q56" i="2" a="1"/>
  <c r="S56" i="2" a="1"/>
  <c r="AC56" i="2" a="1"/>
  <c r="Z56" i="2" a="1"/>
  <c r="V56" i="2" a="1"/>
  <c r="AE56" i="2" a="1"/>
  <c r="X56" i="2" a="1"/>
  <c r="F56" i="2" a="1"/>
  <c r="AD56" i="2" a="1"/>
  <c r="AG56" i="2" a="1"/>
  <c r="AA56" i="2" a="1"/>
  <c r="W56" i="2" a="1"/>
  <c r="Y56" i="2" a="1"/>
  <c r="R56" i="2" a="1"/>
  <c r="C56" i="2" a="1"/>
  <c r="D59" i="2" a="1"/>
  <c r="O59" i="2" a="1"/>
  <c r="E59" i="2" a="1"/>
  <c r="N59" i="2" a="1"/>
  <c r="J59" i="2" a="1"/>
  <c r="J60" i="2" a="1"/>
  <c r="F59" i="2" a="1"/>
  <c r="K60" i="2" a="1"/>
  <c r="G60" i="2" a="1"/>
  <c r="C60" i="2" a="1"/>
  <c r="H59" i="2" a="1"/>
  <c r="M59" i="2" a="1"/>
  <c r="I60" i="2" a="1"/>
  <c r="P59" i="2" a="1"/>
  <c r="F60" i="2" a="1"/>
  <c r="G59" i="2" a="1"/>
  <c r="N60" i="2" a="1"/>
  <c r="K59" i="2" a="1"/>
  <c r="C59" i="2" a="1"/>
  <c r="D60" i="2" a="1"/>
  <c r="L59" i="2" a="1"/>
  <c r="H60" i="2" a="1"/>
  <c r="I59" i="2" a="1"/>
  <c r="L60" i="2" a="1"/>
  <c r="P60" i="2" a="1"/>
  <c r="E60" i="2" a="1"/>
  <c r="M60" i="2" a="1"/>
  <c r="O60" i="2" a="1"/>
  <c r="M56" i="2" a="1"/>
  <c r="M51" i="2" a="1"/>
  <c r="AE39" i="2" a="1"/>
  <c r="S51" i="2" a="1"/>
  <c r="AJ39" i="2" a="1"/>
  <c r="X51" i="2" a="1"/>
  <c r="F39" i="2" a="1"/>
  <c r="I56" i="2" a="1"/>
  <c r="K52" i="2" a="1"/>
  <c r="C52" i="2" a="1"/>
  <c r="AL39" i="2" a="1"/>
  <c r="AO51" i="2" a="1"/>
  <c r="AQ39" i="2" a="1"/>
  <c r="O39" i="2" a="1"/>
  <c r="AC51" i="2" a="1"/>
  <c r="AI51" i="2" a="1"/>
  <c r="S39" i="2" a="1"/>
  <c r="R39" i="2" a="1"/>
  <c r="I52" i="2" a="1"/>
  <c r="D52" i="2" a="1"/>
  <c r="L39" i="2" a="1"/>
  <c r="J56" i="2" a="1"/>
  <c r="L52" i="2" a="1"/>
  <c r="AJ51" i="2" a="1"/>
  <c r="V39" i="2" a="1"/>
  <c r="AG51" i="2" a="1"/>
  <c r="AI39" i="2" a="1"/>
  <c r="P39" i="2" a="1"/>
  <c r="AO39" i="2" a="1"/>
  <c r="I51" i="2" a="1"/>
  <c r="AK51" i="2" a="1"/>
  <c r="AC39" i="2" a="1"/>
  <c r="N56" i="2" a="1"/>
  <c r="N51" i="2" a="1"/>
  <c r="T51" i="2" a="1"/>
  <c r="AH39" i="2" a="1"/>
  <c r="Y51" i="2" a="1"/>
  <c r="AA39" i="2" a="1"/>
  <c r="J39" i="2" a="1"/>
  <c r="D39" i="2" a="1"/>
  <c r="H52" i="2" a="1"/>
  <c r="Q39" i="2" a="1"/>
  <c r="R51" i="2" a="1"/>
  <c r="I39" i="2" a="1"/>
  <c r="AF51" i="2" a="1"/>
  <c r="P56" i="2" a="1"/>
  <c r="M52" i="2" a="1"/>
  <c r="F51" i="2" a="1"/>
  <c r="V51" i="2" a="1"/>
  <c r="Q51" i="2" a="1"/>
  <c r="AG39" i="2" a="1"/>
  <c r="N39" i="2" a="1"/>
  <c r="N52" i="2" a="1"/>
  <c r="H39" i="2" a="1"/>
  <c r="G52" i="2" a="1"/>
  <c r="K51" i="2" a="1"/>
  <c r="E52" i="2" a="1"/>
  <c r="AB51" i="2" a="1"/>
  <c r="K56" i="2" a="1"/>
  <c r="G51" i="2" a="1"/>
  <c r="AM39" i="2" a="1"/>
  <c r="X39" i="2" a="1"/>
  <c r="C51" i="2" a="1"/>
  <c r="AM51" i="2" a="1"/>
  <c r="G39" i="2" a="1"/>
  <c r="J51" i="2" a="1"/>
  <c r="AD39" i="2" a="1"/>
  <c r="E51" i="2" a="1"/>
  <c r="AN51" i="2" a="1"/>
  <c r="L56" i="2" a="1"/>
  <c r="O51" i="2" a="1"/>
  <c r="W39" i="2" a="1"/>
  <c r="D51" i="2" a="1"/>
  <c r="AB39" i="2" a="1"/>
  <c r="AE51" i="2" a="1"/>
  <c r="C39" i="2" a="1"/>
  <c r="AN39" i="2" a="1"/>
  <c r="P52" i="2" a="1"/>
  <c r="O52" i="2" a="1"/>
  <c r="AL51" i="2" a="1"/>
  <c r="AQ51" i="2" a="1"/>
  <c r="H56" i="2" a="1"/>
  <c r="O56" i="2" a="1"/>
  <c r="H51" i="2" a="1"/>
  <c r="W51" i="2" a="1"/>
  <c r="U39" i="2" a="1"/>
  <c r="T39" i="2" a="1"/>
  <c r="Z39" i="2" a="1"/>
  <c r="U51" i="2" a="1"/>
  <c r="M39" i="2" a="1"/>
  <c r="K39" i="2" a="1"/>
  <c r="E39" i="2" a="1"/>
  <c r="AK39" i="2" a="1"/>
  <c r="L51" i="2" a="1"/>
  <c r="G56" i="2" a="1"/>
  <c r="P51" i="2" a="1"/>
  <c r="AD51" i="2" a="1"/>
  <c r="Y39" i="2" a="1"/>
  <c r="AP39" i="2" a="1"/>
  <c r="AF39" i="2" a="1"/>
  <c r="AP51" i="2" a="1"/>
  <c r="AH51" i="2" a="1"/>
  <c r="Z51" i="2" a="1"/>
  <c r="F52" i="2" a="1"/>
  <c r="J52" i="2" a="1"/>
  <c r="AA51" i="2" a="1"/>
  <c r="E52" i="2" l="1"/>
  <c r="E55" i="2" s="1"/>
  <c r="E51" i="2"/>
  <c r="E54" i="2" s="1"/>
  <c r="E57" i="2" s="1"/>
  <c r="O56" i="2"/>
  <c r="L56" i="2"/>
  <c r="K56" i="2"/>
  <c r="P56" i="2"/>
  <c r="N56" i="2"/>
  <c r="J56" i="2"/>
  <c r="I56" i="2"/>
  <c r="M56" i="2"/>
  <c r="H56" i="2"/>
  <c r="G56" i="2"/>
  <c r="O52" i="2"/>
  <c r="G52" i="2"/>
  <c r="I51" i="2"/>
  <c r="I54" i="2" s="1"/>
  <c r="N52" i="2"/>
  <c r="P51" i="2"/>
  <c r="P54" i="2" s="1"/>
  <c r="H51" i="2"/>
  <c r="H54" i="2" s="1"/>
  <c r="O51" i="2"/>
  <c r="O54" i="2" s="1"/>
  <c r="G51" i="2"/>
  <c r="G54" i="2" s="1"/>
  <c r="M52" i="2"/>
  <c r="N51" i="2"/>
  <c r="N54" i="2" s="1"/>
  <c r="L52" i="2"/>
  <c r="K52" i="2"/>
  <c r="M51" i="2"/>
  <c r="M54" i="2" s="1"/>
  <c r="L51" i="2"/>
  <c r="L54" i="2" s="1"/>
  <c r="J52" i="2"/>
  <c r="I52" i="2"/>
  <c r="K51" i="2"/>
  <c r="K54" i="2" s="1"/>
  <c r="P52" i="2"/>
  <c r="H52" i="2"/>
  <c r="H55" i="2" s="1"/>
  <c r="J51" i="2"/>
  <c r="J54" i="2" s="1"/>
  <c r="F52" i="2"/>
  <c r="D52" i="2"/>
  <c r="AF39" i="2"/>
  <c r="Z39" i="2"/>
  <c r="AE51" i="2"/>
  <c r="AM51" i="2"/>
  <c r="AG39" i="2"/>
  <c r="AA39" i="2"/>
  <c r="AI39" i="2"/>
  <c r="AQ39" i="2"/>
  <c r="X51" i="2"/>
  <c r="AF51" i="2"/>
  <c r="AN51" i="2"/>
  <c r="AL51" i="2"/>
  <c r="R39" i="2"/>
  <c r="S39" i="2"/>
  <c r="U51" i="2"/>
  <c r="AO39" i="2"/>
  <c r="AP39" i="2"/>
  <c r="T39" i="2"/>
  <c r="AB39" i="2"/>
  <c r="C51" i="2"/>
  <c r="Q51" i="2"/>
  <c r="Y51" i="2"/>
  <c r="AG51" i="2"/>
  <c r="AO51" i="2"/>
  <c r="AJ39" i="2"/>
  <c r="AC39" i="2"/>
  <c r="AK39" i="2"/>
  <c r="R51" i="2"/>
  <c r="Z51" i="2"/>
  <c r="AH51" i="2"/>
  <c r="AP51" i="2"/>
  <c r="AC51" i="2"/>
  <c r="Y39" i="2"/>
  <c r="U39" i="2"/>
  <c r="D51" i="2"/>
  <c r="X39" i="2"/>
  <c r="V51" i="2"/>
  <c r="AH39" i="2"/>
  <c r="V39" i="2"/>
  <c r="AL39" i="2"/>
  <c r="S51" i="2"/>
  <c r="AA51" i="2"/>
  <c r="AQ51" i="2"/>
  <c r="AK51" i="2"/>
  <c r="Q39" i="2"/>
  <c r="AD39" i="2"/>
  <c r="AI51" i="2"/>
  <c r="AN39" i="2"/>
  <c r="AD51" i="2"/>
  <c r="W51" i="2"/>
  <c r="W39" i="2"/>
  <c r="AM39" i="2"/>
  <c r="F51" i="2"/>
  <c r="T51" i="2"/>
  <c r="AJ51" i="2"/>
  <c r="C52" i="2"/>
  <c r="AE39" i="2"/>
  <c r="AB51" i="2"/>
  <c r="H39" i="2"/>
  <c r="H50" i="2" s="1"/>
  <c r="P39" i="2"/>
  <c r="P50" i="2" s="1"/>
  <c r="G39" i="2"/>
  <c r="G50" i="2" s="1"/>
  <c r="F39" i="2"/>
  <c r="I39" i="2"/>
  <c r="I50" i="2" s="1"/>
  <c r="N39" i="2"/>
  <c r="N50" i="2" s="1"/>
  <c r="M39" i="2"/>
  <c r="E39" i="2"/>
  <c r="E50" i="2" s="1"/>
  <c r="K39" i="2"/>
  <c r="K50" i="2" s="1"/>
  <c r="J39" i="2"/>
  <c r="J50" i="2" s="1"/>
  <c r="O39" i="2"/>
  <c r="L39" i="2"/>
  <c r="D39" i="2"/>
  <c r="C39" i="2"/>
  <c r="R56" i="2"/>
  <c r="Y56" i="2"/>
  <c r="W56" i="2"/>
  <c r="AA56" i="2"/>
  <c r="AG56" i="2"/>
  <c r="AD56" i="2"/>
  <c r="F56" i="2"/>
  <c r="X56" i="2"/>
  <c r="AE56" i="2"/>
  <c r="V56" i="2"/>
  <c r="Z56" i="2"/>
  <c r="AC56" i="2"/>
  <c r="S56" i="2"/>
  <c r="Q56" i="2"/>
  <c r="AF56" i="2"/>
  <c r="U56" i="2"/>
  <c r="AB56" i="2"/>
  <c r="T56" i="2"/>
  <c r="D56" i="2"/>
  <c r="C56" i="2"/>
  <c r="C60" i="2"/>
  <c r="G60" i="2"/>
  <c r="K60" i="2"/>
  <c r="N60" i="2"/>
  <c r="F60" i="2"/>
  <c r="J60" i="2"/>
  <c r="O60" i="2"/>
  <c r="M60" i="2"/>
  <c r="I60" i="2"/>
  <c r="E60" i="2"/>
  <c r="P60" i="2"/>
  <c r="L60" i="2"/>
  <c r="H60" i="2"/>
  <c r="D60" i="2"/>
  <c r="C59" i="2"/>
  <c r="K59" i="2"/>
  <c r="G59" i="2"/>
  <c r="F59" i="2"/>
  <c r="J59" i="2"/>
  <c r="P59" i="2"/>
  <c r="N59" i="2"/>
  <c r="E59" i="2"/>
  <c r="O59" i="2"/>
  <c r="M59" i="2"/>
  <c r="I59" i="2"/>
  <c r="L59" i="2"/>
  <c r="H59" i="2"/>
  <c r="D59" i="2"/>
  <c r="N44" i="2"/>
  <c r="I55" i="2" l="1"/>
  <c r="K55" i="2"/>
  <c r="O44" i="2"/>
  <c r="O50" i="2"/>
  <c r="P44" i="2"/>
  <c r="J55" i="2"/>
  <c r="L44" i="2"/>
  <c r="L50" i="2"/>
  <c r="M44" i="2"/>
  <c r="M50" i="2"/>
  <c r="M55" i="2"/>
  <c r="M57" i="2"/>
  <c r="H57" i="2"/>
  <c r="J57" i="2"/>
  <c r="N55" i="2"/>
  <c r="N57" i="2" s="1"/>
  <c r="I57" i="2"/>
  <c r="P55" i="2"/>
  <c r="P57" i="2" s="1"/>
  <c r="G55" i="2"/>
  <c r="G57" i="2" s="1"/>
  <c r="L55" i="2"/>
  <c r="L57" i="2" s="1"/>
  <c r="K57" i="2"/>
  <c r="O55" i="2"/>
  <c r="O57" i="2" s="1"/>
  <c r="K41" i="2"/>
  <c r="K43" i="2" s="1"/>
  <c r="D41" i="2"/>
  <c r="D43" i="2" s="1"/>
  <c r="E41" i="2"/>
  <c r="E43" i="2" s="1"/>
  <c r="F41" i="2"/>
  <c r="F43" i="2" s="1"/>
  <c r="G41" i="2"/>
  <c r="G43" i="2" s="1"/>
  <c r="H41" i="2"/>
  <c r="H43" i="2" s="1"/>
  <c r="J41" i="2"/>
  <c r="J43" i="2" s="1"/>
  <c r="AQ43" i="2"/>
  <c r="D53" i="2"/>
  <c r="F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C53" i="2"/>
  <c r="C41" i="2"/>
  <c r="V52" i="2"/>
  <c r="S52" i="2"/>
  <c r="AL52" i="2"/>
  <c r="AI52" i="2"/>
  <c r="AQ52" i="2"/>
  <c r="Y52" i="2"/>
  <c r="AH52" i="2"/>
  <c r="AK52" i="2"/>
  <c r="AP56" i="2"/>
  <c r="AO56" i="2"/>
  <c r="AM52" i="2"/>
  <c r="AB52" i="2"/>
  <c r="U52" i="2"/>
  <c r="AE52" i="2"/>
  <c r="AD52" i="2"/>
  <c r="AK56" i="2"/>
  <c r="AO52" i="2"/>
  <c r="AG52" i="2"/>
  <c r="X52" i="2"/>
  <c r="R52" i="2"/>
  <c r="AJ52" i="2"/>
  <c r="AN52" i="2"/>
  <c r="AC52" i="2"/>
  <c r="Q52" i="2"/>
  <c r="AH56" i="2"/>
  <c r="AP52" i="2"/>
  <c r="AA52" i="2"/>
  <c r="W52" i="2"/>
  <c r="AN56" i="2"/>
  <c r="AM56" i="2"/>
  <c r="T52" i="2"/>
  <c r="AQ56" i="2"/>
  <c r="Z52" i="2"/>
  <c r="AF52" i="2"/>
  <c r="AL56" i="2"/>
  <c r="AI56" i="2"/>
  <c r="AJ56" i="2"/>
  <c r="D44" i="2" l="1"/>
  <c r="H44" i="2"/>
  <c r="G44" i="2"/>
  <c r="F44" i="2"/>
  <c r="E44" i="2"/>
  <c r="J44" i="2"/>
  <c r="K44" i="2"/>
  <c r="AQ44" i="2"/>
  <c r="AQ50" i="2"/>
  <c r="AJ55" i="2"/>
  <c r="AB55" i="2"/>
  <c r="AQ55" i="2"/>
  <c r="AI55" i="2"/>
  <c r="AA55" i="2"/>
  <c r="S55" i="2"/>
  <c r="AQ54" i="2"/>
  <c r="R55" i="2"/>
  <c r="AO55" i="2"/>
  <c r="AG55" i="2"/>
  <c r="Y55" i="2"/>
  <c r="Q55" i="2"/>
  <c r="Z55" i="2"/>
  <c r="AN55" i="2"/>
  <c r="AF55" i="2"/>
  <c r="X55" i="2"/>
  <c r="AP55" i="2"/>
  <c r="AM55" i="2"/>
  <c r="AE55" i="2"/>
  <c r="W55" i="2"/>
  <c r="F55" i="2"/>
  <c r="AH55" i="2"/>
  <c r="AL55" i="2"/>
  <c r="AD55" i="2"/>
  <c r="V55" i="2"/>
  <c r="AK55" i="2"/>
  <c r="AC55" i="2"/>
  <c r="U55" i="2"/>
  <c r="D55" i="2"/>
  <c r="T55" i="2"/>
  <c r="Q41" i="2"/>
  <c r="Q43" i="2" s="1"/>
  <c r="R41" i="2"/>
  <c r="R43" i="2" s="1"/>
  <c r="S41" i="2"/>
  <c r="S43" i="2" s="1"/>
  <c r="T41" i="2"/>
  <c r="T43" i="2" s="1"/>
  <c r="U41" i="2"/>
  <c r="U43" i="2" s="1"/>
  <c r="V41" i="2"/>
  <c r="V43" i="2" s="1"/>
  <c r="W41" i="2"/>
  <c r="W43" i="2" s="1"/>
  <c r="X41" i="2"/>
  <c r="X43" i="2" s="1"/>
  <c r="Y41" i="2"/>
  <c r="Y43" i="2" s="1"/>
  <c r="Z41" i="2"/>
  <c r="Z43" i="2" s="1"/>
  <c r="AA41" i="2"/>
  <c r="AA43" i="2" s="1"/>
  <c r="AB41" i="2"/>
  <c r="AB43" i="2" s="1"/>
  <c r="AC41" i="2"/>
  <c r="AD41" i="2"/>
  <c r="AD43" i="2" s="1"/>
  <c r="AE41" i="2"/>
  <c r="AE43" i="2" s="1"/>
  <c r="AF41" i="2"/>
  <c r="AF43" i="2" s="1"/>
  <c r="AG41" i="2"/>
  <c r="AG43" i="2" s="1"/>
  <c r="AH41" i="2"/>
  <c r="AH43" i="2" s="1"/>
  <c r="AI41" i="2"/>
  <c r="AI43" i="2" s="1"/>
  <c r="AJ41" i="2"/>
  <c r="AJ43" i="2" s="1"/>
  <c r="AK41" i="2"/>
  <c r="AK43" i="2" s="1"/>
  <c r="AL41" i="2"/>
  <c r="AL43" i="2" s="1"/>
  <c r="AM41" i="2"/>
  <c r="AM43" i="2" s="1"/>
  <c r="AN41" i="2"/>
  <c r="AN44" i="2" s="1"/>
  <c r="AO41" i="2"/>
  <c r="AO43" i="2" s="1"/>
  <c r="AP41" i="2"/>
  <c r="AP43" i="2" s="1"/>
  <c r="T54" i="2" l="1"/>
  <c r="V54" i="2"/>
  <c r="V57" i="2" s="1"/>
  <c r="AJ44" i="2"/>
  <c r="AH54" i="2"/>
  <c r="AH57" i="2" s="1"/>
  <c r="D54" i="2"/>
  <c r="D57" i="2" s="1"/>
  <c r="AD54" i="2"/>
  <c r="AD57" i="2" s="1"/>
  <c r="W44" i="2"/>
  <c r="Q44" i="2"/>
  <c r="AH44" i="2"/>
  <c r="T44" i="2"/>
  <c r="R44" i="2"/>
  <c r="AK54" i="2"/>
  <c r="AK57" i="2" s="1"/>
  <c r="AL54" i="2"/>
  <c r="AL57" i="2" s="1"/>
  <c r="AO54" i="2"/>
  <c r="AO57" i="2" s="1"/>
  <c r="AE44" i="2"/>
  <c r="Y44" i="2"/>
  <c r="AP44" i="2"/>
  <c r="X54" i="2"/>
  <c r="X57" i="2" s="1"/>
  <c r="AM44" i="2"/>
  <c r="AG44" i="2"/>
  <c r="AB44" i="2"/>
  <c r="U44" i="2"/>
  <c r="AC54" i="2"/>
  <c r="AC57" i="2" s="1"/>
  <c r="AC43" i="2"/>
  <c r="V44" i="2"/>
  <c r="AO44" i="2"/>
  <c r="S44" i="2"/>
  <c r="AC44" i="2"/>
  <c r="AD44" i="2"/>
  <c r="X44" i="2"/>
  <c r="AA44" i="2"/>
  <c r="AK44" i="2"/>
  <c r="Z44" i="2"/>
  <c r="AN54" i="2"/>
  <c r="AN57" i="2" s="1"/>
  <c r="AN43" i="2"/>
  <c r="AB54" i="2"/>
  <c r="AB57" i="2" s="1"/>
  <c r="AL44" i="2"/>
  <c r="AF44" i="2"/>
  <c r="AI44" i="2"/>
  <c r="F54" i="2"/>
  <c r="F57" i="2" s="1"/>
  <c r="AK50" i="2"/>
  <c r="AN50" i="2"/>
  <c r="AC50" i="2"/>
  <c r="AI50" i="2"/>
  <c r="AF50" i="2"/>
  <c r="AM50" i="2"/>
  <c r="U50" i="2"/>
  <c r="Y50" i="2"/>
  <c r="AA50" i="2"/>
  <c r="X50" i="2"/>
  <c r="AE50" i="2"/>
  <c r="AL50" i="2"/>
  <c r="R50" i="2"/>
  <c r="Q50" i="2"/>
  <c r="S50" i="2"/>
  <c r="W50" i="2"/>
  <c r="AD50" i="2"/>
  <c r="D50" i="2"/>
  <c r="V50" i="2"/>
  <c r="AH50" i="2"/>
  <c r="AO50" i="2"/>
  <c r="F50" i="2"/>
  <c r="AJ50" i="2"/>
  <c r="AP50" i="2"/>
  <c r="Z50" i="2"/>
  <c r="AG50" i="2"/>
  <c r="AB50" i="2"/>
  <c r="T50" i="2"/>
  <c r="AF54" i="2"/>
  <c r="AF57" i="2" s="1"/>
  <c r="AP54" i="2"/>
  <c r="AP57" i="2" s="1"/>
  <c r="AA54" i="2"/>
  <c r="AA57" i="2" s="1"/>
  <c r="R54" i="2"/>
  <c r="R57" i="2" s="1"/>
  <c r="W54" i="2"/>
  <c r="W57" i="2" s="1"/>
  <c r="Z54" i="2"/>
  <c r="Z57" i="2" s="1"/>
  <c r="AJ54" i="2"/>
  <c r="AJ57" i="2" s="1"/>
  <c r="AI54" i="2"/>
  <c r="AI57" i="2" s="1"/>
  <c r="AE54" i="2"/>
  <c r="AE57" i="2" s="1"/>
  <c r="Q54" i="2"/>
  <c r="Q57" i="2" s="1"/>
  <c r="S54" i="2"/>
  <c r="S57" i="2" s="1"/>
  <c r="U54" i="2"/>
  <c r="U57" i="2" s="1"/>
  <c r="AM54" i="2"/>
  <c r="AM57" i="2" s="1"/>
  <c r="Y54" i="2"/>
  <c r="Y57" i="2" s="1"/>
  <c r="AG54" i="2"/>
  <c r="AG57" i="2" s="1"/>
  <c r="T57" i="2"/>
  <c r="AQ57" i="2"/>
  <c r="C44" i="2"/>
  <c r="C50" i="2"/>
  <c r="C43" i="2" l="1"/>
  <c r="C54" i="2"/>
  <c r="C55" i="2"/>
  <c r="C57" i="2" l="1"/>
  <c r="C6" i="7"/>
  <c r="C5" i="7"/>
  <c r="C4" i="7"/>
  <c r="C3" i="7"/>
  <c r="C2" i="7"/>
  <c r="C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jmfang</author>
  </authors>
  <commentList>
    <comment ref="G37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jmfang:</t>
        </r>
        <r>
          <rPr>
            <sz val="9"/>
            <color indexed="81"/>
            <rFont val="宋体"/>
            <family val="3"/>
            <charset val="134"/>
          </rPr>
          <t xml:space="preserve">
增大风量降低气冷出口温度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<sst xmlns="http://schemas.openxmlformats.org/spreadsheetml/2006/main" count="155" uniqueCount="134">
  <si>
    <t>吸气温度</t>
    <phoneticPr fontId="5" type="noConversion"/>
  </si>
  <si>
    <t>排气温度</t>
    <phoneticPr fontId="5" type="noConversion"/>
  </si>
  <si>
    <t>室外换热进口</t>
    <phoneticPr fontId="5" type="noConversion"/>
  </si>
  <si>
    <t>室外换热出口</t>
    <phoneticPr fontId="5" type="noConversion"/>
  </si>
  <si>
    <t>阀前温度</t>
    <phoneticPr fontId="5" type="noConversion"/>
  </si>
  <si>
    <t>阀后温度</t>
    <phoneticPr fontId="5" type="noConversion"/>
  </si>
  <si>
    <t>回热器高压出口</t>
    <phoneticPr fontId="5" type="noConversion"/>
  </si>
  <si>
    <t>回热器高压进口</t>
    <phoneticPr fontId="5" type="noConversion"/>
  </si>
  <si>
    <t>储液器进口</t>
    <phoneticPr fontId="5" type="noConversion"/>
  </si>
  <si>
    <t>储液器出口</t>
    <phoneticPr fontId="5" type="noConversion"/>
  </si>
  <si>
    <t>回热器低压进口</t>
    <phoneticPr fontId="5" type="noConversion"/>
  </si>
  <si>
    <t>回热器低压出口</t>
    <phoneticPr fontId="5" type="noConversion"/>
  </si>
  <si>
    <t>列9</t>
  </si>
  <si>
    <t>吸气压力</t>
    <phoneticPr fontId="5" type="noConversion"/>
  </si>
  <si>
    <t>室内干球</t>
    <phoneticPr fontId="5" type="noConversion"/>
  </si>
  <si>
    <t>室内湿球</t>
    <phoneticPr fontId="5" type="noConversion"/>
  </si>
  <si>
    <t>室外干球</t>
    <phoneticPr fontId="5" type="noConversion"/>
  </si>
  <si>
    <t>室外湿球</t>
    <phoneticPr fontId="5" type="noConversion"/>
  </si>
  <si>
    <t>类别</t>
    <phoneticPr fontId="5" type="noConversion"/>
  </si>
  <si>
    <t>项目</t>
    <phoneticPr fontId="5" type="noConversion"/>
  </si>
  <si>
    <t>环境参数</t>
    <phoneticPr fontId="5" type="noConversion"/>
  </si>
  <si>
    <t>室外侧COP</t>
    <phoneticPr fontId="5" type="noConversion"/>
  </si>
  <si>
    <t>列12</t>
  </si>
  <si>
    <t>列15</t>
  </si>
  <si>
    <t>日期</t>
    <phoneticPr fontId="5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</si>
  <si>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出</t>
    </r>
    <r>
      <rPr>
        <sz val="11"/>
        <color rgb="FF9C6500"/>
        <rFont val="等线"/>
        <family val="2"/>
        <charset val="134"/>
        <scheme val="minor"/>
      </rPr>
      <t>口</t>
    </r>
    <phoneticPr fontId="5" type="noConversion"/>
  </si>
  <si>
    <t>列0</t>
    <phoneticPr fontId="5" type="noConversion"/>
  </si>
  <si>
    <t>列1</t>
    <phoneticPr fontId="5" type="noConversion"/>
  </si>
  <si>
    <t>列3</t>
  </si>
  <si>
    <t>列4</t>
  </si>
  <si>
    <t>列5</t>
  </si>
  <si>
    <t>列6</t>
  </si>
  <si>
    <t>列7</t>
  </si>
  <si>
    <t>列8</t>
  </si>
  <si>
    <t>温度/℃</t>
    <phoneticPr fontId="5" type="noConversion"/>
  </si>
  <si>
    <t>压力/Mpa</t>
    <phoneticPr fontId="5" type="noConversion"/>
  </si>
  <si>
    <t>充注量/g</t>
    <phoneticPr fontId="5" type="noConversion"/>
  </si>
  <si>
    <t>室内侧换热量/制冷剂/W</t>
    <phoneticPr fontId="5" type="noConversion"/>
  </si>
  <si>
    <t>室外侧换热量//冷凝器/W</t>
    <phoneticPr fontId="5" type="noConversion"/>
  </si>
  <si>
    <t>室内出风干球/℃</t>
    <phoneticPr fontId="5" type="noConversion"/>
  </si>
  <si>
    <t>压比</t>
    <phoneticPr fontId="5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</si>
  <si>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进</t>
    </r>
    <r>
      <rPr>
        <sz val="11"/>
        <color rgb="FF9C6500"/>
        <rFont val="等线"/>
        <family val="2"/>
        <charset val="134"/>
        <scheme val="minor"/>
      </rPr>
      <t>口</t>
    </r>
    <phoneticPr fontId="5" type="noConversion"/>
  </si>
  <si>
    <t>性能</t>
    <phoneticPr fontId="5" type="noConversion"/>
  </si>
  <si>
    <t>列16</t>
  </si>
  <si>
    <t>排气压力</t>
    <phoneticPr fontId="5" type="noConversion"/>
  </si>
  <si>
    <t>阀前压力</t>
    <phoneticPr fontId="5" type="noConversion"/>
  </si>
  <si>
    <t>主换热器进口</t>
    <phoneticPr fontId="5" type="noConversion"/>
  </si>
  <si>
    <t>电压/V</t>
    <phoneticPr fontId="5" type="noConversion"/>
  </si>
  <si>
    <t>电流/A</t>
    <phoneticPr fontId="5" type="noConversion"/>
  </si>
  <si>
    <t>压缩机转速/rpm</t>
    <phoneticPr fontId="5" type="noConversion"/>
  </si>
  <si>
    <t>膨胀阀开度</t>
    <phoneticPr fontId="5" type="noConversion"/>
  </si>
  <si>
    <r>
      <t>制冷剂流量/kg·h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5" type="noConversion"/>
  </si>
  <si>
    <r>
      <t>室内侧风量/m</t>
    </r>
    <r>
      <rPr>
        <vertAlign val="superscript"/>
        <sz val="11"/>
        <color rgb="FF3F3F76"/>
        <rFont val="等线"/>
        <family val="3"/>
        <charset val="134"/>
        <scheme val="minor"/>
      </rPr>
      <t>3</t>
    </r>
    <r>
      <rPr>
        <sz val="11"/>
        <color rgb="FF3F3F76"/>
        <rFont val="等线"/>
        <family val="2"/>
        <charset val="134"/>
        <scheme val="minor"/>
      </rPr>
      <t>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5" type="noConversion"/>
  </si>
  <si>
    <t>室外侧风量/m3·h-1</t>
    <phoneticPr fontId="5" type="noConversion"/>
  </si>
  <si>
    <t>室内侧换热量//蒸发器/W</t>
    <phoneticPr fontId="5" type="noConversion"/>
  </si>
  <si>
    <t>压缩机功率/W</t>
    <phoneticPr fontId="5" type="noConversion"/>
  </si>
  <si>
    <t>压缩机功率WT500</t>
    <phoneticPr fontId="5" type="noConversion"/>
  </si>
  <si>
    <t>室内侧COP</t>
    <phoneticPr fontId="5" type="noConversion"/>
  </si>
  <si>
    <t>室内侧COP/制冷剂</t>
    <phoneticPr fontId="5" type="noConversion"/>
  </si>
  <si>
    <t>室内出风湿球/℃</t>
    <phoneticPr fontId="5" type="noConversion"/>
  </si>
  <si>
    <t>室外出风干球/℃</t>
    <phoneticPr fontId="5" type="noConversion"/>
  </si>
  <si>
    <t>室外出风湿球/℃</t>
    <phoneticPr fontId="5" type="noConversion"/>
  </si>
  <si>
    <t>a/r</t>
    <phoneticPr fontId="5" type="noConversion"/>
  </si>
  <si>
    <t>压缩功/W</t>
    <phoneticPr fontId="5" type="noConversion"/>
  </si>
  <si>
    <t>等熵压缩功/W</t>
    <phoneticPr fontId="5" type="noConversion"/>
  </si>
  <si>
    <t>机械效率</t>
    <phoneticPr fontId="5" type="noConversion"/>
  </si>
  <si>
    <t>等熵效率</t>
    <phoneticPr fontId="5" type="noConversion"/>
  </si>
  <si>
    <t>容积效率</t>
    <phoneticPr fontId="5" type="noConversion"/>
  </si>
  <si>
    <t>冷凝器换热</t>
    <phoneticPr fontId="5" type="noConversion"/>
  </si>
  <si>
    <t>总效率</t>
    <phoneticPr fontId="5" type="noConversion"/>
  </si>
  <si>
    <t>流量</t>
    <phoneticPr fontId="5" type="noConversion"/>
  </si>
  <si>
    <t>压降</t>
    <phoneticPr fontId="5" type="noConversion"/>
  </si>
  <si>
    <t>蒸发器</t>
    <phoneticPr fontId="5" type="noConversion"/>
  </si>
  <si>
    <t>蒸发器至储液器</t>
    <phoneticPr fontId="5" type="noConversion"/>
  </si>
  <si>
    <t>储液器至吸气</t>
    <phoneticPr fontId="5" type="noConversion"/>
  </si>
  <si>
    <t>原系统</t>
    <phoneticPr fontId="5" type="noConversion"/>
  </si>
  <si>
    <t>新系统</t>
    <phoneticPr fontId="5" type="noConversion"/>
  </si>
  <si>
    <t>三花</t>
    <phoneticPr fontId="5" type="noConversion"/>
  </si>
  <si>
    <t>蒸发器压降</t>
    <phoneticPr fontId="5" type="noConversion"/>
  </si>
  <si>
    <t>流量</t>
    <phoneticPr fontId="5" type="noConversion"/>
  </si>
  <si>
    <t>流量</t>
    <phoneticPr fontId="5" type="noConversion"/>
  </si>
  <si>
    <t>原系统</t>
    <phoneticPr fontId="5" type="noConversion"/>
  </si>
  <si>
    <t>风量</t>
    <phoneticPr fontId="5" type="noConversion"/>
  </si>
  <si>
    <t>制冷量</t>
    <phoneticPr fontId="5" type="noConversion"/>
  </si>
  <si>
    <t>COP</t>
    <phoneticPr fontId="5" type="noConversion"/>
  </si>
  <si>
    <t>新系统</t>
    <phoneticPr fontId="5" type="noConversion"/>
  </si>
  <si>
    <t>三花</t>
    <phoneticPr fontId="5" type="noConversion"/>
  </si>
  <si>
    <t>流量</t>
    <phoneticPr fontId="5" type="noConversion"/>
  </si>
  <si>
    <t>流量</t>
    <phoneticPr fontId="5" type="noConversion"/>
  </si>
  <si>
    <t>流量</t>
    <phoneticPr fontId="5" type="noConversion"/>
  </si>
  <si>
    <t>气冷进口</t>
    <phoneticPr fontId="5" type="noConversion"/>
  </si>
  <si>
    <t>气冷出口</t>
    <phoneticPr fontId="5" type="noConversion"/>
  </si>
  <si>
    <t>主换热器出口</t>
    <phoneticPr fontId="5" type="noConversion"/>
  </si>
  <si>
    <t>排气至气冷</t>
    <phoneticPr fontId="5" type="noConversion"/>
  </si>
  <si>
    <t>气冷</t>
    <phoneticPr fontId="5" type="noConversion"/>
  </si>
  <si>
    <t>不回热</t>
    <phoneticPr fontId="5" type="noConversion"/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</si>
  <si>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</si>
  <si>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</si>
  <si>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</si>
  <si>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</si>
  <si>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</si>
  <si>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</si>
  <si>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</si>
  <si>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</si>
  <si>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</si>
  <si>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</si>
  <si>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</si>
  <si>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</si>
  <si>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</si>
  <si>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</si>
  <si>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</si>
  <si>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</si>
  <si>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</si>
  <si>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</si>
  <si>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</si>
  <si>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</si>
  <si>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</si>
  <si>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</si>
  <si>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</si>
  <si>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</si>
  <si>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</si>
  <si>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回热</t>
    <phoneticPr fontId="5" type="noConversion"/>
  </si>
  <si>
    <t>列72</t>
  </si>
  <si>
    <t>列2</t>
  </si>
  <si>
    <t>组1</t>
    <phoneticPr fontId="5" type="noConversion"/>
  </si>
  <si>
    <t>组2</t>
    <phoneticPr fontId="5" type="noConversion"/>
  </si>
  <si>
    <t>组3</t>
    <phoneticPr fontId="5" type="noConversion"/>
  </si>
  <si>
    <t>组4</t>
    <phoneticPr fontId="5" type="noConversion"/>
  </si>
  <si>
    <t>组5</t>
  </si>
  <si>
    <t>列310</t>
  </si>
  <si>
    <t>列411</t>
  </si>
  <si>
    <t>列512</t>
  </si>
  <si>
    <t>阀前流速</t>
    <phoneticPr fontId="5" type="noConversion"/>
  </si>
  <si>
    <t>气分入口流速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</si>
</sst>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vertAlign val="superscript"/>
      <sz val="11"/>
      <color rgb="FF3F3F76"/>
      <name val="等线"/>
      <family val="3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sz val="11"/>
      <color rgb="FF00B050"/>
      <name val="等线"/>
      <family val="2"/>
      <charset val="134"/>
      <scheme val="minor"/>
    </font>
    <font>
      <sz val="11"/>
      <color rgb="FF00B050"/>
      <name val="等线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" fillId="5" borderId="3" applyNumberFormat="0" applyFont="0" applyAlignment="0" applyProtection="0">
      <alignment vertical="center"/>
    </xf>
    <xf numFmtId="0" fontId="11" fillId="4" borderId="2" applyNumberFormat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5" borderId="3" xfId="4" applyNumberFormat="1" applyFont="1" applyAlignment="1">
      <alignment horizontal="center" vertical="center"/>
    </xf>
    <xf numFmtId="0" fontId="2" fillId="2" borderId="0" xfId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6" fillId="0" borderId="0" xfId="0" applyFont="1">
      <alignment vertical="center"/>
    </xf>
    <xf numFmtId="0" fontId="0" fillId="6" borderId="0" xfId="0" applyFill="1">
      <alignment vertical="center"/>
    </xf>
    <xf numFmtId="0" fontId="4" fillId="4" borderId="1" xfId="3" applyAlignment="1">
      <alignment horizontal="center" vertical="center"/>
    </xf>
    <xf numFmtId="0" fontId="0" fillId="5" borderId="3" xfId="4" applyNumberFormat="1" applyFont="1" applyAlignment="1">
      <alignment horizontal="center" vertical="center"/>
    </xf>
    <xf numFmtId="0" fontId="4" fillId="4" borderId="1" xfId="3" applyAlignment="1">
      <alignment horizontal="center" vertical="center"/>
    </xf>
    <xf numFmtId="0" fontId="3" fillId="3" borderId="1" xfId="2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1" fillId="4" borderId="2" xfId="5" applyAlignment="1">
      <alignment horizontal="center" vertical="center"/>
    </xf>
    <xf numFmtId="0" fontId="11" fillId="4" borderId="2" xfId="5" applyAlignment="1">
      <alignment vertical="center"/>
    </xf>
    <xf numFmtId="0" fontId="6" fillId="2" borderId="0" xfId="1" applyFont="1" applyAlignment="1">
      <alignment horizontal="center" vertical="center"/>
    </xf>
    <xf numFmtId="0" fontId="0" fillId="7" borderId="0" xfId="0" applyFill="1">
      <alignment vertical="center"/>
    </xf>
    <xf numFmtId="0" fontId="0" fillId="8" borderId="0" xfId="0" applyFill="1" applyAlignment="1">
      <alignment horizontal="center" vertical="center"/>
    </xf>
    <xf numFmtId="0" fontId="4" fillId="8" borderId="1" xfId="3" applyFill="1" applyAlignment="1">
      <alignment horizontal="center" vertical="center"/>
    </xf>
    <xf numFmtId="0" fontId="0" fillId="9" borderId="0" xfId="0" applyFill="1">
      <alignment vertical="center"/>
    </xf>
    <xf numFmtId="0" fontId="2" fillId="10" borderId="4" xfId="1" applyFill="1" applyBorder="1" applyAlignment="1">
      <alignment horizontal="center" vertical="center"/>
    </xf>
    <xf numFmtId="0" fontId="2" fillId="10" borderId="0" xfId="1" applyFill="1" applyAlignment="1">
      <alignment horizontal="center" vertical="center"/>
    </xf>
    <xf numFmtId="0" fontId="0" fillId="10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11" borderId="1" xfId="2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3" fillId="12" borderId="1" xfId="2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4" fillId="12" borderId="1" xfId="3" applyFill="1" applyAlignment="1">
      <alignment horizontal="center" vertical="center"/>
    </xf>
    <xf numFmtId="0" fontId="2" fillId="12" borderId="0" xfId="1" applyFill="1" applyAlignment="1">
      <alignment horizontal="center" vertical="center"/>
    </xf>
    <xf numFmtId="0" fontId="0" fillId="12" borderId="3" xfId="4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6" borderId="1" xfId="2" applyFill="1" applyAlignment="1">
      <alignment horizontal="center" vertical="center"/>
    </xf>
    <xf numFmtId="0" fontId="0" fillId="13" borderId="0" xfId="0" applyFill="1">
      <alignment vertical="center"/>
    </xf>
    <xf numFmtId="0" fontId="0" fillId="13" borderId="0" xfId="0" applyFill="1" applyAlignment="1">
      <alignment horizontal="center" vertical="center"/>
    </xf>
    <xf numFmtId="0" fontId="4" fillId="13" borderId="1" xfId="3" applyFill="1" applyAlignment="1">
      <alignment horizontal="center" vertical="center"/>
    </xf>
    <xf numFmtId="0" fontId="2" fillId="13" borderId="0" xfId="1" applyFill="1" applyAlignment="1">
      <alignment horizontal="center" vertical="center"/>
    </xf>
    <xf numFmtId="0" fontId="0" fillId="13" borderId="3" xfId="4" applyNumberFormat="1" applyFont="1" applyFill="1" applyAlignment="1">
      <alignment horizontal="center" vertical="center"/>
    </xf>
    <xf numFmtId="0" fontId="3" fillId="13" borderId="1" xfId="2" applyFill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14" borderId="0" xfId="0" applyFill="1" applyBorder="1" applyAlignment="1">
      <alignment horizontal="center" vertical="center"/>
    </xf>
    <xf numFmtId="0" fontId="0" fillId="15" borderId="0" xfId="0" applyFill="1" applyBorder="1" applyAlignment="1">
      <alignment horizontal="center" vertical="center"/>
    </xf>
    <xf numFmtId="0" fontId="12" fillId="13" borderId="1" xfId="2" applyFont="1" applyFill="1" applyAlignment="1">
      <alignment horizontal="center" vertical="center"/>
    </xf>
    <xf numFmtId="0" fontId="13" fillId="13" borderId="0" xfId="0" applyFont="1" applyFill="1">
      <alignment vertical="center"/>
    </xf>
    <xf numFmtId="0" fontId="12" fillId="3" borderId="1" xfId="2" applyFont="1" applyAlignment="1">
      <alignment horizontal="center" vertical="center"/>
    </xf>
    <xf numFmtId="0" fontId="13" fillId="13" borderId="1" xfId="2" applyFont="1" applyFill="1" applyAlignment="1">
      <alignment horizontal="center" vertical="center"/>
    </xf>
    <xf numFmtId="0" fontId="13" fillId="12" borderId="1" xfId="2" applyFont="1" applyFill="1" applyAlignment="1">
      <alignment horizontal="center" vertical="center"/>
    </xf>
    <xf numFmtId="0" fontId="13" fillId="7" borderId="0" xfId="0" applyFont="1" applyFill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4" fillId="4" borderId="5" xfId="3" applyBorder="1" applyAlignment="1">
      <alignment horizontal="center" vertical="center"/>
    </xf>
    <xf numFmtId="0" fontId="4" fillId="4" borderId="8" xfId="3" applyBorder="1" applyAlignment="1">
      <alignment horizontal="center" vertical="center"/>
    </xf>
    <xf numFmtId="0" fontId="4" fillId="4" borderId="12" xfId="3" applyBorder="1" applyAlignment="1">
      <alignment horizontal="center" vertical="center"/>
    </xf>
    <xf numFmtId="0" fontId="2" fillId="2" borderId="9" xfId="1" applyBorder="1" applyAlignment="1">
      <alignment horizontal="center" vertical="center"/>
    </xf>
    <xf numFmtId="0" fontId="2" fillId="2" borderId="6" xfId="1" applyBorder="1" applyAlignment="1">
      <alignment horizontal="center" vertical="center"/>
    </xf>
    <xf numFmtId="0" fontId="2" fillId="2" borderId="7" xfId="1" applyBorder="1" applyAlignment="1">
      <alignment horizontal="center" vertical="center"/>
    </xf>
    <xf numFmtId="0" fontId="0" fillId="5" borderId="10" xfId="4" applyFont="1" applyBorder="1" applyAlignment="1">
      <alignment horizontal="center" vertical="center"/>
    </xf>
    <xf numFmtId="0" fontId="0" fillId="5" borderId="0" xfId="4" applyFont="1" applyBorder="1" applyAlignment="1">
      <alignment horizontal="center" vertical="center"/>
    </xf>
    <xf numFmtId="0" fontId="3" fillId="3" borderId="11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4" borderId="2" xfId="5" applyAlignment="1">
      <alignment horizontal="center" vertical="center"/>
    </xf>
    <xf numFmtId="0" fontId="4" fillId="4" borderId="1" xfId="3" applyAlignment="1">
      <alignment horizontal="center" vertical="center"/>
    </xf>
    <xf numFmtId="0" fontId="11" fillId="4" borderId="13" xfId="5" applyBorder="1" applyAlignment="1">
      <alignment horizontal="center" vertical="center"/>
    </xf>
    <xf numFmtId="0" fontId="11" fillId="4" borderId="14" xfId="5" applyBorder="1" applyAlignment="1">
      <alignment horizontal="center" vertical="center"/>
    </xf>
    <xf numFmtId="0" fontId="11" fillId="4" borderId="15" xfId="5" applyBorder="1" applyAlignment="1">
      <alignment horizontal="center" vertical="center"/>
    </xf>
  </cellXfs>
  <cellStyles count="6">
    <cellStyle name="常规" xfId="0" builtinId="0"/>
    <cellStyle name="计算" xfId="3" builtinId="22"/>
    <cellStyle name="适中" xfId="1" builtinId="28"/>
    <cellStyle name="输出" xfId="5" builtinId="21"/>
    <cellStyle name="输入" xfId="2" builtinId="20"/>
    <cellStyle name="注释" xfId="4" builtinId="10"/>
  </cellStyles>
  <dxfs count="85"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altLang="en-US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系统各部件压降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168285214348208"/>
          <c:y val="0.18039370078740158"/>
          <c:w val="0.78845603674540676"/>
          <c:h val="0.6167745698454359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压降分析!$B$2</c:f>
              <c:strCache>
                <c:ptCount val="1"/>
                <c:pt idx="0">
                  <c:v>蒸发器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0</c:v>
                </c:pt>
              </c:numCache>
            </c:numRef>
          </c:xVal>
          <c:yVal>
            <c:numRef>
              <c:f>压降分析!$C$2:$F$2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1B-4727-BC19-4C8542DBF3EA}"/>
            </c:ext>
          </c:extLst>
        </c:ser>
        <c:ser>
          <c:idx val="1"/>
          <c:order val="1"/>
          <c:tx>
            <c:strRef>
              <c:f>压降分析!$B$3</c:f>
              <c:strCache>
                <c:ptCount val="1"/>
                <c:pt idx="0">
                  <c:v>蒸发器至储液器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0</c:v>
                </c:pt>
              </c:numCache>
            </c:numRef>
          </c:xVal>
          <c:yVal>
            <c:numRef>
              <c:f>压降分析!$C$3:$F$3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1B-4727-BC19-4C8542DBF3EA}"/>
            </c:ext>
          </c:extLst>
        </c:ser>
        <c:ser>
          <c:idx val="2"/>
          <c:order val="2"/>
          <c:tx>
            <c:strRef>
              <c:f>压降分析!#REF!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0</c:v>
                </c:pt>
              </c:numCache>
            </c:numRef>
          </c:xVal>
          <c:yVal>
            <c:numRef>
              <c:f>压降分析!$C$4:$F$4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1B-4727-BC19-4C8542DBF3EA}"/>
            </c:ext>
          </c:extLst>
        </c:ser>
        <c:ser>
          <c:idx val="3"/>
          <c:order val="3"/>
          <c:tx>
            <c:strRef>
              <c:f>压降分析!$B$4</c:f>
              <c:strCache>
                <c:ptCount val="1"/>
                <c:pt idx="0">
                  <c:v>储液器至吸气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0</c:v>
                </c:pt>
              </c:numCache>
            </c:numRef>
          </c:xVal>
          <c:yVal>
            <c:numRef>
              <c:f>压降分析!$C$5:$F$5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1B-4727-BC19-4C8542DBF3EA}"/>
            </c:ext>
          </c:extLst>
        </c:ser>
        <c:ser>
          <c:idx val="4"/>
          <c:order val="4"/>
          <c:tx>
            <c:strRef>
              <c:f>压降分析!$B$5</c:f>
              <c:strCache>
                <c:ptCount val="1"/>
                <c:pt idx="0">
                  <c:v>排气至气冷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0</c:v>
                </c:pt>
              </c:numCache>
            </c:numRef>
          </c:xVal>
          <c:yVal>
            <c:numRef>
              <c:f>压降分析!$C$6:$F$6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11B-4727-BC19-4C8542DBF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395967"/>
        <c:axId val="1064379327"/>
      </c:scatterChart>
      <c:valAx>
        <c:axId val="1064395967"/>
        <c:scaling>
          <c:orientation val="minMax"/>
          <c:min val="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流量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/kg·h</a:t>
                </a:r>
                <a:r>
                  <a:rPr lang="en-US" altLang="zh-CN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-1</a:t>
                </a:r>
                <a:endParaRPr lang="zh-CN" altLang="en-US" baseline="30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79327"/>
        <c:crosses val="autoZero"/>
        <c:crossBetween val="midCat"/>
      </c:valAx>
      <c:valAx>
        <c:axId val="106437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压降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95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555555555555556"/>
          <c:y val="0.13330890930300379"/>
          <c:w val="0.25833333333333336"/>
          <c:h val="0.27951662292213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100.3kg·h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4D-4FFA-ADF3-E780067F85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4D-4FFA-ADF3-E780067F85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4D-4FFA-ADF3-E780067F85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4D-4FFA-ADF3-E780067F85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压降分析!$C$2:$C$5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D-47A0-B815-F2CA982A8CA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106.3kg·h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20-43F2-A6C7-71657F8DCD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20-43F2-A6C7-71657F8DCD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20-43F2-A6C7-71657F8DCD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20-43F2-A6C7-71657F8DCD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压降分析!$E$2:$E$5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DF20-43F2-A6C7-71657F8DCD4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104.7kg·h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8C-4CB3-85EA-DCDAEF889D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8C-4CB3-85EA-DCDAEF889D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8C-4CB3-85EA-DCDAEF889D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8C-4CB3-85EA-DCDAEF889D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压降分析!$D$2:$D$5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388C-4CB3-85EA-DCDAEF889D2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131.2kg·h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F4-4EA7-B0F4-0325B766FB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F4-4EA7-B0F4-0325B766FB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F4-4EA7-B0F4-0325B766FB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F4-4EA7-B0F4-0325B766FB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压降分析!$F$2:$F$5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7EF4-4EA7-B0F4-0325B766FB6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(压降分析!$B$28,压降分析!$D$28,压降分析!$F$28)</c:f>
              <c:strCache>
                <c:ptCount val="3"/>
                <c:pt idx="0">
                  <c:v>原系统</c:v>
                </c:pt>
                <c:pt idx="1">
                  <c:v>新系统</c:v>
                </c:pt>
                <c:pt idx="2">
                  <c:v>三花</c:v>
                </c:pt>
              </c:strCache>
            </c:strRef>
          </c:cat>
          <c:val>
            <c:numRef>
              <c:f>(压降分析!$C$32,压降分析!$E$32,压降分析!$G$32)</c:f>
              <c:numCache>
                <c:formatCode>General</c:formatCode>
                <c:ptCount val="3"/>
                <c:pt idx="0">
                  <c:v>0.5950000000000002</c:v>
                </c:pt>
                <c:pt idx="1">
                  <c:v>0.33599999999999985</c:v>
                </c:pt>
                <c:pt idx="2">
                  <c:v>0.26400000000000001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6-4D5E-B831-A86E15C2A19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(压降分析!$B$28,压降分析!$D$28,压降分析!$F$28)</c:f>
              <c:strCache>
                <c:ptCount val="3"/>
                <c:pt idx="0">
                  <c:v>原系统</c:v>
                </c:pt>
                <c:pt idx="1">
                  <c:v>新系统</c:v>
                </c:pt>
                <c:pt idx="2">
                  <c:v>三花</c:v>
                </c:pt>
              </c:strCache>
            </c:strRef>
          </c:cat>
          <c:val>
            <c:numRef>
              <c:f>(压降分析!$C$33,压降分析!$E$33,压降分析!$G$33)</c:f>
              <c:numCache>
                <c:formatCode>General</c:formatCode>
                <c:ptCount val="3"/>
                <c:pt idx="0">
                  <c:v>0.82499999999999973</c:v>
                </c:pt>
                <c:pt idx="1">
                  <c:v>0.5089999999999999</c:v>
                </c:pt>
                <c:pt idx="2">
                  <c:v>0.32400000000000001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26-4D5E-B831-A86E15C2A1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91821103"/>
        <c:axId val="1291838575"/>
        <c:axId val="0"/>
      </c:bar3DChart>
      <c:catAx>
        <c:axId val="129182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endParaRPr lang="zh-CN"/>
          </a:p>
        </c:txPr>
        <c:crossAx val="1291838575"/>
        <c:crosses val="autoZero"/>
        <c:auto val="1"/>
        <c:lblAlgn val="ctr"/>
        <c:lblOffset val="100"/>
        <c:noMultiLvlLbl val="0"/>
      </c:catAx>
      <c:valAx>
        <c:axId val="129183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压降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9182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314325</xdr:colOff>
      <xdr:row>6</xdr:row>
      <xdr:rowOff>171450</xdr:rowOff>
    </xdr:from>
    <xdr:to>
      <xdr:col>15</xdr:col>
      <xdr:colOff>85725</xdr:colOff>
      <xdr:row>22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3</xdr:row>
      <xdr:rowOff>28575</xdr:rowOff>
    </xdr:from>
    <xdr:to>
      <xdr:col>21</xdr:col>
      <xdr:colOff>414337</xdr:colOff>
      <xdr:row>18</xdr:row>
      <xdr:rowOff>57150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495300</xdr:colOff>
      <xdr:row>4</xdr:row>
      <xdr:rowOff>133350</xdr:rowOff>
    </xdr:from>
    <xdr:to>
      <xdr:col>20</xdr:col>
      <xdr:colOff>223837</xdr:colOff>
      <xdr:row>19</xdr:row>
      <xdr:rowOff>161925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161925</xdr:colOff>
      <xdr:row>10</xdr:row>
      <xdr:rowOff>85725</xdr:rowOff>
    </xdr:from>
    <xdr:to>
      <xdr:col>20</xdr:col>
      <xdr:colOff>576262</xdr:colOff>
      <xdr:row>25</xdr:row>
      <xdr:rowOff>114300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561975</xdr:colOff>
      <xdr:row>13</xdr:row>
      <xdr:rowOff>66675</xdr:rowOff>
    </xdr:from>
    <xdr:to>
      <xdr:col>21</xdr:col>
      <xdr:colOff>290512</xdr:colOff>
      <xdr:row>28</xdr:row>
      <xdr:rowOff>95250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433387</xdr:colOff>
      <xdr:row>18</xdr:row>
      <xdr:rowOff>0</xdr:rowOff>
    </xdr:from>
    <xdr:to>
      <xdr:col>14</xdr:col>
      <xdr:colOff>204787</xdr:colOff>
      <xdr:row>33</xdr:row>
      <xdr:rowOff>28575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5753\AppData\Roaming\Microsoft\AddIns\REFPROP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qhr\AppData\Roaming\Microsoft\AddIns\REFPROP.xla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gram%20Files\REFPROP\REFPROP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UserInformation"/>
      <sheetName val="Examples"/>
      <sheetName val="Mixture Examples"/>
      <sheetName val="CheckSum"/>
      <sheetName val="REFPROP"/>
    </sheetNames>
    <definedNames>
      <definedName name="Density"/>
      <definedName name="Enthalpy"/>
      <definedName name="Entrop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UserInformation"/>
      <sheetName val="Examples"/>
      <sheetName val="Mixture Examples"/>
      <sheetName val="CheckSum"/>
      <sheetName val="Sheet1"/>
      <sheetName val="REFPROP"/>
    </sheetNames>
    <definedNames>
      <definedName name="Density"/>
      <definedName name="Enthalpy"/>
      <definedName name="Entrop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FPROP"/>
    </sheetNames>
    <definedNames>
      <definedName name="Density"/>
    </definedNames>
    <sheetDataSet>
      <sheetData sheetId="0" refreshError="1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表3" displayName="表3" ref="B1:AQ60" totalsRowShown="0" dataDxfId="84">
  <autoFilter ref="B1:AQ60" xr:uid="{00000000-0009-0000-0100-000003000000}"/>
  <tableColumns count="42">
    <tableColumn id="9" xr3:uid="{00000000-0010-0000-0000-000009000000}" name="列0" dataDxfId="83" totalsRowDxfId="82"/>
    <tableColumn id="4" xr3:uid="{00000000-0010-0000-0000-000004000000}" name="列1" dataDxfId="81" totalsRowDxfId="80"/>
    <tableColumn id="18" xr3:uid="{00000000-0010-0000-0000-000012000000}" name="列3" dataDxfId="79" totalsRowDxfId="78"/>
    <tableColumn id="1" xr3:uid="{00000000-0010-0000-0000-000001000000}" name="列4" dataDxfId="77" totalsRowDxfId="76"/>
    <tableColumn id="17" xr3:uid="{00000000-0010-0000-0000-000011000000}" name="列5" dataDxfId="75" totalsRowDxfId="74"/>
    <tableColumn id="21" xr3:uid="{00000000-0010-0000-0000-000015000000}" name="列6" dataDxfId="73" totalsRowDxfId="72"/>
    <tableColumn id="20" xr3:uid="{00000000-0010-0000-0000-000014000000}" name="列7" dataDxfId="71" totalsRowDxfId="70"/>
    <tableColumn id="16" xr3:uid="{19440A2C-D854-4571-847F-A090ECA96C14}" name="列72" dataDxfId="69" totalsRowDxfId="68" dataCellStyle="输入"/>
    <tableColumn id="19" xr3:uid="{00000000-0010-0000-0000-000013000000}" name="列8" dataDxfId="67" totalsRowDxfId="66"/>
    <tableColumn id="11" xr3:uid="{00000000-0010-0000-0000-00000B000000}" name="列9" dataDxfId="65" totalsRowDxfId="64"/>
    <tableColumn id="24" xr3:uid="{00000000-0010-0000-0000-000018000000}" name="列12" dataDxfId="63" totalsRowDxfId="62" dataCellStyle="输入"/>
    <tableColumn id="23" xr3:uid="{00000000-0010-0000-0000-000017000000}" name="列2" dataDxfId="61" totalsRowDxfId="60" dataCellStyle="输入"/>
    <tableColumn id="22" xr3:uid="{00000000-0010-0000-0000-000016000000}" name="列310" dataDxfId="59" totalsRowDxfId="58" dataCellStyle="输入"/>
    <tableColumn id="12" xr3:uid="{00000000-0010-0000-0000-00000C000000}" name="列411" dataDxfId="57" totalsRowDxfId="56" dataCellStyle="输入"/>
    <tableColumn id="13" xr3:uid="{00000000-0010-0000-0000-00000D000000}" name="列512" dataDxfId="55" totalsRowDxfId="54" dataCellStyle="输入"/>
    <tableColumn id="14" xr3:uid="{00000000-0010-0000-0000-00000E000000}" name="列15" dataDxfId="53" totalsRowDxfId="52"/>
    <tableColumn id="15" xr3:uid="{00000000-0010-0000-0000-00000F000000}" name="列16" dataDxfId="51" totalsRowDxfId="50"/>
    <tableColumn id="2" xr3:uid="{0F95C51C-B079-45CB-9A85-FA4F282056DD}" name="列17" dataDxfId="49" totalsRowDxfId="48"/>
    <tableColumn id="3" xr3:uid="{385E8310-AD78-41C2-B15B-568AFD5C87EF}" name="列18" dataDxfId="47" totalsRowDxfId="46"/>
    <tableColumn id="5" xr3:uid="{09F56284-445E-4F20-8FB9-1A3E51844225}" name="列19" dataDxfId="45" totalsRowDxfId="44"/>
    <tableColumn id="6" xr3:uid="{9370711D-FB84-4783-AC92-25A2D87AC583}" name="列20" dataDxfId="43" totalsRowDxfId="42"/>
    <tableColumn id="7" xr3:uid="{0E19F0DE-0516-4430-8071-6A5B6450B891}" name="列21" dataDxfId="41" totalsRowDxfId="40"/>
    <tableColumn id="8" xr3:uid="{F16A3F8E-AF7E-4BF2-B2B2-E5AFEF913B6B}" name="列22" dataDxfId="39" totalsRowDxfId="38"/>
    <tableColumn id="10" xr3:uid="{00DBAE33-34A3-4BDB-8714-3A24E5725CF7}" name="列23" dataDxfId="37" totalsRowDxfId="36"/>
    <tableColumn id="25" xr3:uid="{371E873D-7B20-4240-AABD-BEE16412D35A}" name="列24" dataDxfId="35" totalsRowDxfId="34"/>
    <tableColumn id="26" xr3:uid="{7A0E7E20-7CCA-45D6-B3C6-9989228F0D01}" name="列25" dataDxfId="33" totalsRowDxfId="32"/>
    <tableColumn id="27" xr3:uid="{63A58DBB-3213-4326-BA97-F41167796D3C}" name="列26" dataDxfId="31" totalsRowDxfId="30"/>
    <tableColumn id="28" xr3:uid="{7C69C32E-931F-46A1-9C89-169BDCD6B896}" name="列27" dataDxfId="29" totalsRowDxfId="28"/>
    <tableColumn id="29" xr3:uid="{6E1ADA32-F986-492E-A214-5877B63DF9CB}" name="列28" dataDxfId="27" totalsRowDxfId="26"/>
    <tableColumn id="30" xr3:uid="{C6C4EC2A-6495-435E-A3A0-BCD11D807F19}" name="列29" dataDxfId="25" totalsRowDxfId="24"/>
    <tableColumn id="31" xr3:uid="{664B9297-A24B-4DBA-8E17-09F7A80A2DA7}" name="列30" dataDxfId="23" totalsRowDxfId="22"/>
    <tableColumn id="32" xr3:uid="{225828D6-FEED-428A-A3D9-C9EC3C3B7ACD}" name="列31" dataDxfId="21" totalsRowDxfId="20"/>
    <tableColumn id="33" xr3:uid="{E1208EF8-582C-4326-B4A7-1A9DA1D065A2}" name="列32" dataDxfId="19" totalsRowDxfId="18"/>
    <tableColumn id="34" xr3:uid="{C650F960-A423-4A44-8BB2-321F5D708C19}" name="列33" dataDxfId="17" totalsRowDxfId="16"/>
    <tableColumn id="35" xr3:uid="{1B650347-337A-4161-957D-0838332D501C}" name="列34" dataDxfId="15" totalsRowDxfId="14"/>
    <tableColumn id="36" xr3:uid="{AF405B87-0F35-4FDC-9E95-76B1473592BD}" name="列35" dataDxfId="13" totalsRowDxfId="12"/>
    <tableColumn id="37" xr3:uid="{9B5B5CB6-7FEB-4A14-B96B-ECE68F877FD9}" name="列36" dataDxfId="11" totalsRowDxfId="10"/>
    <tableColumn id="38" xr3:uid="{EF8255F5-7919-4193-86FD-1FB7A3F0AF72}" name="列37" dataDxfId="9" totalsRowDxfId="8"/>
    <tableColumn id="39" xr3:uid="{1FF79CCA-4012-4BBC-B147-7B30FC173692}" name="列38" dataDxfId="7" totalsRowDxfId="6"/>
    <tableColumn id="40" xr3:uid="{9BC89784-72DE-4A22-B524-DD8A061C5582}" name="列39" dataDxfId="5" totalsRowDxfId="4"/>
    <tableColumn id="41" xr3:uid="{988C47B7-2F35-444B-8BED-68C4CC844EE9}" name="列40" dataDxfId="3" totalsRowDxfId="2"/>
    <tableColumn id="42" xr3:uid="{920B0764-E88B-4209-A8C7-C8E6A6741B76}" name="列41" dataDxfId="1" totalsRow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V178"/>
  <sheetViews>
    <sheetView tabSelected="1" zoomScale="85" zoomScaleNormal="85" workbookViewId="0">
      <selection activeCell="E2" sqref="E2:L60"/>
    </sheetView>
  </sheetViews>
  <sheetFormatPr defaultRowHeight="14" x14ac:dyDescent="0.3"/>
  <cols>
    <col min="2" max="2" width="29.08203125" customWidth="1"/>
    <col min="3" max="3" width="20.6640625" style="6" hidden="1" customWidth="1"/>
    <col min="4" max="4" width="11.08203125" style="16" hidden="1" customWidth="1"/>
    <col min="5" max="5" width="11.08203125" style="35" customWidth="1"/>
    <col min="6" max="6" width="15.75" style="35" customWidth="1"/>
    <col min="7" max="7" width="11.08203125" style="35" customWidth="1"/>
    <col min="8" max="9" width="12.08203125" hidden="1" customWidth="1"/>
    <col min="10" max="10" width="13.08203125" hidden="1" customWidth="1"/>
    <col min="11" max="12" width="9.25" style="35" bestFit="1" customWidth="1"/>
    <col min="13" max="15" width="9.08203125" style="35" customWidth="1"/>
    <col min="16" max="16" width="9.25" style="35" bestFit="1" customWidth="1"/>
    <col min="17" max="17" width="9.58203125" bestFit="1" customWidth="1"/>
    <col min="18" max="18" width="9.58203125" style="19" bestFit="1" customWidth="1"/>
    <col min="19" max="19" width="9.58203125" bestFit="1" customWidth="1"/>
    <col min="20" max="20" width="9.58203125" style="19" bestFit="1" customWidth="1"/>
    <col min="21" max="23" width="9.58203125" bestFit="1" customWidth="1"/>
    <col min="24" max="24" width="9.08203125" customWidth="1"/>
    <col min="25" max="43" width="9.58203125" bestFit="1" customWidth="1"/>
  </cols>
  <sheetData>
    <row r="1" spans="1:43" x14ac:dyDescent="0.3">
      <c r="B1" s="6" t="s">
        <v>26</v>
      </c>
      <c r="C1" s="6" t="s">
        <v>27</v>
      </c>
      <c r="D1" s="16" t="s">
        <v>28</v>
      </c>
      <c r="E1" s="35" t="s">
        <v>29</v>
      </c>
      <c r="F1" s="35" t="s">
        <v>30</v>
      </c>
      <c r="G1" s="35" t="s">
        <v>31</v>
      </c>
      <c r="H1" s="6" t="s">
        <v>32</v>
      </c>
      <c r="I1" s="6" t="s">
        <v>122</v>
      </c>
      <c r="J1" s="6" t="s">
        <v>33</v>
      </c>
      <c r="K1" s="35" t="s">
        <v>12</v>
      </c>
      <c r="L1" s="35" t="s">
        <v>22</v>
      </c>
      <c r="M1" s="35" t="s">
        <v>123</v>
      </c>
      <c r="N1" s="35" t="s">
        <v>129</v>
      </c>
      <c r="O1" s="35" t="s">
        <v>130</v>
      </c>
      <c r="P1" s="35" t="s">
        <v>131</v>
      </c>
      <c r="Q1" s="19" t="s">
        <v>23</v>
      </c>
      <c r="R1" s="6" t="s">
        <v>43</v>
      </c>
      <c r="S1" s="19" t="s">
        <v>96</v>
      </c>
      <c r="T1" s="6" t="s">
        <v>97</v>
      </c>
      <c r="U1" s="6" t="s">
        <v>98</v>
      </c>
      <c r="V1" s="6" t="s">
        <v>99</v>
      </c>
      <c r="W1" s="6" t="s">
        <v>100</v>
      </c>
      <c r="X1" t="s">
        <v>101</v>
      </c>
      <c r="Y1" t="s">
        <v>102</v>
      </c>
      <c r="Z1" t="s">
        <v>103</v>
      </c>
      <c r="AA1" t="s">
        <v>104</v>
      </c>
      <c r="AB1" t="s">
        <v>105</v>
      </c>
      <c r="AC1" t="s">
        <v>106</v>
      </c>
      <c r="AD1" t="s">
        <v>107</v>
      </c>
      <c r="AE1" t="s">
        <v>108</v>
      </c>
      <c r="AF1" t="s">
        <v>109</v>
      </c>
      <c r="AG1" t="s">
        <v>110</v>
      </c>
      <c r="AH1" t="s">
        <v>111</v>
      </c>
      <c r="AI1" t="s">
        <v>112</v>
      </c>
      <c r="AJ1" t="s">
        <v>113</v>
      </c>
      <c r="AK1" t="s">
        <v>114</v>
      </c>
      <c r="AL1" t="s">
        <v>115</v>
      </c>
      <c r="AM1" t="s">
        <v>116</v>
      </c>
      <c r="AN1" t="s">
        <v>117</v>
      </c>
      <c r="AO1" t="s">
        <v>118</v>
      </c>
      <c r="AP1" t="s">
        <v>119</v>
      </c>
      <c r="AQ1" t="s">
        <v>120</v>
      </c>
    </row>
    <row r="2" spans="1:43" x14ac:dyDescent="0.3">
      <c r="B2" s="1" t="s">
        <v>24</v>
      </c>
      <c r="C2" s="1">
        <v>112601</v>
      </c>
      <c r="D2" s="23">
        <v>112602</v>
      </c>
      <c r="E2" s="36">
        <v>112603</v>
      </c>
      <c r="F2" s="36">
        <v>112604</v>
      </c>
      <c r="G2" s="36">
        <v>112605</v>
      </c>
      <c r="H2" s="32">
        <v>112606</v>
      </c>
      <c r="I2" s="32"/>
      <c r="J2" s="23">
        <v>20191108</v>
      </c>
      <c r="K2" s="36">
        <v>20191108</v>
      </c>
      <c r="L2" s="36" t="s">
        <v>121</v>
      </c>
      <c r="M2" s="36" t="s">
        <v>121</v>
      </c>
      <c r="N2" s="36" t="s">
        <v>121</v>
      </c>
      <c r="O2" s="36" t="s">
        <v>121</v>
      </c>
      <c r="P2" s="36" t="s">
        <v>121</v>
      </c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4"/>
    </row>
    <row r="3" spans="1:43" x14ac:dyDescent="0.3">
      <c r="A3" t="s">
        <v>18</v>
      </c>
      <c r="B3" s="1" t="s">
        <v>19</v>
      </c>
      <c r="C3" s="17" t="s">
        <v>95</v>
      </c>
      <c r="D3" s="17" t="s">
        <v>95</v>
      </c>
      <c r="E3" s="36" t="s">
        <v>121</v>
      </c>
      <c r="F3" s="36" t="s">
        <v>121</v>
      </c>
      <c r="G3" s="36" t="s">
        <v>121</v>
      </c>
      <c r="H3" s="28" t="s">
        <v>95</v>
      </c>
      <c r="I3" s="28"/>
      <c r="J3" s="17" t="s">
        <v>95</v>
      </c>
      <c r="K3" s="36" t="s">
        <v>121</v>
      </c>
      <c r="L3" s="36" t="s">
        <v>124</v>
      </c>
      <c r="M3" s="40" t="s">
        <v>125</v>
      </c>
      <c r="N3" s="36" t="s">
        <v>126</v>
      </c>
      <c r="O3" s="36" t="s">
        <v>127</v>
      </c>
      <c r="P3" s="36" t="s">
        <v>128</v>
      </c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24"/>
    </row>
    <row r="4" spans="1:43" ht="13.5" customHeight="1" x14ac:dyDescent="0.3">
      <c r="A4" s="54" t="s">
        <v>20</v>
      </c>
      <c r="B4" s="7" t="s">
        <v>14</v>
      </c>
      <c r="C4" s="18">
        <v>27</v>
      </c>
      <c r="D4" s="18">
        <v>27</v>
      </c>
      <c r="E4" s="37">
        <v>27</v>
      </c>
      <c r="F4" s="37">
        <v>27</v>
      </c>
      <c r="G4" s="37">
        <v>27</v>
      </c>
      <c r="H4" s="29">
        <v>27</v>
      </c>
      <c r="I4" s="29"/>
      <c r="J4" s="18">
        <v>27</v>
      </c>
      <c r="K4" s="37">
        <v>27</v>
      </c>
      <c r="L4" s="37">
        <v>27</v>
      </c>
      <c r="M4" s="37">
        <v>27</v>
      </c>
      <c r="N4" s="37">
        <v>27</v>
      </c>
      <c r="O4" s="37">
        <v>27</v>
      </c>
      <c r="P4" s="37">
        <v>27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24"/>
    </row>
    <row r="5" spans="1:43" ht="13.5" customHeight="1" x14ac:dyDescent="0.3">
      <c r="A5" s="55"/>
      <c r="B5" s="7" t="s">
        <v>15</v>
      </c>
      <c r="C5" s="18">
        <v>19.600000000000001</v>
      </c>
      <c r="D5" s="18">
        <v>19.5</v>
      </c>
      <c r="E5" s="37">
        <v>19.5</v>
      </c>
      <c r="F5" s="37">
        <v>19.5</v>
      </c>
      <c r="G5" s="37">
        <v>19.5</v>
      </c>
      <c r="H5" s="29">
        <v>19.5</v>
      </c>
      <c r="I5" s="29"/>
      <c r="J5" s="18">
        <v>19.5</v>
      </c>
      <c r="K5" s="37">
        <v>19.5</v>
      </c>
      <c r="L5" s="37">
        <v>19.5</v>
      </c>
      <c r="M5" s="37">
        <v>19.5</v>
      </c>
      <c r="N5" s="37">
        <v>19.5</v>
      </c>
      <c r="O5" s="37">
        <v>19.5</v>
      </c>
      <c r="P5" s="37">
        <v>19.5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24"/>
    </row>
    <row r="6" spans="1:43" ht="13.5" customHeight="1" x14ac:dyDescent="0.3">
      <c r="A6" s="55"/>
      <c r="B6" s="7" t="s">
        <v>16</v>
      </c>
      <c r="C6" s="18">
        <v>40</v>
      </c>
      <c r="D6" s="18">
        <v>40</v>
      </c>
      <c r="E6" s="37">
        <v>40</v>
      </c>
      <c r="F6" s="37">
        <v>40</v>
      </c>
      <c r="G6" s="37">
        <v>40</v>
      </c>
      <c r="H6" s="29">
        <v>40</v>
      </c>
      <c r="I6" s="29"/>
      <c r="J6" s="18">
        <v>40</v>
      </c>
      <c r="K6" s="37">
        <v>40</v>
      </c>
      <c r="L6" s="37">
        <v>40</v>
      </c>
      <c r="M6" s="37">
        <v>40</v>
      </c>
      <c r="N6" s="37">
        <v>40</v>
      </c>
      <c r="O6" s="37">
        <v>40</v>
      </c>
      <c r="P6" s="37">
        <v>40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24"/>
    </row>
    <row r="7" spans="1:43" ht="13.5" customHeight="1" x14ac:dyDescent="0.3">
      <c r="A7" s="56"/>
      <c r="B7" s="7" t="s">
        <v>17</v>
      </c>
      <c r="C7" s="18">
        <v>30.2</v>
      </c>
      <c r="D7" s="18">
        <v>30.2</v>
      </c>
      <c r="E7" s="37">
        <v>30.2</v>
      </c>
      <c r="F7" s="37">
        <v>30.2</v>
      </c>
      <c r="G7" s="37">
        <v>30.2</v>
      </c>
      <c r="H7" s="29">
        <v>31.1</v>
      </c>
      <c r="I7" s="29"/>
      <c r="J7" s="18">
        <v>30.2</v>
      </c>
      <c r="K7" s="37">
        <v>30.2</v>
      </c>
      <c r="L7" s="37">
        <v>30.2</v>
      </c>
      <c r="M7" s="37">
        <v>30.4</v>
      </c>
      <c r="N7" s="37">
        <v>30.4</v>
      </c>
      <c r="O7" s="37">
        <v>30.4</v>
      </c>
      <c r="P7" s="37">
        <v>30.4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24"/>
    </row>
    <row r="8" spans="1:43" x14ac:dyDescent="0.3">
      <c r="A8" s="57" t="s">
        <v>34</v>
      </c>
      <c r="B8" s="3" t="s">
        <v>0</v>
      </c>
      <c r="C8" s="3">
        <v>1.64</v>
      </c>
      <c r="D8" s="3">
        <v>1.54</v>
      </c>
      <c r="E8" s="38">
        <v>35.86</v>
      </c>
      <c r="F8" s="38">
        <v>35.979999999999997</v>
      </c>
      <c r="G8" s="38">
        <v>35.61</v>
      </c>
      <c r="H8" s="30">
        <v>1.52</v>
      </c>
      <c r="I8" s="30"/>
      <c r="J8" s="3">
        <v>2.58</v>
      </c>
      <c r="K8" s="38">
        <v>35.369999999999997</v>
      </c>
      <c r="L8" s="38">
        <v>35.21</v>
      </c>
      <c r="M8" s="38">
        <v>24.72</v>
      </c>
      <c r="N8" s="38">
        <v>22.58</v>
      </c>
      <c r="O8" s="38">
        <v>25.01</v>
      </c>
      <c r="P8" s="38">
        <v>6.65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24"/>
    </row>
    <row r="9" spans="1:43" x14ac:dyDescent="0.3">
      <c r="A9" s="58"/>
      <c r="B9" s="3" t="s">
        <v>1</v>
      </c>
      <c r="C9" s="3">
        <v>107.68</v>
      </c>
      <c r="D9" s="3">
        <v>102.65</v>
      </c>
      <c r="E9" s="38">
        <v>135.75</v>
      </c>
      <c r="F9" s="38">
        <v>132.56</v>
      </c>
      <c r="G9" s="38">
        <v>136.09</v>
      </c>
      <c r="H9" s="30">
        <v>101.17</v>
      </c>
      <c r="I9" s="30"/>
      <c r="J9" s="3">
        <v>98.23</v>
      </c>
      <c r="K9" s="38">
        <v>135.59</v>
      </c>
      <c r="L9" s="38">
        <v>134.88999999999999</v>
      </c>
      <c r="M9" s="38">
        <v>118.35</v>
      </c>
      <c r="N9" s="38">
        <v>111.3</v>
      </c>
      <c r="O9" s="38">
        <v>120.33</v>
      </c>
      <c r="P9" s="38">
        <v>94.93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24"/>
    </row>
    <row r="10" spans="1:43" x14ac:dyDescent="0.3">
      <c r="A10" s="58"/>
      <c r="B10" s="3" t="s">
        <v>2</v>
      </c>
      <c r="C10" s="3">
        <v>104.47</v>
      </c>
      <c r="D10" s="3">
        <v>99.69</v>
      </c>
      <c r="E10" s="38">
        <v>130.52000000000001</v>
      </c>
      <c r="F10" s="38">
        <v>127.44</v>
      </c>
      <c r="G10" s="38">
        <v>130.85</v>
      </c>
      <c r="H10" s="30">
        <v>98.29</v>
      </c>
      <c r="I10" s="30"/>
      <c r="J10" s="3">
        <v>95.55</v>
      </c>
      <c r="K10" s="38">
        <v>130.36000000000001</v>
      </c>
      <c r="L10" s="38">
        <v>129.76</v>
      </c>
      <c r="M10" s="38">
        <v>114.72</v>
      </c>
      <c r="N10" s="38">
        <v>107.66</v>
      </c>
      <c r="O10" s="38">
        <v>116.08</v>
      </c>
      <c r="P10" s="38">
        <v>92.38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24"/>
    </row>
    <row r="11" spans="1:43" x14ac:dyDescent="0.3">
      <c r="A11" s="58"/>
      <c r="B11" s="3" t="s">
        <v>3</v>
      </c>
      <c r="C11" s="3">
        <v>42.51</v>
      </c>
      <c r="D11" s="3">
        <v>42.88</v>
      </c>
      <c r="E11" s="38">
        <v>42.59</v>
      </c>
      <c r="F11" s="38">
        <v>42.52</v>
      </c>
      <c r="G11" s="38">
        <v>42.58</v>
      </c>
      <c r="H11" s="30">
        <v>42.62</v>
      </c>
      <c r="I11" s="30"/>
      <c r="J11" s="3">
        <v>43.33</v>
      </c>
      <c r="K11" s="38">
        <v>42.77</v>
      </c>
      <c r="L11" s="38">
        <v>42.69</v>
      </c>
      <c r="M11" s="38">
        <v>42.81</v>
      </c>
      <c r="N11" s="38">
        <v>42.73</v>
      </c>
      <c r="O11" s="38">
        <v>42.75</v>
      </c>
      <c r="P11" s="38">
        <v>43.26</v>
      </c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24"/>
    </row>
    <row r="12" spans="1:43" x14ac:dyDescent="0.3">
      <c r="A12" s="58"/>
      <c r="B12" s="3" t="s">
        <v>7</v>
      </c>
      <c r="C12" s="3">
        <v>42.5</v>
      </c>
      <c r="D12" s="3">
        <v>42.83</v>
      </c>
      <c r="E12" s="38">
        <v>42.51</v>
      </c>
      <c r="F12" s="38">
        <v>42.41</v>
      </c>
      <c r="G12" s="38">
        <v>42.49</v>
      </c>
      <c r="H12" s="30">
        <v>42.59</v>
      </c>
      <c r="I12" s="30"/>
      <c r="J12" s="3">
        <v>43.35</v>
      </c>
      <c r="K12" s="38">
        <v>42.73</v>
      </c>
      <c r="L12" s="38">
        <v>42.63</v>
      </c>
      <c r="M12" s="38">
        <v>42.71</v>
      </c>
      <c r="N12" s="38">
        <v>42.58</v>
      </c>
      <c r="O12" s="38">
        <v>42.65</v>
      </c>
      <c r="P12" s="38">
        <v>43.1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24"/>
    </row>
    <row r="13" spans="1:43" x14ac:dyDescent="0.3">
      <c r="A13" s="58"/>
      <c r="B13" s="3" t="s">
        <v>6</v>
      </c>
      <c r="C13" s="21">
        <v>42.14</v>
      </c>
      <c r="D13" s="3">
        <v>42.36</v>
      </c>
      <c r="E13" s="38">
        <v>32.869999999999997</v>
      </c>
      <c r="F13" s="38">
        <v>34.08</v>
      </c>
      <c r="G13" s="38">
        <v>32.6</v>
      </c>
      <c r="H13" s="30">
        <v>42.07</v>
      </c>
      <c r="I13" s="30"/>
      <c r="J13" s="3">
        <v>42.92</v>
      </c>
      <c r="K13" s="38">
        <v>32.04</v>
      </c>
      <c r="L13" s="38">
        <v>31.91</v>
      </c>
      <c r="M13" s="38">
        <v>26.94</v>
      </c>
      <c r="N13" s="38">
        <v>27.84</v>
      </c>
      <c r="O13" s="38">
        <v>26.33</v>
      </c>
      <c r="P13" s="38">
        <v>22.27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24"/>
    </row>
    <row r="14" spans="1:43" s="22" customFormat="1" x14ac:dyDescent="0.3">
      <c r="A14" s="58"/>
      <c r="B14" s="20" t="s">
        <v>4</v>
      </c>
      <c r="C14" s="3">
        <v>41.59</v>
      </c>
      <c r="D14" s="3">
        <v>41.87</v>
      </c>
      <c r="E14" s="38">
        <v>32.67</v>
      </c>
      <c r="F14" s="38">
        <v>33.880000000000003</v>
      </c>
      <c r="G14" s="38">
        <v>32.5</v>
      </c>
      <c r="H14" s="30">
        <v>42.58</v>
      </c>
      <c r="I14" s="30"/>
      <c r="J14" s="21">
        <v>42.43</v>
      </c>
      <c r="K14" s="38">
        <v>31.94</v>
      </c>
      <c r="L14" s="38">
        <v>31.91</v>
      </c>
      <c r="M14" s="38">
        <v>27.01</v>
      </c>
      <c r="N14" s="38">
        <v>29.98</v>
      </c>
      <c r="O14" s="38">
        <v>29.26</v>
      </c>
      <c r="P14" s="38">
        <v>23.18</v>
      </c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6"/>
    </row>
    <row r="15" spans="1:43" x14ac:dyDescent="0.3">
      <c r="A15" s="58"/>
      <c r="B15" s="4" t="s">
        <v>5</v>
      </c>
      <c r="C15" s="3">
        <v>8.42</v>
      </c>
      <c r="D15" s="3">
        <v>8.8800000000000008</v>
      </c>
      <c r="E15" s="38">
        <v>7.3</v>
      </c>
      <c r="F15" s="38">
        <v>7.83</v>
      </c>
      <c r="G15" s="38">
        <v>7.27</v>
      </c>
      <c r="H15" s="30">
        <v>8.65</v>
      </c>
      <c r="I15" s="30"/>
      <c r="J15" s="3">
        <v>9.84</v>
      </c>
      <c r="K15" s="38">
        <v>7.74</v>
      </c>
      <c r="L15" s="38">
        <v>7.63</v>
      </c>
      <c r="M15" s="38">
        <v>8.17</v>
      </c>
      <c r="N15" s="38">
        <v>9.08</v>
      </c>
      <c r="O15" s="38">
        <v>7.75</v>
      </c>
      <c r="P15" s="38">
        <v>8.9700000000000006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24"/>
    </row>
    <row r="16" spans="1:43" x14ac:dyDescent="0.3">
      <c r="A16" s="58"/>
      <c r="B16" s="4" t="s">
        <v>41</v>
      </c>
      <c r="C16" s="3">
        <v>8.11</v>
      </c>
      <c r="D16" s="3">
        <v>8.6</v>
      </c>
      <c r="E16" s="38">
        <v>7.2</v>
      </c>
      <c r="F16" s="38">
        <v>7.78</v>
      </c>
      <c r="G16" s="38">
        <v>7.24</v>
      </c>
      <c r="H16" s="30">
        <v>8.4499999999999993</v>
      </c>
      <c r="I16" s="30"/>
      <c r="J16" s="3">
        <v>9.2799999999999994</v>
      </c>
      <c r="K16" s="38">
        <v>7.49</v>
      </c>
      <c r="L16" s="38">
        <v>7.5</v>
      </c>
      <c r="M16" s="38">
        <v>8.1</v>
      </c>
      <c r="N16" s="38">
        <v>8.9700000000000006</v>
      </c>
      <c r="O16" s="38">
        <v>7.8</v>
      </c>
      <c r="P16" s="38">
        <v>8.9600000000000009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24"/>
    </row>
    <row r="17" spans="1:48" x14ac:dyDescent="0.3">
      <c r="A17" s="58"/>
      <c r="B17" s="4" t="s">
        <v>25</v>
      </c>
      <c r="C17" s="3">
        <v>4.42</v>
      </c>
      <c r="D17" s="3">
        <v>4.71</v>
      </c>
      <c r="E17" s="38">
        <v>5.04</v>
      </c>
      <c r="F17" s="38">
        <v>5.49</v>
      </c>
      <c r="G17" s="38">
        <v>5.19</v>
      </c>
      <c r="H17" s="30">
        <v>4.76</v>
      </c>
      <c r="I17" s="30"/>
      <c r="J17" s="3">
        <v>5.53</v>
      </c>
      <c r="K17" s="38">
        <v>5.63</v>
      </c>
      <c r="L17" s="38">
        <v>5.69</v>
      </c>
      <c r="M17" s="38">
        <v>6.48</v>
      </c>
      <c r="N17" s="38">
        <v>7.21</v>
      </c>
      <c r="O17" s="38">
        <v>6.19</v>
      </c>
      <c r="P17" s="38">
        <v>7.23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24"/>
    </row>
    <row r="18" spans="1:48" x14ac:dyDescent="0.3">
      <c r="A18" s="58"/>
      <c r="B18" s="3" t="s">
        <v>8</v>
      </c>
      <c r="C18" s="3">
        <v>3.66</v>
      </c>
      <c r="D18" s="3">
        <v>3.87</v>
      </c>
      <c r="E18" s="38">
        <v>4.59</v>
      </c>
      <c r="F18" s="38">
        <v>5.0199999999999996</v>
      </c>
      <c r="G18" s="38">
        <v>4.7</v>
      </c>
      <c r="H18" s="30">
        <v>3.87</v>
      </c>
      <c r="I18" s="30"/>
      <c r="J18" s="3">
        <v>5.12</v>
      </c>
      <c r="K18" s="38">
        <v>5.49</v>
      </c>
      <c r="L18" s="38">
        <v>5.43</v>
      </c>
      <c r="M18" s="38">
        <v>6.06</v>
      </c>
      <c r="N18" s="38">
        <v>6.72</v>
      </c>
      <c r="O18" s="38">
        <v>5.73</v>
      </c>
      <c r="P18" s="38">
        <v>6.63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24"/>
    </row>
    <row r="19" spans="1:48" x14ac:dyDescent="0.3">
      <c r="A19" s="58"/>
      <c r="B19" s="3" t="s">
        <v>9</v>
      </c>
      <c r="C19" s="3">
        <v>3.14</v>
      </c>
      <c r="D19" s="3">
        <v>3.27</v>
      </c>
      <c r="E19" s="38">
        <v>4.1100000000000003</v>
      </c>
      <c r="F19" s="38">
        <v>4.57</v>
      </c>
      <c r="G19" s="38">
        <v>4.3</v>
      </c>
      <c r="H19" s="30">
        <v>3.35</v>
      </c>
      <c r="I19" s="30"/>
      <c r="J19" s="3">
        <v>4.46</v>
      </c>
      <c r="K19" s="38">
        <v>4.99</v>
      </c>
      <c r="L19" s="38">
        <v>5</v>
      </c>
      <c r="M19" s="38">
        <v>5.66</v>
      </c>
      <c r="N19" s="38">
        <v>6.38</v>
      </c>
      <c r="O19" s="38">
        <v>5.33</v>
      </c>
      <c r="P19" s="38">
        <v>6.23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24"/>
    </row>
    <row r="20" spans="1:48" x14ac:dyDescent="0.3">
      <c r="A20" s="58"/>
      <c r="B20" s="3" t="s">
        <v>10</v>
      </c>
      <c r="C20" s="3">
        <v>41.52</v>
      </c>
      <c r="D20" s="3">
        <v>41.52</v>
      </c>
      <c r="E20" s="38">
        <v>2.84</v>
      </c>
      <c r="F20" s="38">
        <v>3.2</v>
      </c>
      <c r="G20" s="38">
        <v>2.94</v>
      </c>
      <c r="H20" s="30">
        <v>36.03</v>
      </c>
      <c r="I20" s="30"/>
      <c r="J20" s="3">
        <v>41.97</v>
      </c>
      <c r="K20" s="38">
        <v>3.65</v>
      </c>
      <c r="L20" s="38">
        <v>3.64</v>
      </c>
      <c r="M20" s="38">
        <v>4.22</v>
      </c>
      <c r="N20" s="38">
        <v>4.8600000000000003</v>
      </c>
      <c r="O20" s="38">
        <v>3.89</v>
      </c>
      <c r="P20" s="38">
        <v>9.36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24"/>
    </row>
    <row r="21" spans="1:48" x14ac:dyDescent="0.3">
      <c r="A21" s="59"/>
      <c r="B21" s="3" t="s">
        <v>11</v>
      </c>
      <c r="C21" s="3">
        <v>39.380000000000003</v>
      </c>
      <c r="D21" s="3">
        <v>39.44</v>
      </c>
      <c r="E21" s="38">
        <v>36.46</v>
      </c>
      <c r="F21" s="38">
        <v>36.380000000000003</v>
      </c>
      <c r="G21" s="38">
        <v>36.369999999999997</v>
      </c>
      <c r="H21" s="30">
        <v>39.18</v>
      </c>
      <c r="I21" s="30"/>
      <c r="J21" s="3">
        <v>39.22</v>
      </c>
      <c r="K21" s="38">
        <v>36.229999999999997</v>
      </c>
      <c r="L21" s="38">
        <v>36.61</v>
      </c>
      <c r="M21" s="38">
        <v>27.01</v>
      </c>
      <c r="N21" s="38">
        <v>24</v>
      </c>
      <c r="O21" s="38">
        <v>25.93</v>
      </c>
      <c r="P21" s="38">
        <v>23.18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24"/>
    </row>
    <row r="22" spans="1:48" x14ac:dyDescent="0.3">
      <c r="A22" s="60" t="s">
        <v>35</v>
      </c>
      <c r="B22" s="2" t="s">
        <v>13</v>
      </c>
      <c r="C22" s="8">
        <v>3.54</v>
      </c>
      <c r="D22" s="8">
        <v>3.56</v>
      </c>
      <c r="E22" s="39">
        <v>3.65</v>
      </c>
      <c r="F22" s="39">
        <v>3.69</v>
      </c>
      <c r="G22" s="39">
        <v>3.68</v>
      </c>
      <c r="H22" s="31">
        <v>3.58</v>
      </c>
      <c r="I22" s="31"/>
      <c r="J22" s="8">
        <v>3.65</v>
      </c>
      <c r="K22" s="39">
        <v>3.73</v>
      </c>
      <c r="L22" s="39">
        <v>3.75</v>
      </c>
      <c r="M22" s="39">
        <v>3.82</v>
      </c>
      <c r="N22" s="39">
        <v>3.89</v>
      </c>
      <c r="O22" s="39">
        <v>3.8</v>
      </c>
      <c r="P22" s="39">
        <v>3.88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24"/>
    </row>
    <row r="23" spans="1:48" x14ac:dyDescent="0.3">
      <c r="A23" s="61"/>
      <c r="B23" s="2" t="s">
        <v>44</v>
      </c>
      <c r="C23" s="8">
        <v>11.2</v>
      </c>
      <c r="D23" s="8">
        <v>10.98</v>
      </c>
      <c r="E23" s="39">
        <v>1.46</v>
      </c>
      <c r="F23" s="39">
        <v>9.57</v>
      </c>
      <c r="G23" s="39">
        <v>9.74</v>
      </c>
      <c r="H23" s="31">
        <v>11.15</v>
      </c>
      <c r="I23" s="31"/>
      <c r="J23" s="8">
        <v>11.13</v>
      </c>
      <c r="K23" s="39">
        <v>9.77</v>
      </c>
      <c r="L23" s="39">
        <v>9.75</v>
      </c>
      <c r="M23" s="39">
        <v>9.74</v>
      </c>
      <c r="N23" s="39">
        <v>9.61</v>
      </c>
      <c r="O23" s="39">
        <v>9.81</v>
      </c>
      <c r="P23" s="39">
        <v>10.130000000000001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24"/>
    </row>
    <row r="24" spans="1:48" x14ac:dyDescent="0.3">
      <c r="A24" s="61"/>
      <c r="B24" s="2" t="s">
        <v>90</v>
      </c>
      <c r="C24" s="8">
        <v>11.215999999999999</v>
      </c>
      <c r="D24" s="8">
        <v>11.037000000000001</v>
      </c>
      <c r="E24" s="39">
        <v>9.7360000000000007</v>
      </c>
      <c r="F24" s="39">
        <v>9.5730000000000004</v>
      </c>
      <c r="G24" s="39">
        <v>9.7309999999999999</v>
      </c>
      <c r="H24" s="31">
        <v>11.145</v>
      </c>
      <c r="I24" s="31"/>
      <c r="J24" s="8">
        <v>11.17</v>
      </c>
      <c r="K24" s="39">
        <v>9.766</v>
      </c>
      <c r="L24" s="39">
        <v>9.7720000000000002</v>
      </c>
      <c r="M24" s="39">
        <v>9.7390000000000008</v>
      </c>
      <c r="N24" s="39">
        <v>9.6150000000000002</v>
      </c>
      <c r="O24" s="39">
        <v>9.8019999999999996</v>
      </c>
      <c r="P24" s="39">
        <v>10.131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24"/>
    </row>
    <row r="25" spans="1:48" x14ac:dyDescent="0.3">
      <c r="A25" s="61"/>
      <c r="B25" s="2" t="s">
        <v>91</v>
      </c>
      <c r="C25" s="8">
        <v>11.089</v>
      </c>
      <c r="D25" s="8">
        <v>10.855</v>
      </c>
      <c r="E25" s="39">
        <v>9.6449999999999996</v>
      </c>
      <c r="F25" s="39">
        <v>9.468</v>
      </c>
      <c r="G25" s="39">
        <v>9.6120000000000001</v>
      </c>
      <c r="H25" s="31">
        <v>11.048</v>
      </c>
      <c r="I25" s="31"/>
      <c r="J25" s="8">
        <v>10.99</v>
      </c>
      <c r="K25" s="39">
        <v>9.6780000000000008</v>
      </c>
      <c r="L25" s="39">
        <v>9.6590000000000007</v>
      </c>
      <c r="M25" s="39">
        <v>9.6199999999999992</v>
      </c>
      <c r="N25" s="39">
        <v>9.4649999999999999</v>
      </c>
      <c r="O25" s="39">
        <v>9.6069999999999993</v>
      </c>
      <c r="P25" s="39">
        <v>9.9489999999999998</v>
      </c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24"/>
    </row>
    <row r="26" spans="1:48" x14ac:dyDescent="0.3">
      <c r="A26" s="61"/>
      <c r="B26" s="2" t="s">
        <v>45</v>
      </c>
      <c r="C26" s="8">
        <v>10.95</v>
      </c>
      <c r="D26" s="8">
        <v>10.648</v>
      </c>
      <c r="E26" s="39">
        <v>9.5009999999999994</v>
      </c>
      <c r="F26" s="39">
        <v>9.3249999999999993</v>
      </c>
      <c r="G26" s="39">
        <v>9.5120000000000005</v>
      </c>
      <c r="H26" s="31">
        <v>10.896000000000001</v>
      </c>
      <c r="I26" s="31"/>
      <c r="J26" s="8">
        <v>10.834</v>
      </c>
      <c r="K26" s="39">
        <v>9.5709999999999997</v>
      </c>
      <c r="L26" s="39">
        <v>9.5470000000000006</v>
      </c>
      <c r="M26" s="39">
        <v>9.4789999999999992</v>
      </c>
      <c r="N26" s="39">
        <v>9.2959999999999994</v>
      </c>
      <c r="O26" s="39">
        <v>9.56</v>
      </c>
      <c r="P26" s="39">
        <v>9.7629999999999999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24"/>
    </row>
    <row r="27" spans="1:48" customFormat="1" ht="24" ph="1" x14ac:dyDescent="0.3">
      <c r="A27" s="61"/>
      <c r="B27" s="2" t="s" ph="1">
        <v>46</v>
      </c>
      <c r="C27" s="8" ph="1">
        <v>4.2590000000000003</v>
      </c>
      <c r="D27" s="8" ph="1">
        <v>4.3220000000000001</v>
      </c>
      <c r="E27" s="39" ph="1">
        <v>4.17</v>
      </c>
      <c r="F27" s="39" ph="1">
        <v>4.2320000000000002</v>
      </c>
      <c r="G27" s="39" ph="1">
        <v>4.1829999999999998</v>
      </c>
      <c r="H27" s="31" ph="1">
        <v>4.3109999999999999</v>
      </c>
      <c r="I27" s="31" ph="1"/>
      <c r="J27" s="8" ph="1">
        <v>4.4059999999999997</v>
      </c>
      <c r="K27" s="39" ph="1">
        <v>4.2270000000000003</v>
      </c>
      <c r="L27" s="36" ph="1">
        <v>4.24</v>
      </c>
      <c r="M27" s="39" ph="1">
        <v>4.3220000000000001</v>
      </c>
      <c r="N27" s="39" ph="1">
        <v>4.4109999999999996</v>
      </c>
      <c r="O27" s="39" ph="1">
        <v>4.2839999999999998</v>
      </c>
      <c r="P27" s="39" ph="1">
        <v>4.4409999999999998</v>
      </c>
      <c r="Q27" s="8" ph="1"/>
      <c r="R27" s="8" ph="1"/>
      <c r="S27" s="8" ph="1"/>
      <c r="T27" s="8" ph="1"/>
      <c r="U27" s="8" ph="1"/>
      <c r="V27" s="8" ph="1"/>
      <c r="W27" s="8" ph="1"/>
      <c r="X27" s="8" ph="1"/>
      <c r="Y27" s="8" ph="1"/>
      <c r="Z27" s="8" ph="1"/>
      <c r="AA27" s="8" ph="1"/>
      <c r="AB27" s="8" ph="1"/>
      <c r="AC27" s="8" ph="1"/>
      <c r="AD27" s="8" ph="1"/>
      <c r="AE27" s="8" ph="1"/>
      <c r="AF27" s="8" ph="1"/>
      <c r="AG27" s="8" ph="1"/>
      <c r="AH27" s="8" ph="1"/>
      <c r="AI27" s="8" ph="1"/>
      <c r="AJ27" s="8" ph="1"/>
      <c r="AK27" s="8" ph="1"/>
      <c r="AL27" s="8" ph="1"/>
      <c r="AM27" s="8" ph="1"/>
      <c r="AN27" s="8" ph="1"/>
      <c r="AO27" s="8" ph="1"/>
      <c r="AP27" s="8" ph="1"/>
      <c r="AQ27" s="24" ph="1"/>
    </row>
    <row r="28" spans="1:48" x14ac:dyDescent="0.3">
      <c r="A28" s="61"/>
      <c r="B28" s="2" t="s">
        <v>92</v>
      </c>
      <c r="C28" s="8">
        <v>3.8519999999999999</v>
      </c>
      <c r="D28" s="8">
        <v>3.89</v>
      </c>
      <c r="E28" s="39">
        <v>3.92</v>
      </c>
      <c r="F28" s="39">
        <v>3.964</v>
      </c>
      <c r="G28" s="39">
        <v>3.92</v>
      </c>
      <c r="H28" s="31">
        <v>3.8959999999999999</v>
      </c>
      <c r="I28" s="31"/>
      <c r="J28" s="8">
        <v>3.9769999999999999</v>
      </c>
      <c r="K28" s="39">
        <v>3.9830000000000001</v>
      </c>
      <c r="L28" s="39">
        <v>4.0039999999999996</v>
      </c>
      <c r="M28" s="39">
        <v>4.1020000000000003</v>
      </c>
      <c r="N28" s="39">
        <v>4.1779999999999999</v>
      </c>
      <c r="O28" s="39">
        <v>4.0609999999999999</v>
      </c>
      <c r="P28" s="39">
        <v>4.181</v>
      </c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24"/>
    </row>
    <row r="29" spans="1:48" x14ac:dyDescent="0.3">
      <c r="A29" s="61"/>
      <c r="B29" s="8" t="s">
        <v>8</v>
      </c>
      <c r="C29" s="8"/>
      <c r="D29" s="8"/>
      <c r="E29" s="39"/>
      <c r="F29" s="39"/>
      <c r="G29" s="39"/>
      <c r="H29" s="31"/>
      <c r="I29" s="31"/>
      <c r="J29" s="8"/>
      <c r="K29" s="39"/>
      <c r="L29" s="39"/>
      <c r="M29" s="39"/>
      <c r="N29" s="39"/>
      <c r="O29" s="39"/>
      <c r="P29" s="39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24"/>
    </row>
    <row r="30" spans="1:48" s="8" customFormat="1" x14ac:dyDescent="0.3">
      <c r="A30" s="62" t="s">
        <v>42</v>
      </c>
      <c r="B30" s="10" t="s">
        <v>47</v>
      </c>
      <c r="C30" s="10">
        <v>345</v>
      </c>
      <c r="D30" s="10">
        <v>345</v>
      </c>
      <c r="E30" s="40">
        <v>345</v>
      </c>
      <c r="F30" s="40">
        <v>345</v>
      </c>
      <c r="G30" s="40">
        <v>345</v>
      </c>
      <c r="H30" s="27">
        <v>345</v>
      </c>
      <c r="I30" s="27"/>
      <c r="J30" s="10">
        <v>345</v>
      </c>
      <c r="K30" s="40">
        <v>345</v>
      </c>
      <c r="L30" s="40">
        <v>345</v>
      </c>
      <c r="M30" s="40">
        <v>345</v>
      </c>
      <c r="N30" s="40">
        <v>345</v>
      </c>
      <c r="O30" s="40">
        <v>345</v>
      </c>
      <c r="P30" s="40">
        <v>345</v>
      </c>
      <c r="Q30" s="10">
        <v>345</v>
      </c>
      <c r="R30" s="10">
        <v>345</v>
      </c>
      <c r="S30" s="10">
        <v>345</v>
      </c>
      <c r="T30" s="10">
        <v>345</v>
      </c>
      <c r="U30" s="10">
        <v>345</v>
      </c>
      <c r="V30" s="10">
        <v>345</v>
      </c>
      <c r="W30" s="10">
        <v>345</v>
      </c>
      <c r="X30" s="10">
        <v>345</v>
      </c>
      <c r="Y30" s="10">
        <v>345</v>
      </c>
      <c r="Z30" s="10">
        <v>345</v>
      </c>
      <c r="AA30" s="10">
        <v>345</v>
      </c>
      <c r="AB30" s="10">
        <v>345</v>
      </c>
      <c r="AC30" s="10">
        <v>345</v>
      </c>
      <c r="AD30" s="10">
        <v>345</v>
      </c>
      <c r="AE30" s="10">
        <v>345</v>
      </c>
      <c r="AF30" s="10">
        <v>345</v>
      </c>
      <c r="AG30" s="10">
        <v>345</v>
      </c>
      <c r="AH30" s="10">
        <v>345</v>
      </c>
      <c r="AI30" s="10">
        <v>345</v>
      </c>
      <c r="AJ30" s="10">
        <v>345</v>
      </c>
      <c r="AK30" s="10">
        <v>345</v>
      </c>
      <c r="AL30" s="10">
        <v>345</v>
      </c>
      <c r="AM30" s="10">
        <v>345</v>
      </c>
      <c r="AN30" s="10">
        <v>345</v>
      </c>
      <c r="AO30" s="10">
        <v>345</v>
      </c>
      <c r="AP30" s="10">
        <v>345</v>
      </c>
    </row>
    <row r="31" spans="1:48" x14ac:dyDescent="0.3">
      <c r="A31" s="62"/>
      <c r="B31" s="10" t="s">
        <v>48</v>
      </c>
      <c r="C31" s="10">
        <v>9.4</v>
      </c>
      <c r="D31" s="10">
        <v>9.1999999999999993</v>
      </c>
      <c r="E31" s="40">
        <v>8</v>
      </c>
      <c r="F31" s="40">
        <v>7.8</v>
      </c>
      <c r="G31" s="40">
        <v>8</v>
      </c>
      <c r="H31" s="27">
        <v>9.4</v>
      </c>
      <c r="I31" s="27"/>
      <c r="J31" s="10">
        <v>9.4</v>
      </c>
      <c r="K31" s="40">
        <v>8</v>
      </c>
      <c r="L31" s="40">
        <v>8</v>
      </c>
      <c r="M31" s="40">
        <v>8</v>
      </c>
      <c r="N31" s="40">
        <v>7.8</v>
      </c>
      <c r="O31" s="40">
        <v>8.1</v>
      </c>
      <c r="P31" s="40">
        <v>8.6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24"/>
    </row>
    <row r="32" spans="1:48" s="6" customFormat="1" x14ac:dyDescent="0.3">
      <c r="A32" s="62"/>
      <c r="B32" s="10" t="s">
        <v>36</v>
      </c>
      <c r="C32" s="10">
        <v>500</v>
      </c>
      <c r="D32" s="10">
        <v>500</v>
      </c>
      <c r="E32" s="40">
        <v>500</v>
      </c>
      <c r="F32" s="40">
        <v>500</v>
      </c>
      <c r="G32" s="40">
        <v>600</v>
      </c>
      <c r="H32" s="27">
        <v>600</v>
      </c>
      <c r="I32" s="27"/>
      <c r="J32" s="10">
        <v>700</v>
      </c>
      <c r="K32" s="40">
        <v>700</v>
      </c>
      <c r="L32" s="40">
        <v>800</v>
      </c>
      <c r="M32" s="40">
        <v>900</v>
      </c>
      <c r="N32" s="40">
        <v>900</v>
      </c>
      <c r="O32" s="40">
        <v>900</v>
      </c>
      <c r="P32" s="40">
        <v>1000</v>
      </c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s="5" customFormat="1" x14ac:dyDescent="0.3">
      <c r="A33" s="62"/>
      <c r="B33" s="10" t="s">
        <v>49</v>
      </c>
      <c r="C33" s="25">
        <v>5000</v>
      </c>
      <c r="D33" s="25">
        <v>5000</v>
      </c>
      <c r="E33" s="40">
        <v>5000</v>
      </c>
      <c r="F33" s="40">
        <v>5000</v>
      </c>
      <c r="G33" s="40">
        <v>5000</v>
      </c>
      <c r="H33" s="25">
        <v>5000</v>
      </c>
      <c r="I33" s="25"/>
      <c r="J33" s="25">
        <v>5000</v>
      </c>
      <c r="K33" s="40">
        <v>5000</v>
      </c>
      <c r="L33" s="40">
        <v>5000</v>
      </c>
      <c r="M33" s="40">
        <v>5000</v>
      </c>
      <c r="N33" s="40">
        <v>5000</v>
      </c>
      <c r="O33" s="40">
        <v>5000</v>
      </c>
      <c r="P33" s="40">
        <v>5000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s="6" customFormat="1" x14ac:dyDescent="0.3">
      <c r="A34" s="62"/>
      <c r="B34" s="34" t="s">
        <v>50</v>
      </c>
      <c r="C34" s="34">
        <v>326</v>
      </c>
      <c r="D34" s="34">
        <v>380</v>
      </c>
      <c r="E34" s="40">
        <v>280</v>
      </c>
      <c r="F34" s="40">
        <v>305</v>
      </c>
      <c r="G34" s="40">
        <v>280</v>
      </c>
      <c r="H34" s="34">
        <v>365</v>
      </c>
      <c r="I34" s="34"/>
      <c r="J34" s="34">
        <v>400</v>
      </c>
      <c r="K34" s="40">
        <v>278</v>
      </c>
      <c r="L34" s="40">
        <v>380</v>
      </c>
      <c r="M34" s="40">
        <v>277</v>
      </c>
      <c r="N34" s="40">
        <v>283</v>
      </c>
      <c r="O34" s="40">
        <v>275</v>
      </c>
      <c r="P34" s="40">
        <v>280</v>
      </c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3"/>
    </row>
    <row r="35" spans="1:48" ht="16.5" x14ac:dyDescent="0.3">
      <c r="A35" s="62"/>
      <c r="B35" s="10" t="s">
        <v>51</v>
      </c>
      <c r="C35" s="10">
        <v>135.4</v>
      </c>
      <c r="D35" s="10">
        <v>140.1</v>
      </c>
      <c r="E35" s="40">
        <v>115.4</v>
      </c>
      <c r="F35" s="40">
        <v>117.8</v>
      </c>
      <c r="G35" s="40">
        <v>115.4</v>
      </c>
      <c r="H35" s="27">
        <v>142.19999999999999</v>
      </c>
      <c r="I35" s="27"/>
      <c r="J35" s="10">
        <v>147.4</v>
      </c>
      <c r="K35" s="40">
        <v>115.4</v>
      </c>
      <c r="L35" s="40">
        <v>115.4</v>
      </c>
      <c r="M35" s="40">
        <v>129</v>
      </c>
      <c r="N35" s="40">
        <v>136.30000000000001</v>
      </c>
      <c r="O35" s="40">
        <v>126.5</v>
      </c>
      <c r="P35" s="40">
        <v>156.19999999999999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24"/>
    </row>
    <row r="36" spans="1:48" ht="16.5" x14ac:dyDescent="0.3">
      <c r="A36" s="62"/>
      <c r="B36" s="10" t="s">
        <v>52</v>
      </c>
      <c r="C36" s="10">
        <v>480.399</v>
      </c>
      <c r="D36" s="10">
        <v>478.89499999999998</v>
      </c>
      <c r="E36" s="40">
        <v>479.20600000000002</v>
      </c>
      <c r="F36" s="40">
        <v>477.19400000000002</v>
      </c>
      <c r="G36" s="40">
        <v>479.09100000000001</v>
      </c>
      <c r="H36" s="27">
        <v>479.24900000000002</v>
      </c>
      <c r="I36" s="27"/>
      <c r="J36" s="10">
        <v>478.00799999999998</v>
      </c>
      <c r="K36" s="40">
        <v>478.86500000000001</v>
      </c>
      <c r="L36" s="40">
        <v>479.935</v>
      </c>
      <c r="M36" s="40">
        <v>481.065</v>
      </c>
      <c r="N36" s="40">
        <v>481.49799999999999</v>
      </c>
      <c r="O36" s="40">
        <v>479.48599999999999</v>
      </c>
      <c r="P36" s="40">
        <v>478.76400000000001</v>
      </c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24"/>
    </row>
    <row r="37" spans="1:48" x14ac:dyDescent="0.3">
      <c r="A37" s="62"/>
      <c r="B37" s="10" t="s">
        <v>53</v>
      </c>
      <c r="C37" s="10">
        <v>4509.96</v>
      </c>
      <c r="D37" s="10">
        <v>4521.25</v>
      </c>
      <c r="E37" s="40">
        <v>4512.07</v>
      </c>
      <c r="F37" s="40">
        <v>4517.58</v>
      </c>
      <c r="G37" s="40">
        <v>4510.79</v>
      </c>
      <c r="H37" s="27">
        <v>4498.71</v>
      </c>
      <c r="I37" s="27"/>
      <c r="J37" s="10">
        <v>4499.2700000000004</v>
      </c>
      <c r="K37" s="40">
        <v>4489.2299999999996</v>
      </c>
      <c r="L37" s="40">
        <v>4503.72</v>
      </c>
      <c r="M37" s="40">
        <v>4503.05</v>
      </c>
      <c r="N37" s="40">
        <v>4503.09</v>
      </c>
      <c r="O37" s="40">
        <v>4502.95</v>
      </c>
      <c r="P37" s="40">
        <v>4513.3999999999996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24"/>
    </row>
    <row r="38" spans="1:48" s="53" customFormat="1" x14ac:dyDescent="0.3">
      <c r="A38" s="62"/>
      <c r="B38" s="48" t="s">
        <v>54</v>
      </c>
      <c r="C38" s="48">
        <v>3964.63</v>
      </c>
      <c r="D38" s="48">
        <v>3892.12</v>
      </c>
      <c r="E38" s="49">
        <v>4067.08</v>
      </c>
      <c r="F38" s="49">
        <v>3939.35</v>
      </c>
      <c r="G38" s="49">
        <v>4018.02</v>
      </c>
      <c r="H38" s="50">
        <v>3894.98</v>
      </c>
      <c r="I38" s="50"/>
      <c r="J38" s="48">
        <v>3753.3</v>
      </c>
      <c r="K38" s="49">
        <v>4031.34</v>
      </c>
      <c r="L38" s="49">
        <v>3984.94</v>
      </c>
      <c r="M38" s="49">
        <v>3790.92</v>
      </c>
      <c r="N38" s="49">
        <v>3582.97</v>
      </c>
      <c r="O38" s="49">
        <v>3833</v>
      </c>
      <c r="P38" s="49">
        <v>3606.7</v>
      </c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52"/>
    </row>
    <row r="39" spans="1:48" s="47" customFormat="1" x14ac:dyDescent="0.3">
      <c r="A39" s="62"/>
      <c r="B39" s="46" t="s">
        <v>37</v>
      </c>
      <c r="C39" s="46" cm="1">
        <f t="array" ref="C39">C35/3600*([1]!Enthalpy("carbon dioxide","TP","SI",C17+273.15,C28)-[1]!Enthalpy("carbon dioxide","TP","SI",C14+273.15,C26))*1000</f>
        <v>4513.3528096748623</v>
      </c>
      <c r="D39" s="46" cm="1">
        <f t="array" ref="D39">D35/3600*([1]!Enthalpy("carbon dioxide","TP","SI",D17+273.15,D28)-[1]!Enthalpy("carbon dioxide","TP","SI",D14+273.15,D26))*1000</f>
        <v>4473.3882696296159</v>
      </c>
      <c r="E39" s="46" cm="1">
        <f t="array" ref="E39">E35/3600*([1]!Enthalpy("carbon dioxide","TP","SI",E17+273.15,E28)-[1]!Enthalpy("carbon dioxide","TP","SI",E14+273.15,E26))*1000</f>
        <v>4659.871835223812</v>
      </c>
      <c r="F39" s="46" cm="1">
        <f t="array" ref="F39">F35/3600*([1]!Enthalpy("carbon dioxide","TP","SI",F17+273.15,F28)-[1]!Enthalpy("carbon dioxide","TP","SI",F14+273.15,F26))*1000</f>
        <v>4539.317224131898</v>
      </c>
      <c r="G39" s="46" cm="1">
        <f t="array" ref="G39">G35/3600*([1]!Enthalpy("carbon dioxide","TP","SI",G17+273.15,G28)-[1]!Enthalpy("carbon dioxide","TP","SI",G14+273.15,G26))*1000</f>
        <v>4693.3442024490478</v>
      </c>
      <c r="H39" s="46" cm="1">
        <f t="array" ref="H39">H35/3600*([1]!Enthalpy("carbon dioxide","TP","SI",H17+273.15,H28)-[1]!Enthalpy("carbon dioxide","TP","SI",H14+273.15,H26))*1000</f>
        <v>4516.9283582617682</v>
      </c>
      <c r="I39" s="46" t="e" cm="1">
        <f t="array" ref="I39">I35/3600*([1]!Enthalpy("carbon dioxide","TP","SI",I17+273.15,I28)-[1]!Enthalpy("carbon dioxide","TP","SI",I14+273.15,I26))*1000</f>
        <v>#VALUE!</v>
      </c>
      <c r="J39" s="46" cm="1">
        <f t="array" ref="J39">J35/3600*([1]!Enthalpy("carbon dioxide","TP","SI",J17+273.15,J28)-[1]!Enthalpy("carbon dioxide","TP","SI",J14+273.15,J26))*1000</f>
        <v>4655.1196421759651</v>
      </c>
      <c r="K39" s="46" cm="1">
        <f t="array" ref="K39">K35/3600*([1]!Enthalpy("carbon dioxide","TP","SI",K17+273.15,K28)-[1]!Enthalpy("carbon dioxide","TP","SI",K14+273.15,K26))*1000</f>
        <v>4746.0880573800086</v>
      </c>
      <c r="L39" s="46" cm="1">
        <f t="array" ref="L39">L35/3600*([1]!Enthalpy("carbon dioxide","TP","SI",L17+273.15,L28)-[1]!Enthalpy("carbon dioxide","TP","SI",L14+273.15,L26))*1000</f>
        <v>4730.304851183857</v>
      </c>
      <c r="M39" s="46" cm="1">
        <f t="array" ref="M39">M35/3600*([1]!Enthalpy("carbon dioxide","TP","SI",M17+273.15,M28)-[1]!Enthalpy("carbon dioxide","TP","SI",M14+273.15,M26))*1000</f>
        <v>5837.7167828537758</v>
      </c>
      <c r="N39" s="46" cm="1">
        <f t="array" ref="N39">N35/3600*([1]!Enthalpy("carbon dioxide","TP","SI",N17+273.15,N28)-[1]!Enthalpy("carbon dioxide","TP","SI",N14+273.15,N26))*1000</f>
        <v>5738.995725130866</v>
      </c>
      <c r="O39" s="46" cm="1">
        <f t="array" ref="O39">O35/3600*([1]!Enthalpy("carbon dioxide","TP","SI",O17+273.15,O28)-[1]!Enthalpy("carbon dioxide","TP","SI",O14+273.15,O26))*1000</f>
        <v>5497.7422814420834</v>
      </c>
      <c r="P39" s="46" cm="1">
        <f t="array" ref="P39">P35/3600*([1]!Enthalpy("carbon dioxide","TP","SI",P17+273.15,P28)-[1]!Enthalpy("carbon dioxide","TP","SI",P14+273.15,P26))*1000</f>
        <v>7567.6785040119184</v>
      </c>
      <c r="Q39" s="46" t="e" cm="1">
        <f t="array" ref="Q39">Q35/3600*( [1]!Enthalpy("carbon dioxide","TP","SI",Q17+273.15,Q28)- [1]!Enthalpy("carbon dioxide","TP","SI",Q14+273.15,Q26))*1000</f>
        <v>#VALUE!</v>
      </c>
      <c r="R39" s="46" t="e" cm="1">
        <f t="array" ref="R39">R35/3600*( [1]!Enthalpy("carbon dioxide","TP","SI",R17+273.15,R28)- [1]!Enthalpy("carbon dioxide","TP","SI",R14+273.15,R26))*1000</f>
        <v>#VALUE!</v>
      </c>
      <c r="S39" s="46" t="e" cm="1">
        <f t="array" ref="S39">S35/3600*( [1]!Enthalpy("carbon dioxide","TP","SI",S17+273.15,S28)- [1]!Enthalpy("carbon dioxide","TP","SI",S14+273.15,S26))*1000</f>
        <v>#VALUE!</v>
      </c>
      <c r="T39" s="46" t="e" cm="1">
        <f t="array" ref="T39">T35/3600*( [1]!Enthalpy("carbon dioxide","TP","SI",T17+273.15,T28)- [1]!Enthalpy("carbon dioxide","TP","SI",T14+273.15,T26))*1000</f>
        <v>#VALUE!</v>
      </c>
      <c r="U39" s="46" t="e" cm="1">
        <f t="array" ref="U39">U35/3600*( [1]!Enthalpy("carbon dioxide","TP","SI",U17+273.15,U28)- [1]!Enthalpy("carbon dioxide","TP","SI",U14+273.15,U26))*1000</f>
        <v>#VALUE!</v>
      </c>
      <c r="V39" s="46" t="e" cm="1">
        <f t="array" ref="V39">V35/3600*( [1]!Enthalpy("carbon dioxide","TP","SI",V17+273.15,V28)- [1]!Enthalpy("carbon dioxide","TP","SI",V14+273.15,V26))*1000</f>
        <v>#VALUE!</v>
      </c>
      <c r="W39" s="46" t="e" cm="1">
        <f t="array" ref="W39">W35/3600*( [1]!Enthalpy("carbon dioxide","TP","SI",W18+273.15,W28)- [1]!Enthalpy("carbon dioxide","TP","SI",W15+273.15,W26))*1000</f>
        <v>#VALUE!</v>
      </c>
      <c r="X39" s="46" t="e" cm="1">
        <f t="array" ref="X39">X35/3600*( [1]!Enthalpy("carbon dioxide","TP","SI",X17+273.15,X28)- [1]!Enthalpy("carbon dioxide","TP","SI",X14+273.15,X26))*1000</f>
        <v>#VALUE!</v>
      </c>
      <c r="Y39" s="46" t="e" cm="1">
        <f t="array" ref="Y39">Y35/3600*( [1]!Enthalpy("carbon dioxide","TP","SI",Y17+273.15,Y28)- [1]!Enthalpy("carbon dioxide","TP","SI",Y14+273.15,Y26))*1000</f>
        <v>#VALUE!</v>
      </c>
      <c r="Z39" s="46" t="e" cm="1">
        <f t="array" ref="Z39">Z35/3600*( [1]!Enthalpy("carbon dioxide","TP","SI",Z18+273.15,Z28)- [1]!Enthalpy("carbon dioxide","TP","SI",Z15+273.15,Z26))*1000</f>
        <v>#VALUE!</v>
      </c>
      <c r="AA39" s="46" t="e" cm="1">
        <f t="array" ref="AA39">AA35/3600*( [1]!Enthalpy("carbon dioxide","TP","SI",AA17+273.15,AA28)- [1]!Enthalpy("carbon dioxide","TP","SI",AA14+273.15,AA26))*1000</f>
        <v>#VALUE!</v>
      </c>
      <c r="AB39" s="46" t="e" cm="1">
        <f t="array" ref="AB39">AB35/3600*( [1]!Enthalpy("carbon dioxide","TP","SI",AB17+273.15,AB28)- [1]!Enthalpy("carbon dioxide","TP","SI",AB14+273.15,AB26))*1000</f>
        <v>#VALUE!</v>
      </c>
      <c r="AC39" s="46" t="e" cm="1">
        <f t="array" ref="AC39">AC35/3600*( [1]!Enthalpy("carbon dioxide","TP","SI",AC18+273.15,AC28)- [1]!Enthalpy("carbon dioxide","TP","SI",AC15+273.15,AC26))*1000</f>
        <v>#VALUE!</v>
      </c>
      <c r="AD39" s="46" t="e" cm="1">
        <f t="array" ref="AD39">AD35/3600*( [1]!Enthalpy("carbon dioxide","TP","SI",AD17+273.15,AD28)- [1]!Enthalpy("carbon dioxide","TP","SI",AD14+273.15,AD26))*1000</f>
        <v>#VALUE!</v>
      </c>
      <c r="AE39" s="46" t="e" cm="1">
        <f t="array" ref="AE39">AE35/3600*( [1]!Enthalpy("carbon dioxide","TP","SI",AE17+273.15,AE28)- [1]!Enthalpy("carbon dioxide","TP","SI",AE14+273.15,AE26))*1000</f>
        <v>#VALUE!</v>
      </c>
      <c r="AF39" s="46" t="e" cm="1">
        <f t="array" ref="AF39">AF35/3600*( [1]!Enthalpy("carbon dioxide","TP","SI",AF18+273.15,AF28)- [1]!Enthalpy("carbon dioxide","TP","SI",AF15+273.15,AF26))*1000</f>
        <v>#VALUE!</v>
      </c>
      <c r="AG39" s="46" t="e" cm="1">
        <f t="array" ref="AG39">AG35/3600*( [1]!Enthalpy("carbon dioxide","TP","SI",AG17+273.15,AG28)- [1]!Enthalpy("carbon dioxide","TP","SI",AG14+273.15,AG26))*1000</f>
        <v>#VALUE!</v>
      </c>
      <c r="AH39" s="46" t="e" cm="1">
        <f t="array" ref="AH39">AH35/3600*( [1]!Enthalpy("carbon dioxide","TP","SI",AH17+273.15,AH28)- [1]!Enthalpy("carbon dioxide","TP","SI",AH14+273.15,AH26))*1000</f>
        <v>#VALUE!</v>
      </c>
      <c r="AI39" s="46" t="e" cm="1">
        <f t="array" ref="AI39">AI35/3600*( [1]!Enthalpy("carbon dioxide","TP","SI",AI18+273.15,AI28)- [1]!Enthalpy("carbon dioxide","TP","SI",AI15+273.15,AI26))*1000</f>
        <v>#VALUE!</v>
      </c>
      <c r="AJ39" s="46" t="e" cm="1">
        <f t="array" ref="AJ39">AJ35/3600*( [1]!Enthalpy("carbon dioxide","TP","SI",AJ17+273.15,AJ28)- [1]!Enthalpy("carbon dioxide","TP","SI",AJ14+273.15,AJ26))*1000</f>
        <v>#VALUE!</v>
      </c>
      <c r="AK39" s="46" t="e" cm="1">
        <f t="array" ref="AK39">AK35/3600*( [1]!Enthalpy("carbon dioxide","TP","SI",AK17+273.15,AK28)- [1]!Enthalpy("carbon dioxide","TP","SI",AK14+273.15,AK26))*1000</f>
        <v>#VALUE!</v>
      </c>
      <c r="AL39" s="46" t="e" cm="1">
        <f t="array" ref="AL39">AL35/3600*( [1]!Enthalpy("carbon dioxide","TP","SI",AL18+273.15,AL28)- [1]!Enthalpy("carbon dioxide","TP","SI",AL15+273.15,AL26))*1000</f>
        <v>#VALUE!</v>
      </c>
      <c r="AM39" s="46" t="e" cm="1">
        <f t="array" ref="AM39">AM35/3600*( [1]!Enthalpy("carbon dioxide","TP","SI",AM17+273.15,AM28)- [1]!Enthalpy("carbon dioxide","TP","SI",AM14+273.15,AM26))*1000</f>
        <v>#VALUE!</v>
      </c>
      <c r="AN39" s="46" t="e" cm="1">
        <f t="array" ref="AN39">AN35/3600*( [1]!Enthalpy("carbon dioxide","TP","SI",AN17+273.15,AN28)- [1]!Enthalpy("carbon dioxide","TP","SI",AN14+273.15,AN26))*1000</f>
        <v>#VALUE!</v>
      </c>
      <c r="AO39" s="46" t="e" cm="1">
        <f t="array" ref="AO39">AO35/3600*( [1]!Enthalpy("carbon dioxide","TP","SI",AO18+273.15,AO28)- [1]!Enthalpy("carbon dioxide","TP","SI",AO15+273.15,AO26))*1000</f>
        <v>#VALUE!</v>
      </c>
      <c r="AP39" s="46" t="e" cm="1">
        <f t="array" ref="AP39">AP35/3600*( [1]!Enthalpy("carbon dioxide","TP","SI",AP17+273.15,AP28)- [1]!Enthalpy("carbon dioxide","TP","SI",AP14+273.15,AP26))*1000</f>
        <v>#VALUE!</v>
      </c>
      <c r="AQ39" s="46" t="e" cm="1">
        <f t="array" ref="AQ39">AQ35/3600*( [1]!Enthalpy("carbon dioxide","TP","SI",AQ17+273.15,AQ28)- [1]!Enthalpy("carbon dioxide","TP","SI",AQ14+273.15,AQ26))*1000</f>
        <v>#VALUE!</v>
      </c>
    </row>
    <row r="40" spans="1:48" x14ac:dyDescent="0.3">
      <c r="A40" s="62"/>
      <c r="B40" s="10" t="s">
        <v>38</v>
      </c>
      <c r="C40" s="10"/>
      <c r="D40" s="10"/>
      <c r="E40" s="40"/>
      <c r="F40" s="40"/>
      <c r="G40" s="40"/>
      <c r="H40" s="27"/>
      <c r="I40" s="27"/>
      <c r="J40" s="10"/>
      <c r="K40" s="40"/>
      <c r="L40" s="40"/>
      <c r="M40" s="40"/>
      <c r="N40" s="40"/>
      <c r="O40" s="40"/>
      <c r="P40" s="4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24"/>
    </row>
    <row r="41" spans="1:48" x14ac:dyDescent="0.3">
      <c r="A41" s="62"/>
      <c r="B41" s="10" t="s">
        <v>55</v>
      </c>
      <c r="C41" s="10">
        <f t="shared" ref="C41:AP41" si="0">C30*C31</f>
        <v>3243</v>
      </c>
      <c r="D41" s="10">
        <f t="shared" si="0"/>
        <v>3173.9999999999995</v>
      </c>
      <c r="E41" s="40">
        <f t="shared" si="0"/>
        <v>2760</v>
      </c>
      <c r="F41" s="40">
        <f t="shared" si="0"/>
        <v>2691</v>
      </c>
      <c r="G41" s="40">
        <f t="shared" si="0"/>
        <v>2760</v>
      </c>
      <c r="H41" s="27">
        <f t="shared" si="0"/>
        <v>3243</v>
      </c>
      <c r="I41" s="27"/>
      <c r="J41" s="10">
        <f t="shared" si="0"/>
        <v>3243</v>
      </c>
      <c r="K41" s="40">
        <f t="shared" si="0"/>
        <v>2760</v>
      </c>
      <c r="L41" s="40">
        <f>L30*L31</f>
        <v>2760</v>
      </c>
      <c r="M41" s="40">
        <f t="shared" ref="M41:P41" si="1">M30*M31</f>
        <v>2760</v>
      </c>
      <c r="N41" s="40">
        <f t="shared" si="1"/>
        <v>2691</v>
      </c>
      <c r="O41" s="40">
        <f t="shared" si="1"/>
        <v>2794.5</v>
      </c>
      <c r="P41" s="40">
        <f t="shared" si="1"/>
        <v>2967</v>
      </c>
      <c r="Q41" s="10">
        <f t="shared" si="0"/>
        <v>0</v>
      </c>
      <c r="R41" s="10">
        <f t="shared" si="0"/>
        <v>0</v>
      </c>
      <c r="S41" s="10">
        <f t="shared" si="0"/>
        <v>0</v>
      </c>
      <c r="T41" s="10">
        <f t="shared" si="0"/>
        <v>0</v>
      </c>
      <c r="U41" s="10">
        <f t="shared" si="0"/>
        <v>0</v>
      </c>
      <c r="V41" s="10">
        <f t="shared" si="0"/>
        <v>0</v>
      </c>
      <c r="W41" s="10">
        <f t="shared" si="0"/>
        <v>0</v>
      </c>
      <c r="X41" s="10">
        <f t="shared" si="0"/>
        <v>0</v>
      </c>
      <c r="Y41" s="10">
        <f t="shared" si="0"/>
        <v>0</v>
      </c>
      <c r="Z41" s="10">
        <f t="shared" si="0"/>
        <v>0</v>
      </c>
      <c r="AA41" s="10">
        <f t="shared" si="0"/>
        <v>0</v>
      </c>
      <c r="AB41" s="10">
        <f t="shared" si="0"/>
        <v>0</v>
      </c>
      <c r="AC41" s="10">
        <f t="shared" si="0"/>
        <v>0</v>
      </c>
      <c r="AD41" s="10">
        <f t="shared" si="0"/>
        <v>0</v>
      </c>
      <c r="AE41" s="10">
        <f t="shared" si="0"/>
        <v>0</v>
      </c>
      <c r="AF41" s="10">
        <f t="shared" si="0"/>
        <v>0</v>
      </c>
      <c r="AG41" s="10">
        <f t="shared" si="0"/>
        <v>0</v>
      </c>
      <c r="AH41" s="10">
        <f t="shared" si="0"/>
        <v>0</v>
      </c>
      <c r="AI41" s="10">
        <f t="shared" si="0"/>
        <v>0</v>
      </c>
      <c r="AJ41" s="10">
        <f t="shared" si="0"/>
        <v>0</v>
      </c>
      <c r="AK41" s="10">
        <f t="shared" si="0"/>
        <v>0</v>
      </c>
      <c r="AL41" s="10">
        <f t="shared" si="0"/>
        <v>0</v>
      </c>
      <c r="AM41" s="10">
        <f t="shared" si="0"/>
        <v>0</v>
      </c>
      <c r="AN41" s="10">
        <f t="shared" si="0"/>
        <v>0</v>
      </c>
      <c r="AO41" s="10">
        <f t="shared" si="0"/>
        <v>0</v>
      </c>
      <c r="AP41" s="10">
        <f t="shared" si="0"/>
        <v>0</v>
      </c>
      <c r="AQ41" s="24"/>
    </row>
    <row r="42" spans="1:48" x14ac:dyDescent="0.3">
      <c r="A42" s="62"/>
      <c r="B42" s="10" t="s">
        <v>56</v>
      </c>
      <c r="C42" s="10"/>
      <c r="D42" s="10"/>
      <c r="E42" s="40"/>
      <c r="F42" s="40"/>
      <c r="G42" s="40"/>
      <c r="H42" s="27"/>
      <c r="I42" s="27"/>
      <c r="J42" s="10"/>
      <c r="K42" s="40"/>
      <c r="L42" s="40"/>
      <c r="M42" s="40"/>
      <c r="N42" s="40"/>
      <c r="O42" s="40"/>
      <c r="P42" s="4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24"/>
    </row>
    <row r="43" spans="1:48" s="51" customFormat="1" x14ac:dyDescent="0.3">
      <c r="A43" s="62"/>
      <c r="B43" s="48" t="s">
        <v>57</v>
      </c>
      <c r="C43" s="48">
        <f>C38/C41</f>
        <v>1.2225192722787543</v>
      </c>
      <c r="D43" s="48">
        <f t="shared" ref="D43:K43" si="2">D38/D41</f>
        <v>1.2262507876496536</v>
      </c>
      <c r="E43" s="49">
        <f t="shared" si="2"/>
        <v>1.4735797101449275</v>
      </c>
      <c r="F43" s="49">
        <f t="shared" si="2"/>
        <v>1.4638981791155703</v>
      </c>
      <c r="G43" s="49">
        <f t="shared" si="2"/>
        <v>1.4558043478260869</v>
      </c>
      <c r="H43" s="50">
        <f t="shared" si="2"/>
        <v>1.2010422448350293</v>
      </c>
      <c r="I43" s="50"/>
      <c r="J43" s="48">
        <f t="shared" si="2"/>
        <v>1.157354301572618</v>
      </c>
      <c r="K43" s="49">
        <f t="shared" si="2"/>
        <v>1.4606304347826087</v>
      </c>
      <c r="L43" s="49">
        <f>L38/L41</f>
        <v>1.4438188405797101</v>
      </c>
      <c r="M43" s="49">
        <f t="shared" ref="M43:P43" si="3">M38/M41</f>
        <v>1.3735217391304348</v>
      </c>
      <c r="N43" s="49">
        <f t="shared" si="3"/>
        <v>1.3314641397250093</v>
      </c>
      <c r="O43" s="49">
        <f t="shared" si="3"/>
        <v>1.3716228305600286</v>
      </c>
      <c r="P43" s="49">
        <f t="shared" si="3"/>
        <v>1.2156049882035727</v>
      </c>
      <c r="Q43" s="48" t="e">
        <f t="shared" ref="Q43:AQ43" si="4">Q38/Q41</f>
        <v>#DIV/0!</v>
      </c>
      <c r="R43" s="48" t="e">
        <f t="shared" si="4"/>
        <v>#DIV/0!</v>
      </c>
      <c r="S43" s="48" t="e">
        <f t="shared" si="4"/>
        <v>#DIV/0!</v>
      </c>
      <c r="T43" s="48" t="e">
        <f t="shared" si="4"/>
        <v>#DIV/0!</v>
      </c>
      <c r="U43" s="48" t="e">
        <f t="shared" si="4"/>
        <v>#DIV/0!</v>
      </c>
      <c r="V43" s="48" t="e">
        <f t="shared" si="4"/>
        <v>#DIV/0!</v>
      </c>
      <c r="W43" s="48" t="e">
        <f t="shared" si="4"/>
        <v>#DIV/0!</v>
      </c>
      <c r="X43" s="48" t="e">
        <f t="shared" si="4"/>
        <v>#DIV/0!</v>
      </c>
      <c r="Y43" s="48" t="e">
        <f t="shared" si="4"/>
        <v>#DIV/0!</v>
      </c>
      <c r="Z43" s="48" t="e">
        <f t="shared" si="4"/>
        <v>#DIV/0!</v>
      </c>
      <c r="AA43" s="48" t="e">
        <f t="shared" si="4"/>
        <v>#DIV/0!</v>
      </c>
      <c r="AB43" s="48" t="e">
        <f t="shared" si="4"/>
        <v>#DIV/0!</v>
      </c>
      <c r="AC43" s="48" t="e">
        <f t="shared" si="4"/>
        <v>#DIV/0!</v>
      </c>
      <c r="AD43" s="48" t="e">
        <f t="shared" si="4"/>
        <v>#DIV/0!</v>
      </c>
      <c r="AE43" s="48" t="e">
        <f t="shared" si="4"/>
        <v>#DIV/0!</v>
      </c>
      <c r="AF43" s="48" t="e">
        <f t="shared" si="4"/>
        <v>#DIV/0!</v>
      </c>
      <c r="AG43" s="48" t="e">
        <f t="shared" si="4"/>
        <v>#DIV/0!</v>
      </c>
      <c r="AH43" s="48" t="e">
        <f t="shared" si="4"/>
        <v>#DIV/0!</v>
      </c>
      <c r="AI43" s="48" t="e">
        <f t="shared" si="4"/>
        <v>#DIV/0!</v>
      </c>
      <c r="AJ43" s="48" t="e">
        <f t="shared" si="4"/>
        <v>#DIV/0!</v>
      </c>
      <c r="AK43" s="48" t="e">
        <f t="shared" si="4"/>
        <v>#DIV/0!</v>
      </c>
      <c r="AL43" s="48" t="e">
        <f t="shared" si="4"/>
        <v>#DIV/0!</v>
      </c>
      <c r="AM43" s="48" t="e">
        <f t="shared" si="4"/>
        <v>#DIV/0!</v>
      </c>
      <c r="AN43" s="48" t="e">
        <f t="shared" si="4"/>
        <v>#DIV/0!</v>
      </c>
      <c r="AO43" s="48" t="e">
        <f t="shared" si="4"/>
        <v>#DIV/0!</v>
      </c>
      <c r="AP43" s="48" t="e">
        <f t="shared" si="4"/>
        <v>#DIV/0!</v>
      </c>
      <c r="AQ43" s="48" t="e">
        <f t="shared" si="4"/>
        <v>#DIV/0!</v>
      </c>
    </row>
    <row r="44" spans="1:48" x14ac:dyDescent="0.3">
      <c r="A44" s="62"/>
      <c r="B44" s="10" t="s">
        <v>58</v>
      </c>
      <c r="C44" s="10">
        <f t="shared" ref="C44:H44" si="5">C39/C41</f>
        <v>1.391721495428573</v>
      </c>
      <c r="D44" s="10">
        <f t="shared" si="5"/>
        <v>1.4093850881000682</v>
      </c>
      <c r="E44" s="40">
        <f t="shared" si="5"/>
        <v>1.6883593605883376</v>
      </c>
      <c r="F44" s="40">
        <f t="shared" si="5"/>
        <v>1.6868514396625411</v>
      </c>
      <c r="G44" s="40">
        <f t="shared" si="5"/>
        <v>1.7004870298728434</v>
      </c>
      <c r="H44" s="27">
        <f t="shared" si="5"/>
        <v>1.3928240389336319</v>
      </c>
      <c r="I44" s="27"/>
      <c r="J44" s="10">
        <f>J39/J41</f>
        <v>1.4354362140536432</v>
      </c>
      <c r="K44" s="40">
        <f>K39/K41</f>
        <v>1.7195971222391335</v>
      </c>
      <c r="L44" s="40">
        <f>L39/L41</f>
        <v>1.7138785692695133</v>
      </c>
      <c r="M44" s="40">
        <f t="shared" ref="M44:P44" si="6">M39/M41</f>
        <v>2.1151147763962954</v>
      </c>
      <c r="N44" s="40">
        <f t="shared" si="6"/>
        <v>2.1326628484321315</v>
      </c>
      <c r="O44" s="40">
        <f t="shared" si="6"/>
        <v>1.9673438115734776</v>
      </c>
      <c r="P44" s="40">
        <f t="shared" si="6"/>
        <v>2.5506162804219477</v>
      </c>
      <c r="Q44" s="10" t="e">
        <f t="shared" ref="Q44:AQ44" si="7">Q39/Q41</f>
        <v>#VALUE!</v>
      </c>
      <c r="R44" s="10" t="e">
        <f t="shared" si="7"/>
        <v>#VALUE!</v>
      </c>
      <c r="S44" s="10" t="e">
        <f t="shared" si="7"/>
        <v>#VALUE!</v>
      </c>
      <c r="T44" s="10" t="e">
        <f t="shared" si="7"/>
        <v>#VALUE!</v>
      </c>
      <c r="U44" s="10" t="e">
        <f t="shared" si="7"/>
        <v>#VALUE!</v>
      </c>
      <c r="V44" s="10" t="e">
        <f t="shared" si="7"/>
        <v>#VALUE!</v>
      </c>
      <c r="W44" s="10" t="e">
        <f t="shared" si="7"/>
        <v>#VALUE!</v>
      </c>
      <c r="X44" s="10" t="e">
        <f t="shared" si="7"/>
        <v>#VALUE!</v>
      </c>
      <c r="Y44" s="10" t="e">
        <f t="shared" si="7"/>
        <v>#VALUE!</v>
      </c>
      <c r="Z44" s="10" t="e">
        <f t="shared" si="7"/>
        <v>#VALUE!</v>
      </c>
      <c r="AA44" s="10" t="e">
        <f t="shared" si="7"/>
        <v>#VALUE!</v>
      </c>
      <c r="AB44" s="10" t="e">
        <f t="shared" si="7"/>
        <v>#VALUE!</v>
      </c>
      <c r="AC44" s="10" t="e">
        <f t="shared" si="7"/>
        <v>#VALUE!</v>
      </c>
      <c r="AD44" s="10" t="e">
        <f t="shared" si="7"/>
        <v>#VALUE!</v>
      </c>
      <c r="AE44" s="10" t="e">
        <f t="shared" si="7"/>
        <v>#VALUE!</v>
      </c>
      <c r="AF44" s="10" t="e">
        <f t="shared" si="7"/>
        <v>#VALUE!</v>
      </c>
      <c r="AG44" s="10" t="e">
        <f t="shared" si="7"/>
        <v>#VALUE!</v>
      </c>
      <c r="AH44" s="10" t="e">
        <f t="shared" si="7"/>
        <v>#VALUE!</v>
      </c>
      <c r="AI44" s="10" t="e">
        <f t="shared" si="7"/>
        <v>#VALUE!</v>
      </c>
      <c r="AJ44" s="10" t="e">
        <f t="shared" si="7"/>
        <v>#VALUE!</v>
      </c>
      <c r="AK44" s="10" t="e">
        <f t="shared" si="7"/>
        <v>#VALUE!</v>
      </c>
      <c r="AL44" s="10" t="e">
        <f t="shared" si="7"/>
        <v>#VALUE!</v>
      </c>
      <c r="AM44" s="10" t="e">
        <f t="shared" si="7"/>
        <v>#VALUE!</v>
      </c>
      <c r="AN44" s="10" t="e">
        <f t="shared" si="7"/>
        <v>#VALUE!</v>
      </c>
      <c r="AO44" s="10" t="e">
        <f t="shared" si="7"/>
        <v>#VALUE!</v>
      </c>
      <c r="AP44" s="10" t="e">
        <f t="shared" si="7"/>
        <v>#VALUE!</v>
      </c>
      <c r="AQ44" s="10" t="e">
        <f t="shared" si="7"/>
        <v>#VALUE!</v>
      </c>
    </row>
    <row r="45" spans="1:48" x14ac:dyDescent="0.3">
      <c r="A45" s="62"/>
      <c r="B45" s="10" t="s">
        <v>21</v>
      </c>
      <c r="C45" s="10"/>
      <c r="D45" s="10"/>
      <c r="E45" s="40"/>
      <c r="F45" s="40"/>
      <c r="G45" s="40"/>
      <c r="H45" s="27"/>
      <c r="I45" s="27"/>
      <c r="J45" s="10"/>
      <c r="K45" s="40"/>
      <c r="L45" s="40"/>
      <c r="M45" s="40"/>
      <c r="N45" s="40"/>
      <c r="O45" s="40"/>
      <c r="P45" s="4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24"/>
    </row>
    <row r="46" spans="1:48" x14ac:dyDescent="0.3">
      <c r="A46" s="62"/>
      <c r="B46" s="10" t="s">
        <v>39</v>
      </c>
      <c r="C46" s="10">
        <v>11</v>
      </c>
      <c r="D46" s="10">
        <v>11.18</v>
      </c>
      <c r="E46" s="40">
        <v>10.71</v>
      </c>
      <c r="F46" s="40">
        <v>11.03</v>
      </c>
      <c r="G46" s="40">
        <v>11.06</v>
      </c>
      <c r="H46" s="27">
        <v>11.31</v>
      </c>
      <c r="I46" s="27"/>
      <c r="J46" s="10">
        <v>11.6</v>
      </c>
      <c r="K46" s="40">
        <v>10.85</v>
      </c>
      <c r="L46" s="40">
        <v>11.03</v>
      </c>
      <c r="M46" s="40">
        <v>11.66</v>
      </c>
      <c r="N46" s="40">
        <v>12.21</v>
      </c>
      <c r="O46" s="40">
        <v>11.59</v>
      </c>
      <c r="P46" s="40">
        <v>11.68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24"/>
    </row>
    <row r="47" spans="1:48" x14ac:dyDescent="0.3">
      <c r="A47" s="62"/>
      <c r="B47" s="10" t="s">
        <v>59</v>
      </c>
      <c r="C47" s="10">
        <v>10.63</v>
      </c>
      <c r="D47" s="10">
        <v>10.78</v>
      </c>
      <c r="E47" s="40">
        <v>10.32</v>
      </c>
      <c r="F47" s="40">
        <v>10.62</v>
      </c>
      <c r="G47" s="40">
        <v>10.6</v>
      </c>
      <c r="H47" s="27">
        <v>10.79</v>
      </c>
      <c r="I47" s="27"/>
      <c r="J47" s="10">
        <v>11.12</v>
      </c>
      <c r="K47" s="40">
        <v>10.42</v>
      </c>
      <c r="L47" s="40">
        <v>10.59</v>
      </c>
      <c r="M47" s="40">
        <v>11.11</v>
      </c>
      <c r="N47" s="40">
        <v>11.63</v>
      </c>
      <c r="O47" s="40">
        <v>10.98</v>
      </c>
      <c r="P47" s="40">
        <v>11.5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24"/>
    </row>
    <row r="48" spans="1:48" x14ac:dyDescent="0.3">
      <c r="A48" s="62"/>
      <c r="B48" s="10" t="s">
        <v>60</v>
      </c>
      <c r="C48" s="10">
        <v>46.35</v>
      </c>
      <c r="D48" s="10">
        <v>46.31</v>
      </c>
      <c r="E48" s="40">
        <v>46.03</v>
      </c>
      <c r="F48" s="40">
        <v>45.92</v>
      </c>
      <c r="G48" s="40">
        <v>46.2</v>
      </c>
      <c r="H48" s="27">
        <v>46.26</v>
      </c>
      <c r="I48" s="27"/>
      <c r="J48" s="10">
        <v>46.47</v>
      </c>
      <c r="K48" s="40">
        <v>46.01</v>
      </c>
      <c r="L48" s="40">
        <v>46.04</v>
      </c>
      <c r="M48" s="40">
        <v>45.95</v>
      </c>
      <c r="N48" s="40">
        <v>45.82</v>
      </c>
      <c r="O48" s="40">
        <v>46</v>
      </c>
      <c r="P48" s="40">
        <v>45.8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24"/>
    </row>
    <row r="49" spans="1:43" x14ac:dyDescent="0.3">
      <c r="A49" s="62"/>
      <c r="B49" s="10" t="s">
        <v>61</v>
      </c>
      <c r="C49" s="10">
        <v>32.51</v>
      </c>
      <c r="D49" s="10">
        <v>32.369999999999997</v>
      </c>
      <c r="E49" s="40">
        <v>32.28</v>
      </c>
      <c r="F49" s="40">
        <v>32.19</v>
      </c>
      <c r="G49" s="40">
        <v>32.659999999999997</v>
      </c>
      <c r="H49" s="27">
        <v>32.19</v>
      </c>
      <c r="I49" s="27"/>
      <c r="J49" s="10">
        <v>33</v>
      </c>
      <c r="K49" s="40">
        <v>32.64</v>
      </c>
      <c r="L49" s="40">
        <v>32.68</v>
      </c>
      <c r="M49" s="40">
        <v>32.56</v>
      </c>
      <c r="N49" s="40">
        <v>32.57</v>
      </c>
      <c r="O49" s="40">
        <v>32.64</v>
      </c>
      <c r="P49" s="40">
        <v>32.25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24"/>
    </row>
    <row r="50" spans="1:43" ht="13.5" customHeight="1" x14ac:dyDescent="0.3">
      <c r="A50" s="62"/>
      <c r="B50" s="10" t="s">
        <v>62</v>
      </c>
      <c r="C50" s="10">
        <f>C38/C39</f>
        <v>0.87842235410920788</v>
      </c>
      <c r="D50" s="10">
        <f>D38/D39</f>
        <v>0.87006084994322586</v>
      </c>
      <c r="E50" s="40">
        <f>D38/E39</f>
        <v>0.83524185591964095</v>
      </c>
      <c r="F50" s="40">
        <f>E38/F39</f>
        <v>0.89596734468756833</v>
      </c>
      <c r="G50" s="40">
        <f t="shared" ref="G50:P50" si="8">F38/G39</f>
        <v>0.83934819823025042</v>
      </c>
      <c r="H50" s="40">
        <f t="shared" si="8"/>
        <v>0.88954698443484692</v>
      </c>
      <c r="I50" s="40" t="e">
        <f t="shared" si="8"/>
        <v>#VALUE!</v>
      </c>
      <c r="J50" s="40">
        <f t="shared" si="8"/>
        <v>0</v>
      </c>
      <c r="K50" s="40">
        <f t="shared" si="8"/>
        <v>0.79081971396711526</v>
      </c>
      <c r="L50" s="40">
        <f t="shared" si="8"/>
        <v>0.85223682760976249</v>
      </c>
      <c r="M50" s="40">
        <f t="shared" si="8"/>
        <v>0.68261961794795334</v>
      </c>
      <c r="N50" s="40">
        <f t="shared" si="8"/>
        <v>0.66055459553658336</v>
      </c>
      <c r="O50" s="40">
        <f t="shared" si="8"/>
        <v>0.65171661685461368</v>
      </c>
      <c r="P50" s="40">
        <f t="shared" si="8"/>
        <v>0.50649614646922159</v>
      </c>
      <c r="Q50" s="10" t="e">
        <f t="shared" ref="Q50:AQ50" si="9">Q38/Q39</f>
        <v>#VALUE!</v>
      </c>
      <c r="R50" s="10" t="e">
        <f t="shared" si="9"/>
        <v>#VALUE!</v>
      </c>
      <c r="S50" s="10" t="e">
        <f t="shared" si="9"/>
        <v>#VALUE!</v>
      </c>
      <c r="T50" s="10" t="e">
        <f t="shared" si="9"/>
        <v>#VALUE!</v>
      </c>
      <c r="U50" s="10" t="e">
        <f t="shared" si="9"/>
        <v>#VALUE!</v>
      </c>
      <c r="V50" s="10" t="e">
        <f t="shared" si="9"/>
        <v>#VALUE!</v>
      </c>
      <c r="W50" s="10" t="e">
        <f t="shared" si="9"/>
        <v>#VALUE!</v>
      </c>
      <c r="X50" s="10" t="e">
        <f t="shared" si="9"/>
        <v>#VALUE!</v>
      </c>
      <c r="Y50" s="10" t="e">
        <f t="shared" si="9"/>
        <v>#VALUE!</v>
      </c>
      <c r="Z50" s="10" t="e">
        <f t="shared" si="9"/>
        <v>#VALUE!</v>
      </c>
      <c r="AA50" s="10" t="e">
        <f t="shared" si="9"/>
        <v>#VALUE!</v>
      </c>
      <c r="AB50" s="10" t="e">
        <f t="shared" si="9"/>
        <v>#VALUE!</v>
      </c>
      <c r="AC50" s="10" t="e">
        <f t="shared" si="9"/>
        <v>#VALUE!</v>
      </c>
      <c r="AD50" s="10" t="e">
        <f t="shared" si="9"/>
        <v>#VALUE!</v>
      </c>
      <c r="AE50" s="10" t="e">
        <f t="shared" si="9"/>
        <v>#VALUE!</v>
      </c>
      <c r="AF50" s="10" t="e">
        <f t="shared" si="9"/>
        <v>#VALUE!</v>
      </c>
      <c r="AG50" s="10" t="e">
        <f t="shared" si="9"/>
        <v>#VALUE!</v>
      </c>
      <c r="AH50" s="10" t="e">
        <f t="shared" si="9"/>
        <v>#VALUE!</v>
      </c>
      <c r="AI50" s="10" t="e">
        <f t="shared" si="9"/>
        <v>#VALUE!</v>
      </c>
      <c r="AJ50" s="10" t="e">
        <f t="shared" si="9"/>
        <v>#VALUE!</v>
      </c>
      <c r="AK50" s="10" t="e">
        <f t="shared" si="9"/>
        <v>#VALUE!</v>
      </c>
      <c r="AL50" s="10" t="e">
        <f t="shared" si="9"/>
        <v>#VALUE!</v>
      </c>
      <c r="AM50" s="10" t="e">
        <f t="shared" si="9"/>
        <v>#VALUE!</v>
      </c>
      <c r="AN50" s="10" t="e">
        <f t="shared" si="9"/>
        <v>#VALUE!</v>
      </c>
      <c r="AO50" s="10" t="e">
        <f t="shared" si="9"/>
        <v>#VALUE!</v>
      </c>
      <c r="AP50" s="10" t="e">
        <f t="shared" si="9"/>
        <v>#VALUE!</v>
      </c>
      <c r="AQ50" s="10" t="e">
        <f t="shared" si="9"/>
        <v>#VALUE!</v>
      </c>
    </row>
    <row r="51" spans="1:43" x14ac:dyDescent="0.3">
      <c r="A51" s="62"/>
      <c r="B51" s="10" t="s">
        <v>63</v>
      </c>
      <c r="C51" s="10" cm="1">
        <f t="array" ref="C51">C35/3600*( [1]!Enthalpy("carbon dioxide","TP","SI",C9+273.15,C23)- [1]!Enthalpy("carbon dioxide","TP","SI",C8+273.15,C22))*1000</f>
        <v>2784.67949742365</v>
      </c>
      <c r="D51" s="10" cm="1">
        <f t="array" ref="D51">D35/3600*( [1]!Enthalpy("carbon dioxide","TP","SI",D9+273.15,D23)- [1]!Enthalpy("carbon dioxide","TP","SI",D8+273.15,D22))*1000</f>
        <v>2667.3047805824463</v>
      </c>
      <c r="E51" s="40" cm="1">
        <f t="array" ref="E51">D35/3600*( [1]!Enthalpy("carbon dioxide","TP","SI",D9+273.15,D23)- [1]!Enthalpy("carbon dioxide","TP","SI",D8+273.15,D22))*1000</f>
        <v>2667.3047805824463</v>
      </c>
      <c r="F51" s="40" t="e" cm="1">
        <f t="array" aca="1" ref="F51" ca="1">E35/3600*( [1]!Enthalpy("carbon dioxide","TP","SI",E9+273.15,E23)- [1]!Enthalpy("carbon dioxide","TP","SI",E8+273.15,E22))*1000</f>
        <v>#NAME?</v>
      </c>
      <c r="G51" s="40" cm="1">
        <f t="array" ref="G51">F35/3600*( [1]!Enthalpy("carbon dioxide","TP","SI",F9+273.15,F23)- [1]!Enthalpy("carbon dioxide","TP","SI",F8+273.15,F22))*1000</f>
        <v>2396.7113053277017</v>
      </c>
      <c r="H51" s="40" cm="1">
        <f t="array" ref="H51">G35/3600*( [1]!Enthalpy("carbon dioxide","TP","SI",G9+273.15,G23)- [1]!Enthalpy("carbon dioxide","TP","SI",G8+273.15,G22))*1000</f>
        <v>2472.920538239081</v>
      </c>
      <c r="I51" s="40" cm="1">
        <f t="array" ref="I51">H35/3600*( [1]!Enthalpy("carbon dioxide","TP","SI",H9+273.15,H23)- [1]!Enthalpy("carbon dioxide","TP","SI",H8+273.15,H22))*1000</f>
        <v>2580.5113528063907</v>
      </c>
      <c r="J51" s="40" t="e" cm="1">
        <f t="array" ref="J51">I35/3600*( [1]!Enthalpy("carbon dioxide","TP","SI",I9+273.15,I23)- [1]!Enthalpy("carbon dioxide","TP","SI",I8+273.15,I22))*1000</f>
        <v>#VALUE!</v>
      </c>
      <c r="K51" s="40" cm="1">
        <f t="array" ref="K51">J35/3600*( [1]!Enthalpy("carbon dioxide","TP","SI",J9+273.15,J23)- [1]!Enthalpy("carbon dioxide","TP","SI",J8+273.15,J22))*1000</f>
        <v>2476.4051387116824</v>
      </c>
      <c r="L51" s="40" cm="1">
        <f t="array" ref="L51">K35/3600*( [1]!Enthalpy("carbon dioxide","TP","SI",K9+273.15,K23)- [1]!Enthalpy("carbon dioxide","TP","SI",K8+273.15,K22))*1000</f>
        <v>2476.245803438745</v>
      </c>
      <c r="M51" s="40" cm="1">
        <f t="array" ref="M51">L35/3600*( [1]!Enthalpy("carbon dioxide","TP","SI",L9+273.15,L23)- [1]!Enthalpy("carbon dioxide","TP","SI",L8+273.15,L22))*1000</f>
        <v>2465.350176767116</v>
      </c>
      <c r="N51" s="40" cm="1">
        <f t="array" ref="N51">M35/3600*( [1]!Enthalpy("carbon dioxide","TP","SI",M9+273.15,M23)- [1]!Enthalpy("carbon dioxide","TP","SI",M8+273.15,M22))*1000</f>
        <v>2497.0616319815708</v>
      </c>
      <c r="O51" s="40" cm="1">
        <f t="array" ref="O51">N35/3600*( [1]!Enthalpy("carbon dioxide","TP","SI",N9+273.15,N23)- [1]!Enthalpy("carbon dioxide","TP","SI",N8+273.15,N22))*1000</f>
        <v>2458.2436775505853</v>
      </c>
      <c r="P51" s="40" cm="1">
        <f t="array" ref="P51">O35/3600*( [1]!Enthalpy("carbon dioxide","TP","SI",O9+273.15,O23)- [1]!Enthalpy("carbon dioxide","TP","SI",O8+273.15,O22))*1000</f>
        <v>2502.6257193198971</v>
      </c>
      <c r="Q51" s="10" t="e" cm="1">
        <f t="array" ref="Q51">Q35/3600*( [1]!Enthalpy("carbon dioxide","TP","SI",Q9+273.15,Q23)- [1]!Enthalpy("carbon dioxide","TP","SI",Q8+273.15,Q22))*1000</f>
        <v>#VALUE!</v>
      </c>
      <c r="R51" s="10" t="e" cm="1">
        <f t="array" ref="R51">R35/3600*( [1]!Enthalpy("carbon dioxide","TP","SI",R9+273.15,R23)- [1]!Enthalpy("carbon dioxide","TP","SI",R8+273.15,R22))*1000</f>
        <v>#VALUE!</v>
      </c>
      <c r="S51" s="10" t="e" cm="1">
        <f t="array" ref="S51">S35/3600*( [1]!Enthalpy("carbon dioxide","TP","SI",S9+273.15,S23)- [1]!Enthalpy("carbon dioxide","TP","SI",S8+273.15,S22))*1000</f>
        <v>#VALUE!</v>
      </c>
      <c r="T51" s="10" t="e" cm="1">
        <f t="array" ref="T51">T35/3600*( [1]!Enthalpy("carbon dioxide","TP","SI",T9+273.15,T23)- [1]!Enthalpy("carbon dioxide","TP","SI",T8+273.15,T22))*1000</f>
        <v>#VALUE!</v>
      </c>
      <c r="U51" s="10" t="e" cm="1">
        <f t="array" ref="U51">U35/3600*( [1]!Enthalpy("carbon dioxide","TP","SI",U9+273.15,U23)- [1]!Enthalpy("carbon dioxide","TP","SI",U8+273.15,U22))*1000</f>
        <v>#VALUE!</v>
      </c>
      <c r="V51" s="10" t="e" cm="1">
        <f t="array" ref="V51">V35/3600*( [1]!Enthalpy("carbon dioxide","TP","SI",V9+273.15,V23)- [1]!Enthalpy("carbon dioxide","TP","SI",V8+273.15,V22))*1000</f>
        <v>#VALUE!</v>
      </c>
      <c r="W51" s="10" t="e" cm="1">
        <f t="array" ref="W51">W35/3600*( [1]!Enthalpy("carbon dioxide","TP","SI",W9+273.15,W23)- [1]!Enthalpy("carbon dioxide","TP","SI",W8+273.15,W22))*1000</f>
        <v>#VALUE!</v>
      </c>
      <c r="X51" s="10" t="e" cm="1">
        <f t="array" ref="X51">X35/3600*( [1]!Enthalpy("carbon dioxide","TP","SI",X9+273.15,X23)- [1]!Enthalpy("carbon dioxide","TP","SI",X8+273.15,X22))*1000</f>
        <v>#VALUE!</v>
      </c>
      <c r="Y51" s="10" t="e" cm="1">
        <f t="array" ref="Y51">Y35/3600*( [1]!Enthalpy("carbon dioxide","TP","SI",Y9+273.15,Y23)- [1]!Enthalpy("carbon dioxide","TP","SI",Y8+273.15,Y22))*1000</f>
        <v>#VALUE!</v>
      </c>
      <c r="Z51" s="10" t="e" cm="1">
        <f t="array" ref="Z51">Z35/3600*( [1]!Enthalpy("carbon dioxide","TP","SI",Z9+273.15,Z23)- [1]!Enthalpy("carbon dioxide","TP","SI",Z8+273.15,Z22))*1000</f>
        <v>#VALUE!</v>
      </c>
      <c r="AA51" s="10" t="e" cm="1">
        <f t="array" ref="AA51">AA35/3600*( [1]!Enthalpy("carbon dioxide","TP","SI",AA9+273.15,AA23)- [1]!Enthalpy("carbon dioxide","TP","SI",AA8+273.15,AA22))*1000</f>
        <v>#VALUE!</v>
      </c>
      <c r="AB51" s="10" t="e" cm="1">
        <f t="array" ref="AB51">AB35/3600*( [1]!Enthalpy("carbon dioxide","TP","SI",AB9+273.15,AB23)- [1]!Enthalpy("carbon dioxide","TP","SI",AB8+273.15,AB22))*1000</f>
        <v>#VALUE!</v>
      </c>
      <c r="AC51" s="10" t="e" cm="1">
        <f t="array" ref="AC51">AC35/3600*( [1]!Enthalpy("carbon dioxide","TP","SI",AC9+273.15,AC23)- [1]!Enthalpy("carbon dioxide","TP","SI",AC8+273.15,AC22))*1000</f>
        <v>#VALUE!</v>
      </c>
      <c r="AD51" s="10" t="e" cm="1">
        <f t="array" ref="AD51">AD35/3600*( [1]!Enthalpy("carbon dioxide","TP","SI",AD9+273.15,AD23)- [1]!Enthalpy("carbon dioxide","TP","SI",AD8+273.15,AD22))*1000</f>
        <v>#VALUE!</v>
      </c>
      <c r="AE51" s="10" t="e" cm="1">
        <f t="array" ref="AE51">AE35/3600*( [1]!Enthalpy("carbon dioxide","TP","SI",AE9+273.15,AE23)- [1]!Enthalpy("carbon dioxide","TP","SI",AE8+273.15,AE22))*1000</f>
        <v>#VALUE!</v>
      </c>
      <c r="AF51" s="10" t="e" cm="1">
        <f t="array" ref="AF51">AF35/3600*( [1]!Enthalpy("carbon dioxide","TP","SI",AF9+273.15,AF23)- [1]!Enthalpy("carbon dioxide","TP","SI",AF8+273.15,AF22))*1000</f>
        <v>#VALUE!</v>
      </c>
      <c r="AG51" s="10" t="e" cm="1">
        <f t="array" ref="AG51">AG35/3600*( [1]!Enthalpy("carbon dioxide","TP","SI",AG9+273.15,AG23)- [1]!Enthalpy("carbon dioxide","TP","SI",AG8+273.15,AG22))*1000</f>
        <v>#VALUE!</v>
      </c>
      <c r="AH51" s="10" t="e" cm="1">
        <f t="array" ref="AH51">AH35/3600*( [1]!Enthalpy("carbon dioxide","TP","SI",AH9+273.15,AH23)- [1]!Enthalpy("carbon dioxide","TP","SI",AH8+273.15,AH22))*1000</f>
        <v>#VALUE!</v>
      </c>
      <c r="AI51" s="10" t="e" cm="1">
        <f t="array" ref="AI51">AI35/3600*( [1]!Enthalpy("carbon dioxide","TP","SI",AI9+273.15,AI23)- [1]!Enthalpy("carbon dioxide","TP","SI",AI8+273.15,AI22))*1000</f>
        <v>#VALUE!</v>
      </c>
      <c r="AJ51" s="10" t="e" cm="1">
        <f t="array" ref="AJ51">AJ35/3600*( [1]!Enthalpy("carbon dioxide","TP","SI",AJ9+273.15,AJ23)- [1]!Enthalpy("carbon dioxide","TP","SI",AJ8+273.15,AJ22))*1000</f>
        <v>#VALUE!</v>
      </c>
      <c r="AK51" s="10" t="e" cm="1">
        <f t="array" ref="AK51">AK35/3600*( [1]!Enthalpy("carbon dioxide","TP","SI",AK9+273.15,AK23)- [1]!Enthalpy("carbon dioxide","TP","SI",AK8+273.15,AK22))*1000</f>
        <v>#VALUE!</v>
      </c>
      <c r="AL51" s="10" t="e" cm="1">
        <f t="array" ref="AL51">AL35/3600*( [1]!Enthalpy("carbon dioxide","TP","SI",AL9+273.15,AL23)- [1]!Enthalpy("carbon dioxide","TP","SI",AL8+273.15,AL22))*1000</f>
        <v>#VALUE!</v>
      </c>
      <c r="AM51" s="10" t="e" cm="1">
        <f t="array" ref="AM51">AM35/3600*( [1]!Enthalpy("carbon dioxide","TP","SI",AM9+273.15,AM23)- [1]!Enthalpy("carbon dioxide","TP","SI",AM8+273.15,AM22))*1000</f>
        <v>#VALUE!</v>
      </c>
      <c r="AN51" s="10" t="e" cm="1">
        <f t="array" ref="AN51">AN35/3600*( [1]!Enthalpy("carbon dioxide","TP","SI",AN9+273.15,AN23)- [1]!Enthalpy("carbon dioxide","TP","SI",AN8+273.15,AN22))*1000</f>
        <v>#VALUE!</v>
      </c>
      <c r="AO51" s="10" t="e" cm="1">
        <f t="array" ref="AO51">AO35/3600*( [1]!Enthalpy("carbon dioxide","TP","SI",AO9+273.15,AO23)- [1]!Enthalpy("carbon dioxide","TP","SI",AO8+273.15,AO22))*1000</f>
        <v>#VALUE!</v>
      </c>
      <c r="AP51" s="10" t="e" cm="1">
        <f t="array" ref="AP51">AP35/3600*( [1]!Enthalpy("carbon dioxide","TP","SI",AP9+273.15,AP23)- [1]!Enthalpy("carbon dioxide","TP","SI",AP8+273.15,AP22))*1000</f>
        <v>#VALUE!</v>
      </c>
      <c r="AQ51" s="10" t="e" cm="1">
        <f t="array" ref="AQ51">AQ35/3600*( [1]!Enthalpy("carbon dioxide","TP","SI",AQ9+273.15,AQ23)- [1]!Enthalpy("carbon dioxide","TP","SI",AQ8+273.15,AQ22))*1000</f>
        <v>#VALUE!</v>
      </c>
    </row>
    <row r="52" spans="1:43" x14ac:dyDescent="0.3">
      <c r="A52" s="62"/>
      <c r="B52" s="10" t="s">
        <v>64</v>
      </c>
      <c r="C52" s="10" t="e" cm="1">
        <f t="array" aca="1" ref="C52" ca="1">C35/3600*1000*( [1]!Enthalpy("carbon dioxide","PS","SI",C23,[2]!Entropy("carbon dioxide","TP","SI",C8+273.15,C22))- [1]!Enthalpy("carbon dioxide","TP","SI",C8+273.15,C22))</f>
        <v>#NAME?</v>
      </c>
      <c r="D52" s="10" t="e" cm="1">
        <f t="array" aca="1" ref="D52" ca="1">D35/3600*1000*( [1]!Enthalpy("carbon dioxide","PS","SI",D23,[2]!Entropy("carbon dioxide","TP","SI",D8+273.15,D22))- [1]!Enthalpy("carbon dioxide","TP","SI",D8+273.15,D22))</f>
        <v>#NAME?</v>
      </c>
      <c r="E52" s="40" cm="1">
        <f t="array" ref="E52">D35/3600*1000*([1]!Enthalpy("carbon dioxide","PS","SI",D23,[1]!Entropy("carbon dioxide","TP","SI",D8+273.15,D22))-[1]!Enthalpy("carbon dioxide","TP","SI",D8+273.15,D22))</f>
        <v>1790.3841074440054</v>
      </c>
      <c r="F52" s="40" t="e" cm="1">
        <f t="array" aca="1" ref="F52" ca="1">E35/3600*1000*([1]!Enthalpy("carbon dioxide","PS","SI",E23,[1]!Entropy("carbon dioxide","TP","SI",E8+273.15,E22))-[1]!Enthalpy("carbon dioxide","TP","SI",E8+273.15,E22))</f>
        <v>#NAME?</v>
      </c>
      <c r="G52" s="40" cm="1">
        <f t="array" ref="G52">F35/3600*1000*([1]!Enthalpy("carbon dioxide","PS","SI",F23,[1]!Entropy("carbon dioxide","TP","SI",F8+273.15,F22))-[1]!Enthalpy("carbon dioxide","TP","SI",F8+273.15,F22))</f>
        <v>1649.4794052788168</v>
      </c>
      <c r="H52" s="40" cm="1">
        <f t="array" ref="H52">G35/3600*1000*([1]!Enthalpy("carbon dioxide","PS","SI",G23,[1]!Entropy("carbon dioxide","TP","SI",G8+273.15,G22))-[1]!Enthalpy("carbon dioxide","TP","SI",G8+273.15,G22))</f>
        <v>1651.626212637502</v>
      </c>
      <c r="I52" s="40" cm="1">
        <f t="array" ref="I52">H35/3600*1000*([1]!Enthalpy("carbon dioxide","PS","SI",H23,[1]!Entropy("carbon dioxide","TP","SI",H8+273.15,H22))-[1]!Enthalpy("carbon dioxide","TP","SI",H8+273.15,H22))</f>
        <v>1828.1687967588821</v>
      </c>
      <c r="J52" s="40" t="e" cm="1">
        <f t="array" ref="J52">I35/3600*1000*([1]!Enthalpy("carbon dioxide","PS","SI",I23,[1]!Entropy("carbon dioxide","TP","SI",I8+273.15,I22))-[1]!Enthalpy("carbon dioxide","TP","SI",I8+273.15,I22))</f>
        <v>#VALUE!</v>
      </c>
      <c r="K52" s="40" cm="1">
        <f t="array" ref="K52">J35/3600*1000*([1]!Enthalpy("carbon dioxide","PS","SI",J23,[1]!Entropy("carbon dioxide","TP","SI",J8+273.15,J22))-[1]!Enthalpy("carbon dioxide","TP","SI",J8+273.15,J22))</f>
        <v>1856.3225470697585</v>
      </c>
      <c r="L52" s="40" cm="1">
        <f t="array" ref="L52">K35/3600*1000*([1]!Enthalpy("carbon dioxide","PS","SI",K23,[1]!Entropy("carbon dioxide","TP","SI",K8+273.15,K22))-[1]!Enthalpy("carbon dioxide","TP","SI",K8+273.15,K22))</f>
        <v>1623.9145911205994</v>
      </c>
      <c r="M52" s="40" cm="1">
        <f t="array" ref="M52">L35/3600*1000*([1]!Enthalpy("carbon dioxide","PS","SI",L23,[1]!Entropy("carbon dioxide","TP","SI",L8+273.15,L22))-[1]!Enthalpy("carbon dioxide","TP","SI",L8+273.15,L22))</f>
        <v>1606.1628361048326</v>
      </c>
      <c r="N52" s="40" cm="1">
        <f t="array" ref="N52">M35/3600*1000*([1]!Enthalpy("carbon dioxide","PS","SI",M23,[1]!Entropy("carbon dioxide","TP","SI",M8+273.15,M22))-[1]!Enthalpy("carbon dioxide","TP","SI",M8+273.15,M22))</f>
        <v>1621.35841178808</v>
      </c>
      <c r="O52" s="40" cm="1">
        <f t="array" ref="O52">N35/3600*1000*([1]!Enthalpy("carbon dioxide","PS","SI",N23,[1]!Entropy("carbon dioxide","TP","SI",N8+273.15,N22))-[1]!Enthalpy("carbon dioxide","TP","SI",N8+273.15,N22))</f>
        <v>1610.3948483882189</v>
      </c>
      <c r="P52" s="40" cm="1">
        <f t="array" ref="P52">O35/3600*1000*([1]!Enthalpy("carbon dioxide","PS","SI",O23,[1]!Entropy("carbon dioxide","TP","SI",O8+273.15,O22))-[1]!Enthalpy("carbon dioxide","TP","SI",O8+273.15,O22))</f>
        <v>1619.9527294207712</v>
      </c>
      <c r="Q52" s="10" t="e">
        <f ca="1">Q35/3600*1000*([2]!Enthalpy("carbon dioxide","PS","SI",Q23,[2]!Entropy("carbon dioxide","TP","SI",Q8+273.15,Q22))-[2]!Enthalpy("carbon dioxide","TP","SI",Q8+273.15,Q22))</f>
        <v>#NAME?</v>
      </c>
      <c r="R52" s="10" t="e">
        <f ca="1">R35/3600*1000*([2]!Enthalpy("carbon dioxide","PS","SI",R23,[2]!Entropy("carbon dioxide","TP","SI",R8+273.15,R22))-[2]!Enthalpy("carbon dioxide","TP","SI",R8+273.15,R22))</f>
        <v>#NAME?</v>
      </c>
      <c r="S52" s="10" t="e">
        <f ca="1">S35/3600*1000*([2]!Enthalpy("carbon dioxide","PS","SI",S23,[2]!Entropy("carbon dioxide","TP","SI",S8+273.15,S22))-[2]!Enthalpy("carbon dioxide","TP","SI",S8+273.15,S22))</f>
        <v>#NAME?</v>
      </c>
      <c r="T52" s="10" t="e">
        <f ca="1">T35/3600*1000*([2]!Enthalpy("carbon dioxide","PS","SI",T23,[2]!Entropy("carbon dioxide","TP","SI",T8+273.15,T22))-[2]!Enthalpy("carbon dioxide","TP","SI",T8+273.15,T22))</f>
        <v>#NAME?</v>
      </c>
      <c r="U52" s="10" t="e">
        <f ca="1">U35/3600*1000*([2]!Enthalpy("carbon dioxide","PS","SI",U23,[2]!Entropy("carbon dioxide","TP","SI",U8+273.15,U22))-[2]!Enthalpy("carbon dioxide","TP","SI",U8+273.15,U22))</f>
        <v>#NAME?</v>
      </c>
      <c r="V52" s="10" t="e">
        <f ca="1">V35/3600*1000*([2]!Enthalpy("carbon dioxide","PS","SI",V23,[2]!Entropy("carbon dioxide","TP","SI",V8+273.15,V22))-[2]!Enthalpy("carbon dioxide","TP","SI",V8+273.15,V22))</f>
        <v>#NAME?</v>
      </c>
      <c r="W52" s="10" t="e">
        <f ca="1">W35/3600*1000*([2]!Enthalpy("carbon dioxide","PS","SI",W23,[2]!Entropy("carbon dioxide","TP","SI",W8+273.15,W22))-[2]!Enthalpy("carbon dioxide","TP","SI",W8+273.15,W22))</f>
        <v>#NAME?</v>
      </c>
      <c r="X52" s="10" t="e">
        <f ca="1">X35/3600*1000*([2]!Enthalpy("carbon dioxide","PS","SI",X23,[2]!Entropy("carbon dioxide","TP","SI",X8+273.15,X22))-[2]!Enthalpy("carbon dioxide","TP","SI",X8+273.15,X22))</f>
        <v>#NAME?</v>
      </c>
      <c r="Y52" s="10" t="e">
        <f ca="1">Y35/3600*1000*([2]!Enthalpy("carbon dioxide","PS","SI",Y23,[2]!Entropy("carbon dioxide","TP","SI",Y8+273.15,Y22))-[2]!Enthalpy("carbon dioxide","TP","SI",Y8+273.15,Y22))</f>
        <v>#NAME?</v>
      </c>
      <c r="Z52" s="10" t="e">
        <f ca="1">Z35/3600*1000*([2]!Enthalpy("carbon dioxide","PS","SI",Z23,[2]!Entropy("carbon dioxide","TP","SI",Z8+273.15,Z22))-[2]!Enthalpy("carbon dioxide","TP","SI",Z8+273.15,Z22))</f>
        <v>#NAME?</v>
      </c>
      <c r="AA52" s="10" t="e">
        <f ca="1">AA35/3600*1000*([2]!Enthalpy("carbon dioxide","PS","SI",AA23,[2]!Entropy("carbon dioxide","TP","SI",AA8+273.15,AA22))-[2]!Enthalpy("carbon dioxide","TP","SI",AA8+273.15,AA22))</f>
        <v>#NAME?</v>
      </c>
      <c r="AB52" s="10" t="e">
        <f ca="1">AB35/3600*1000*([2]!Enthalpy("carbon dioxide","PS","SI",AB23,[2]!Entropy("carbon dioxide","TP","SI",AB8+273.15,AB22))-[2]!Enthalpy("carbon dioxide","TP","SI",AB8+273.15,AB22))</f>
        <v>#NAME?</v>
      </c>
      <c r="AC52" s="10" t="e">
        <f ca="1">AC35/3600*1000*([2]!Enthalpy("carbon dioxide","PS","SI",AC23,[2]!Entropy("carbon dioxide","TP","SI",AC8+273.15,AC22))-[2]!Enthalpy("carbon dioxide","TP","SI",AC8+273.15,AC22))</f>
        <v>#NAME?</v>
      </c>
      <c r="AD52" s="10" t="e">
        <f ca="1">AD35/3600*1000*([2]!Enthalpy("carbon dioxide","PS","SI",AD23,[2]!Entropy("carbon dioxide","TP","SI",AD8+273.15,AD22))-[2]!Enthalpy("carbon dioxide","TP","SI",AD8+273.15,AD22))</f>
        <v>#NAME?</v>
      </c>
      <c r="AE52" s="10" t="e">
        <f ca="1">AE35/3600*1000*([2]!Enthalpy("carbon dioxide","PS","SI",AE23,[2]!Entropy("carbon dioxide","TP","SI",AE8+273.15,AE22))-[2]!Enthalpy("carbon dioxide","TP","SI",AE8+273.15,AE22))</f>
        <v>#NAME?</v>
      </c>
      <c r="AF52" s="10" t="e">
        <f ca="1">AF35/3600*1000*([2]!Enthalpy("carbon dioxide","PS","SI",AF23,[2]!Entropy("carbon dioxide","TP","SI",AF8+273.15,AF22))-[2]!Enthalpy("carbon dioxide","TP","SI",AF8+273.15,AF22))</f>
        <v>#NAME?</v>
      </c>
      <c r="AG52" s="10" t="e">
        <f ca="1">AG35/3600*1000*([2]!Enthalpy("carbon dioxide","PS","SI",AG23,[2]!Entropy("carbon dioxide","TP","SI",AG8+273.15,AG22))-[2]!Enthalpy("carbon dioxide","TP","SI",AG8+273.15,AG22))</f>
        <v>#NAME?</v>
      </c>
      <c r="AH52" s="10" t="e">
        <f ca="1">AH35/3600*1000*([2]!Enthalpy("carbon dioxide","PS","SI",AH23,[2]!Entropy("carbon dioxide","TP","SI",AH8+273.15,AH22))-[2]!Enthalpy("carbon dioxide","TP","SI",AH8+273.15,AH22))</f>
        <v>#NAME?</v>
      </c>
      <c r="AI52" s="10" t="e">
        <f ca="1">AI35/3600*1000*([2]!Enthalpy("carbon dioxide","PS","SI",AI23,[2]!Entropy("carbon dioxide","TP","SI",AI8+273.15,AI22))-[2]!Enthalpy("carbon dioxide","TP","SI",AI8+273.15,AI22))</f>
        <v>#NAME?</v>
      </c>
      <c r="AJ52" s="10" t="e">
        <f ca="1">AJ35/3600*1000*([2]!Enthalpy("carbon dioxide","PS","SI",AJ23,[2]!Entropy("carbon dioxide","TP","SI",AJ8+273.15,AJ22))-[2]!Enthalpy("carbon dioxide","TP","SI",AJ8+273.15,AJ22))</f>
        <v>#NAME?</v>
      </c>
      <c r="AK52" s="10" t="e">
        <f ca="1">AK35/3600*1000*([2]!Enthalpy("carbon dioxide","PS","SI",AK23,[2]!Entropy("carbon dioxide","TP","SI",AK8+273.15,AK22))-[2]!Enthalpy("carbon dioxide","TP","SI",AK8+273.15,AK22))</f>
        <v>#NAME?</v>
      </c>
      <c r="AL52" s="10" t="e">
        <f ca="1">AL35/3600*1000*([2]!Enthalpy("carbon dioxide","PS","SI",AL23,[2]!Entropy("carbon dioxide","TP","SI",AL8+273.15,AL22))-[2]!Enthalpy("carbon dioxide","TP","SI",AL8+273.15,AL22))</f>
        <v>#NAME?</v>
      </c>
      <c r="AM52" s="10" t="e">
        <f ca="1">AM35/3600*1000*([2]!Enthalpy("carbon dioxide","PS","SI",AM23,[2]!Entropy("carbon dioxide","TP","SI",AM8+273.15,AM22))-[2]!Enthalpy("carbon dioxide","TP","SI",AM8+273.15,AM22))</f>
        <v>#NAME?</v>
      </c>
      <c r="AN52" s="10" t="e">
        <f ca="1">AN35/3600*1000*([2]!Enthalpy("carbon dioxide","PS","SI",AN23,[2]!Entropy("carbon dioxide","TP","SI",AN8+273.15,AN22))-[2]!Enthalpy("carbon dioxide","TP","SI",AN8+273.15,AN22))</f>
        <v>#NAME?</v>
      </c>
      <c r="AO52" s="10" t="e">
        <f ca="1">AO35/3600*1000*([2]!Enthalpy("carbon dioxide","PS","SI",AO23,[2]!Entropy("carbon dioxide","TP","SI",AO8+273.15,AO22))-[2]!Enthalpy("carbon dioxide","TP","SI",AO8+273.15,AO22))</f>
        <v>#NAME?</v>
      </c>
      <c r="AP52" s="10" t="e">
        <f ca="1">AP35/3600*1000*([2]!Enthalpy("carbon dioxide","PS","SI",AP23,[2]!Entropy("carbon dioxide","TP","SI",AP8+273.15,AP22))-[2]!Enthalpy("carbon dioxide","TP","SI",AP8+273.15,AP22))</f>
        <v>#NAME?</v>
      </c>
      <c r="AQ52" s="10" t="e">
        <f ca="1">AQ35/3600*1000*([2]!Enthalpy("carbon dioxide","PS","SI",AQ23,[2]!Entropy("carbon dioxide","TP","SI",AQ8+273.15,AQ22))-[2]!Enthalpy("carbon dioxide","TP","SI",AQ8+273.15,AQ22))</f>
        <v>#NAME?</v>
      </c>
    </row>
    <row r="53" spans="1:43" x14ac:dyDescent="0.3">
      <c r="A53" s="62"/>
      <c r="B53" s="10" t="s">
        <v>40</v>
      </c>
      <c r="C53" s="10">
        <f>C23/C22</f>
        <v>3.1638418079096042</v>
      </c>
      <c r="D53" s="10">
        <f>D23/D22</f>
        <v>3.0842696629213484</v>
      </c>
      <c r="E53" s="40">
        <f>D23/D22</f>
        <v>3.0842696629213484</v>
      </c>
      <c r="F53" s="40">
        <f>E23/E22</f>
        <v>0.4</v>
      </c>
      <c r="G53" s="40">
        <f t="shared" ref="G53:P53" si="10">F23/F22</f>
        <v>2.5934959349593498</v>
      </c>
      <c r="H53" s="40">
        <f t="shared" si="10"/>
        <v>2.6467391304347827</v>
      </c>
      <c r="I53" s="40">
        <f t="shared" si="10"/>
        <v>3.1145251396648046</v>
      </c>
      <c r="J53" s="40" t="e">
        <f t="shared" si="10"/>
        <v>#DIV/0!</v>
      </c>
      <c r="K53" s="40">
        <f t="shared" si="10"/>
        <v>3.0493150684931511</v>
      </c>
      <c r="L53" s="40">
        <f t="shared" si="10"/>
        <v>2.6193029490616619</v>
      </c>
      <c r="M53" s="40">
        <f t="shared" si="10"/>
        <v>2.6</v>
      </c>
      <c r="N53" s="40">
        <f t="shared" si="10"/>
        <v>2.5497382198952883</v>
      </c>
      <c r="O53" s="40">
        <f t="shared" si="10"/>
        <v>2.4704370179948585</v>
      </c>
      <c r="P53" s="40">
        <f t="shared" si="10"/>
        <v>2.5815789473684214</v>
      </c>
      <c r="Q53" s="10" t="e">
        <f t="shared" ref="Q53:AQ53" si="11">Q23/Q22</f>
        <v>#DIV/0!</v>
      </c>
      <c r="R53" s="10" t="e">
        <f t="shared" si="11"/>
        <v>#DIV/0!</v>
      </c>
      <c r="S53" s="10" t="e">
        <f t="shared" si="11"/>
        <v>#DIV/0!</v>
      </c>
      <c r="T53" s="10" t="e">
        <f t="shared" si="11"/>
        <v>#DIV/0!</v>
      </c>
      <c r="U53" s="10" t="e">
        <f t="shared" si="11"/>
        <v>#DIV/0!</v>
      </c>
      <c r="V53" s="10" t="e">
        <f t="shared" si="11"/>
        <v>#DIV/0!</v>
      </c>
      <c r="W53" s="10" t="e">
        <f t="shared" si="11"/>
        <v>#DIV/0!</v>
      </c>
      <c r="X53" s="10" t="e">
        <f t="shared" si="11"/>
        <v>#DIV/0!</v>
      </c>
      <c r="Y53" s="10" t="e">
        <f t="shared" si="11"/>
        <v>#DIV/0!</v>
      </c>
      <c r="Z53" s="10" t="e">
        <f t="shared" si="11"/>
        <v>#DIV/0!</v>
      </c>
      <c r="AA53" s="10" t="e">
        <f t="shared" si="11"/>
        <v>#DIV/0!</v>
      </c>
      <c r="AB53" s="10" t="e">
        <f t="shared" si="11"/>
        <v>#DIV/0!</v>
      </c>
      <c r="AC53" s="10" t="e">
        <f t="shared" si="11"/>
        <v>#DIV/0!</v>
      </c>
      <c r="AD53" s="10" t="e">
        <f t="shared" si="11"/>
        <v>#DIV/0!</v>
      </c>
      <c r="AE53" s="10" t="e">
        <f t="shared" si="11"/>
        <v>#DIV/0!</v>
      </c>
      <c r="AF53" s="10" t="e">
        <f t="shared" si="11"/>
        <v>#DIV/0!</v>
      </c>
      <c r="AG53" s="10" t="e">
        <f t="shared" si="11"/>
        <v>#DIV/0!</v>
      </c>
      <c r="AH53" s="10" t="e">
        <f t="shared" si="11"/>
        <v>#DIV/0!</v>
      </c>
      <c r="AI53" s="10" t="e">
        <f t="shared" si="11"/>
        <v>#DIV/0!</v>
      </c>
      <c r="AJ53" s="10" t="e">
        <f t="shared" si="11"/>
        <v>#DIV/0!</v>
      </c>
      <c r="AK53" s="10" t="e">
        <f t="shared" si="11"/>
        <v>#DIV/0!</v>
      </c>
      <c r="AL53" s="10" t="e">
        <f t="shared" si="11"/>
        <v>#DIV/0!</v>
      </c>
      <c r="AM53" s="10" t="e">
        <f t="shared" si="11"/>
        <v>#DIV/0!</v>
      </c>
      <c r="AN53" s="10" t="e">
        <f t="shared" si="11"/>
        <v>#DIV/0!</v>
      </c>
      <c r="AO53" s="10" t="e">
        <f t="shared" si="11"/>
        <v>#DIV/0!</v>
      </c>
      <c r="AP53" s="10" t="e">
        <f t="shared" si="11"/>
        <v>#DIV/0!</v>
      </c>
      <c r="AQ53" s="10" t="e">
        <f t="shared" si="11"/>
        <v>#DIV/0!</v>
      </c>
    </row>
    <row r="54" spans="1:43" x14ac:dyDescent="0.3">
      <c r="A54" s="62"/>
      <c r="B54" s="10" t="s">
        <v>65</v>
      </c>
      <c r="C54" s="10">
        <f>C51/C41</f>
        <v>0.8586739122490441</v>
      </c>
      <c r="D54" s="10">
        <f t="shared" ref="D54:AQ54" si="12">D51/D41</f>
        <v>0.84036067441160889</v>
      </c>
      <c r="E54" s="40">
        <f t="shared" ref="E54" si="13">E51/E41</f>
        <v>0.96641477557335009</v>
      </c>
      <c r="F54" s="40" t="e">
        <f t="shared" ca="1" si="12"/>
        <v>#NAME?</v>
      </c>
      <c r="G54" s="40">
        <f t="shared" ref="G54:P54" si="14">G51/G41</f>
        <v>0.86837366135061655</v>
      </c>
      <c r="H54" s="40">
        <f t="shared" si="14"/>
        <v>0.76254102320045669</v>
      </c>
      <c r="I54" s="40" t="e">
        <f t="shared" si="14"/>
        <v>#DIV/0!</v>
      </c>
      <c r="J54" s="40" t="e">
        <f t="shared" si="14"/>
        <v>#VALUE!</v>
      </c>
      <c r="K54" s="40">
        <f t="shared" si="14"/>
        <v>0.897248238663653</v>
      </c>
      <c r="L54" s="40">
        <f t="shared" si="14"/>
        <v>0.89719050849229898</v>
      </c>
      <c r="M54" s="40">
        <f t="shared" si="14"/>
        <v>0.89324281766924496</v>
      </c>
      <c r="N54" s="40">
        <f t="shared" si="14"/>
        <v>0.92793074395450426</v>
      </c>
      <c r="O54" s="40">
        <f t="shared" si="14"/>
        <v>0.87967209788891942</v>
      </c>
      <c r="P54" s="40">
        <f t="shared" si="14"/>
        <v>0.84348692932925418</v>
      </c>
      <c r="Q54" s="10" t="e">
        <f t="shared" si="12"/>
        <v>#VALUE!</v>
      </c>
      <c r="R54" s="10" t="e">
        <f t="shared" si="12"/>
        <v>#VALUE!</v>
      </c>
      <c r="S54" s="10" t="e">
        <f t="shared" si="12"/>
        <v>#VALUE!</v>
      </c>
      <c r="T54" s="10" t="e">
        <f t="shared" si="12"/>
        <v>#VALUE!</v>
      </c>
      <c r="U54" s="10" t="e">
        <f t="shared" si="12"/>
        <v>#VALUE!</v>
      </c>
      <c r="V54" s="10" t="e">
        <f t="shared" si="12"/>
        <v>#VALUE!</v>
      </c>
      <c r="W54" s="10" t="e">
        <f t="shared" si="12"/>
        <v>#VALUE!</v>
      </c>
      <c r="X54" s="10" t="e">
        <f t="shared" si="12"/>
        <v>#VALUE!</v>
      </c>
      <c r="Y54" s="10" t="e">
        <f t="shared" si="12"/>
        <v>#VALUE!</v>
      </c>
      <c r="Z54" s="10" t="e">
        <f t="shared" si="12"/>
        <v>#VALUE!</v>
      </c>
      <c r="AA54" s="10" t="e">
        <f t="shared" si="12"/>
        <v>#VALUE!</v>
      </c>
      <c r="AB54" s="10" t="e">
        <f t="shared" si="12"/>
        <v>#VALUE!</v>
      </c>
      <c r="AC54" s="10" t="e">
        <f t="shared" si="12"/>
        <v>#VALUE!</v>
      </c>
      <c r="AD54" s="10" t="e">
        <f t="shared" si="12"/>
        <v>#VALUE!</v>
      </c>
      <c r="AE54" s="10" t="e">
        <f t="shared" si="12"/>
        <v>#VALUE!</v>
      </c>
      <c r="AF54" s="10" t="e">
        <f t="shared" si="12"/>
        <v>#VALUE!</v>
      </c>
      <c r="AG54" s="10" t="e">
        <f t="shared" si="12"/>
        <v>#VALUE!</v>
      </c>
      <c r="AH54" s="10" t="e">
        <f t="shared" si="12"/>
        <v>#VALUE!</v>
      </c>
      <c r="AI54" s="10" t="e">
        <f t="shared" si="12"/>
        <v>#VALUE!</v>
      </c>
      <c r="AJ54" s="10" t="e">
        <f t="shared" si="12"/>
        <v>#VALUE!</v>
      </c>
      <c r="AK54" s="10" t="e">
        <f t="shared" si="12"/>
        <v>#VALUE!</v>
      </c>
      <c r="AL54" s="10" t="e">
        <f t="shared" si="12"/>
        <v>#VALUE!</v>
      </c>
      <c r="AM54" s="10" t="e">
        <f t="shared" si="12"/>
        <v>#VALUE!</v>
      </c>
      <c r="AN54" s="10" t="e">
        <f t="shared" si="12"/>
        <v>#VALUE!</v>
      </c>
      <c r="AO54" s="10" t="e">
        <f t="shared" si="12"/>
        <v>#VALUE!</v>
      </c>
      <c r="AP54" s="10" t="e">
        <f t="shared" si="12"/>
        <v>#VALUE!</v>
      </c>
      <c r="AQ54" s="10" t="e">
        <f t="shared" si="12"/>
        <v>#VALUE!</v>
      </c>
    </row>
    <row r="55" spans="1:43" x14ac:dyDescent="0.3">
      <c r="A55" s="62"/>
      <c r="B55" s="10" t="s">
        <v>66</v>
      </c>
      <c r="C55" s="10" t="e">
        <f t="shared" ref="C55" ca="1" si="15">C52/C51</f>
        <v>#NAME?</v>
      </c>
      <c r="D55" s="10" t="e">
        <f t="shared" ref="D55:AQ55" ca="1" si="16">D52/D51</f>
        <v>#NAME?</v>
      </c>
      <c r="E55" s="40">
        <f t="shared" ref="E55" si="17">E52/E51</f>
        <v>0.67123341902197164</v>
      </c>
      <c r="F55" s="40" t="e">
        <f t="shared" ca="1" si="16"/>
        <v>#NAME?</v>
      </c>
      <c r="G55" s="40">
        <f t="shared" ref="G55:P55" si="18">G52/G51</f>
        <v>0.68822615456945235</v>
      </c>
      <c r="H55" s="40">
        <f t="shared" si="18"/>
        <v>0.66788487017605236</v>
      </c>
      <c r="I55" s="40">
        <f t="shared" si="18"/>
        <v>0.70845214254558053</v>
      </c>
      <c r="J55" s="40" t="e">
        <f t="shared" si="18"/>
        <v>#VALUE!</v>
      </c>
      <c r="K55" s="40">
        <f t="shared" si="18"/>
        <v>0.74960373730910856</v>
      </c>
      <c r="L55" s="40">
        <f t="shared" si="18"/>
        <v>0.65579700886942671</v>
      </c>
      <c r="M55" s="40">
        <f t="shared" si="18"/>
        <v>0.6514948063934024</v>
      </c>
      <c r="N55" s="40">
        <f t="shared" si="18"/>
        <v>0.64930652532650268</v>
      </c>
      <c r="O55" s="40">
        <f t="shared" si="18"/>
        <v>0.65509976211667909</v>
      </c>
      <c r="P55" s="40">
        <f t="shared" si="18"/>
        <v>0.64730123922046268</v>
      </c>
      <c r="Q55" s="10" t="e">
        <f t="shared" ca="1" si="16"/>
        <v>#NAME?</v>
      </c>
      <c r="R55" s="10" t="e">
        <f t="shared" ca="1" si="16"/>
        <v>#NAME?</v>
      </c>
      <c r="S55" s="10" t="e">
        <f t="shared" ca="1" si="16"/>
        <v>#NAME?</v>
      </c>
      <c r="T55" s="10" t="e">
        <f t="shared" ca="1" si="16"/>
        <v>#NAME?</v>
      </c>
      <c r="U55" s="10" t="e">
        <f t="shared" ca="1" si="16"/>
        <v>#NAME?</v>
      </c>
      <c r="V55" s="10" t="e">
        <f t="shared" ca="1" si="16"/>
        <v>#NAME?</v>
      </c>
      <c r="W55" s="10" t="e">
        <f t="shared" ca="1" si="16"/>
        <v>#NAME?</v>
      </c>
      <c r="X55" s="10" t="e">
        <f t="shared" ca="1" si="16"/>
        <v>#NAME?</v>
      </c>
      <c r="Y55" s="10" t="e">
        <f t="shared" ca="1" si="16"/>
        <v>#NAME?</v>
      </c>
      <c r="Z55" s="10" t="e">
        <f t="shared" ca="1" si="16"/>
        <v>#NAME?</v>
      </c>
      <c r="AA55" s="10" t="e">
        <f t="shared" ca="1" si="16"/>
        <v>#NAME?</v>
      </c>
      <c r="AB55" s="10" t="e">
        <f t="shared" ca="1" si="16"/>
        <v>#NAME?</v>
      </c>
      <c r="AC55" s="10" t="e">
        <f t="shared" ca="1" si="16"/>
        <v>#NAME?</v>
      </c>
      <c r="AD55" s="10" t="e">
        <f t="shared" ca="1" si="16"/>
        <v>#NAME?</v>
      </c>
      <c r="AE55" s="10" t="e">
        <f t="shared" ca="1" si="16"/>
        <v>#NAME?</v>
      </c>
      <c r="AF55" s="10" t="e">
        <f t="shared" ca="1" si="16"/>
        <v>#NAME?</v>
      </c>
      <c r="AG55" s="10" t="e">
        <f t="shared" ca="1" si="16"/>
        <v>#NAME?</v>
      </c>
      <c r="AH55" s="10" t="e">
        <f t="shared" ca="1" si="16"/>
        <v>#NAME?</v>
      </c>
      <c r="AI55" s="10" t="e">
        <f t="shared" ca="1" si="16"/>
        <v>#NAME?</v>
      </c>
      <c r="AJ55" s="10" t="e">
        <f t="shared" ca="1" si="16"/>
        <v>#NAME?</v>
      </c>
      <c r="AK55" s="10" t="e">
        <f t="shared" ca="1" si="16"/>
        <v>#NAME?</v>
      </c>
      <c r="AL55" s="10" t="e">
        <f t="shared" ca="1" si="16"/>
        <v>#NAME?</v>
      </c>
      <c r="AM55" s="10" t="e">
        <f t="shared" ca="1" si="16"/>
        <v>#NAME?</v>
      </c>
      <c r="AN55" s="10" t="e">
        <f t="shared" ca="1" si="16"/>
        <v>#NAME?</v>
      </c>
      <c r="AO55" s="10" t="e">
        <f t="shared" ca="1" si="16"/>
        <v>#NAME?</v>
      </c>
      <c r="AP55" s="10" t="e">
        <f t="shared" ca="1" si="16"/>
        <v>#NAME?</v>
      </c>
      <c r="AQ55" s="10" t="e">
        <f t="shared" ca="1" si="16"/>
        <v>#NAME?</v>
      </c>
    </row>
    <row r="56" spans="1:43" x14ac:dyDescent="0.3">
      <c r="A56" s="62"/>
      <c r="B56" s="10" t="s">
        <v>67</v>
      </c>
      <c r="C56" s="10" cm="1">
        <f t="array" ref="C56">C35/((C33*5.8/1000000)*60*[3]!Density("carbon dioxide","TP","SI",C8+273.15,C22))</f>
        <v>0.79285792810085864</v>
      </c>
      <c r="D56" s="10" cm="1">
        <f t="array" ref="D56">D35/((D33*5.8/1000000)*60*[3]!Density("carbon dioxide","TP","SI",D8+273.15,D22))</f>
        <v>0.81158065228047371</v>
      </c>
      <c r="E56" s="10" t="e" cm="1">
        <f t="array" aca="1" ref="E56" ca="1">E35/((E33*5.8/1000000)*60*[3]!Density("carbon dioxide","TP","SI",E8+273.15,E22))</f>
        <v>#NAME?</v>
      </c>
      <c r="F56" s="10" cm="1">
        <f t="array" ref="F56">F35/((F33*5.8/1000000)*60*[3]!Density("carbon dioxide","TP","SI",F8+273.15,F22))</f>
        <v>0.87304477746823572</v>
      </c>
      <c r="G56" s="10" cm="1">
        <f t="array" ref="G56">G35/((G33*5.8/1000000)*60*[1]!Density("carbon dioxide","TP","SI",G8+273.15,G22))</f>
        <v>0.85619647064429705</v>
      </c>
      <c r="H56" s="10" cm="1">
        <f t="array" ref="H56">H35/((H33*5.8/1000000)*60*[1]!Density("carbon dioxide","TP","SI",H8+273.15,H22))</f>
        <v>0.81571818599177992</v>
      </c>
      <c r="I56" s="10" t="e" cm="1">
        <f t="array" ref="I56">I35/((I33*5.8/1000000)*60*[1]!Density("carbon dioxide","TP","SI",I8+273.15,I22))</f>
        <v>#VALUE!</v>
      </c>
      <c r="J56" s="10" cm="1">
        <f t="array" ref="J56">J35/((J33*5.8/1000000)*60*[1]!Density("carbon dioxide","TP","SI",J8+273.15,J22))</f>
        <v>0.82955927865560153</v>
      </c>
      <c r="K56" s="10" cm="1">
        <f t="array" ref="K56">K35/((K33*5.8/1000000)*60*[1]!Density("carbon dioxide","TP","SI",K8+273.15,K22))</f>
        <v>0.84036072155386865</v>
      </c>
      <c r="L56" s="10" cm="1">
        <f t="array" ref="L56">L35/((L33*5.8/1000000)*60*[1]!Density("carbon dioxide","TP","SI",L8+273.15,L22))</f>
        <v>0.83378822123836116</v>
      </c>
      <c r="M56" s="10" cm="1">
        <f t="array" ref="M56">M35/((M33*5.8/1000000)*60*[1]!Density("carbon dioxide","TP","SI",M8+273.15,M22))</f>
        <v>0.84450552210355101</v>
      </c>
      <c r="N56" s="10" cm="1">
        <f t="array" ref="N56">N35/((N33*5.8/1000000)*60*[1]!Density("carbon dioxide","TP","SI",N8+273.15,N22))</f>
        <v>0.85528240591887672</v>
      </c>
      <c r="O56" s="10" cm="1">
        <f t="array" ref="O56">O35/((O33*5.8/1000000)*60*[1]!Density("carbon dioxide","TP","SI",O8+273.15,O22))</f>
        <v>0.83596237660428063</v>
      </c>
      <c r="P56" s="10" cm="1">
        <f t="array" ref="P56">P35/((P33*5.8/1000000)*60*[1]!Density("carbon dioxide","TP","SI",P8+273.15,P22))</f>
        <v>0.83532315868472318</v>
      </c>
      <c r="Q56" s="10" t="e" cm="1">
        <f t="array" ref="Q56">Q35/((Q33*5.8/1000000)*60*[3]!Density("carbon dioxide","TP","SI",Q8+273.15,Q22))</f>
        <v>#VALUE!</v>
      </c>
      <c r="R56" s="10" t="e" cm="1">
        <f t="array" ref="R56">R35/((R33*5.8/1000000)*60*[3]!Density("carbon dioxide","TP","SI",R8+273.15,R22))</f>
        <v>#VALUE!</v>
      </c>
      <c r="S56" s="10" t="e" cm="1">
        <f t="array" ref="S56">S35/((S33*5.8/1000000)*60*[3]!Density("carbon dioxide","TP","SI",S8+273.15,S22))</f>
        <v>#VALUE!</v>
      </c>
      <c r="T56" s="10" t="e" cm="1">
        <f t="array" ref="T56">T35/((T33*5.8/1000000)*60*[3]!Density("carbon dioxide","TP","SI",T8+273.15,T22))</f>
        <v>#VALUE!</v>
      </c>
      <c r="U56" s="10" t="e" cm="1">
        <f t="array" ref="U56">U35/((U33*5.8/1000000)*60*[3]!Density("carbon dioxide","TP","SI",U8+273.15,U22))</f>
        <v>#VALUE!</v>
      </c>
      <c r="V56" s="10" t="e" cm="1">
        <f t="array" ref="V56">V35/((V33*5.8/1000000)*60*[3]!Density("carbon dioxide","TP","SI",V8+273.15,V22))</f>
        <v>#VALUE!</v>
      </c>
      <c r="W56" s="10" t="e" cm="1">
        <f t="array" ref="W56">W35/((W33*5.8/1000000)*60*[3]!Density("carbon dioxide","TP","SI",W8+273.15,W22))</f>
        <v>#VALUE!</v>
      </c>
      <c r="X56" s="10" t="e" cm="1">
        <f t="array" ref="X56">X35/((X33*5.8/1000000)*60*[3]!Density("carbon dioxide","TP","SI",X8+273.15,X22))</f>
        <v>#VALUE!</v>
      </c>
      <c r="Y56" s="10" t="e" cm="1">
        <f t="array" ref="Y56">Y35/((Y33*5.8/1000000)*60*[3]!Density("carbon dioxide","TP","SI",Y8+273.15,Y22))</f>
        <v>#VALUE!</v>
      </c>
      <c r="Z56" s="10" t="e" cm="1">
        <f t="array" ref="Z56">Z35/((Z33*5.8/1000000)*60*[3]!Density("carbon dioxide","TP","SI",Z8+273.15,Z22))</f>
        <v>#VALUE!</v>
      </c>
      <c r="AA56" s="10" t="e" cm="1">
        <f t="array" ref="AA56">AA35/((AA33*5.8/1000000)*60*[3]!Density("carbon dioxide","TP","SI",AA8+273.15,AA22))</f>
        <v>#VALUE!</v>
      </c>
      <c r="AB56" s="10" t="e" cm="1">
        <f t="array" ref="AB56">AB35/((AB33*5.8/1000000)*60*[3]!Density("carbon dioxide","TP","SI",AB8+273.15,AB22))</f>
        <v>#VALUE!</v>
      </c>
      <c r="AC56" s="10" t="e" cm="1">
        <f t="array" ref="AC56">AC35/((AC33*5.8/1000000)*60*[3]!Density("carbon dioxide","TP","SI",AC8+273.15,AC22))</f>
        <v>#VALUE!</v>
      </c>
      <c r="AD56" s="10" t="e" cm="1">
        <f t="array" ref="AD56">AD35/((AD33*5.8/1000000)*60*[3]!Density("carbon dioxide","TP","SI",AD8+273.15,AD22))</f>
        <v>#VALUE!</v>
      </c>
      <c r="AE56" s="10" t="e" cm="1">
        <f t="array" ref="AE56">AE35/((AE33*5.8/1000000)*60*[3]!Density("carbon dioxide","TP","SI",AE8+273.15,AE22))</f>
        <v>#VALUE!</v>
      </c>
      <c r="AF56" s="10" t="e" cm="1">
        <f t="array" ref="AF56">AF35/((AF33*5.8/1000000)*60*[3]!Density("carbon dioxide","TP","SI",AF8+273.15,AF22))</f>
        <v>#VALUE!</v>
      </c>
      <c r="AG56" s="10" t="e" cm="1">
        <f t="array" ref="AG56">AG35/((AG33*5.8/1000000)*60*[3]!Density("carbon dioxide","TP","SI",AG8+273.15,AG22))</f>
        <v>#VALUE!</v>
      </c>
      <c r="AH56" s="10" t="e">
        <f ca="1">AH35/((AH33*5.8/1000000)*60*[2]!Density("carbon dioxide","TP","SI",AH8+273.15,AH22))</f>
        <v>#NAME?</v>
      </c>
      <c r="AI56" s="10" t="e">
        <f ca="1">AI35/((AI33*5.8/1000000)*60*[2]!Density("carbon dioxide","TP","SI",AI8+273.15,AI22))</f>
        <v>#NAME?</v>
      </c>
      <c r="AJ56" s="10" t="e">
        <f ca="1">AJ35/((AJ33*5.8/1000000)*60*[2]!Density("carbon dioxide","TP","SI",AJ8+273.15,AJ22))</f>
        <v>#NAME?</v>
      </c>
      <c r="AK56" s="10" t="e">
        <f ca="1">AK35/((AK33*5.8/1000000)*60*[2]!Density("carbon dioxide","TP","SI",AK8+273.15,AK22))</f>
        <v>#NAME?</v>
      </c>
      <c r="AL56" s="10" t="e">
        <f ca="1">AL35/((AL33*5.8/1000000)*60*[2]!Density("carbon dioxide","TP","SI",AL8+273.15,AL22))</f>
        <v>#NAME?</v>
      </c>
      <c r="AM56" s="10" t="e">
        <f ca="1">AM35/((AM33*5.8/1000000)*60*[2]!Density("carbon dioxide","TP","SI",AM8+273.15,AM22))</f>
        <v>#NAME?</v>
      </c>
      <c r="AN56" s="10" t="e">
        <f ca="1">AN35/((AN33*5.8/1000000)*60*[2]!Density("carbon dioxide","TP","SI",AN8+273.15,AN22))</f>
        <v>#NAME?</v>
      </c>
      <c r="AO56" s="10" t="e">
        <f ca="1">AO35/((AO33*5.8/1000000)*60*[2]!Density("carbon dioxide","TP","SI",AO8+273.15,AO22))</f>
        <v>#NAME?</v>
      </c>
      <c r="AP56" s="10" t="e">
        <f ca="1">AP35/((AP33*5.8/1000000)*60*[2]!Density("carbon dioxide","TP","SI",AP8+273.15,AP22))</f>
        <v>#NAME?</v>
      </c>
      <c r="AQ56" s="10" t="e">
        <f ca="1">AQ35/((AQ33*5.8/1000000)*60*[2]!Density("carbon dioxide","TP","SI",AQ8+273.15,AQ22))</f>
        <v>#NAME?</v>
      </c>
    </row>
    <row r="57" spans="1:43" x14ac:dyDescent="0.3">
      <c r="A57" s="62"/>
      <c r="B57" s="10" t="s">
        <v>69</v>
      </c>
      <c r="C57" s="10" t="e">
        <f ca="1">C54*C55</f>
        <v>#NAME?</v>
      </c>
      <c r="D57" s="10" t="e">
        <f t="shared" ref="D57:AQ57" ca="1" si="19">D54*D55</f>
        <v>#NAME?</v>
      </c>
      <c r="E57" s="40">
        <f t="shared" ref="E57" si="20">E54*E55</f>
        <v>0.64868989400145116</v>
      </c>
      <c r="F57" s="40" t="e">
        <f t="shared" ca="1" si="19"/>
        <v>#NAME?</v>
      </c>
      <c r="G57" s="40">
        <f t="shared" ref="G57:P57" si="21">G54*G55</f>
        <v>0.59763746568073073</v>
      </c>
      <c r="H57" s="40">
        <f t="shared" si="21"/>
        <v>0.50928961228415115</v>
      </c>
      <c r="I57" s="40" t="e">
        <f t="shared" si="21"/>
        <v>#DIV/0!</v>
      </c>
      <c r="J57" s="40" t="e">
        <f t="shared" si="21"/>
        <v>#VALUE!</v>
      </c>
      <c r="K57" s="40">
        <f t="shared" si="21"/>
        <v>0.67258063299628934</v>
      </c>
      <c r="L57" s="40">
        <f t="shared" si="21"/>
        <v>0.5883748518552897</v>
      </c>
      <c r="M57" s="40">
        <f t="shared" si="21"/>
        <v>0.58194305655972201</v>
      </c>
      <c r="N57" s="40">
        <f t="shared" si="21"/>
        <v>0.60251148710073577</v>
      </c>
      <c r="O57" s="40">
        <f t="shared" si="21"/>
        <v>0.57627298206771116</v>
      </c>
      <c r="P57" s="40">
        <f t="shared" si="21"/>
        <v>0.54599013462108903</v>
      </c>
      <c r="Q57" s="10" t="e">
        <f t="shared" ca="1" si="19"/>
        <v>#VALUE!</v>
      </c>
      <c r="R57" s="10" t="e">
        <f t="shared" ca="1" si="19"/>
        <v>#VALUE!</v>
      </c>
      <c r="S57" s="10" t="e">
        <f t="shared" ca="1" si="19"/>
        <v>#VALUE!</v>
      </c>
      <c r="T57" s="10" t="e">
        <f t="shared" ca="1" si="19"/>
        <v>#VALUE!</v>
      </c>
      <c r="U57" s="10" t="e">
        <f t="shared" ca="1" si="19"/>
        <v>#VALUE!</v>
      </c>
      <c r="V57" s="10" t="e">
        <f t="shared" ca="1" si="19"/>
        <v>#VALUE!</v>
      </c>
      <c r="W57" s="10" t="e">
        <f t="shared" ca="1" si="19"/>
        <v>#VALUE!</v>
      </c>
      <c r="X57" s="10" t="e">
        <f t="shared" ca="1" si="19"/>
        <v>#VALUE!</v>
      </c>
      <c r="Y57" s="10" t="e">
        <f t="shared" ca="1" si="19"/>
        <v>#VALUE!</v>
      </c>
      <c r="Z57" s="10" t="e">
        <f t="shared" ca="1" si="19"/>
        <v>#VALUE!</v>
      </c>
      <c r="AA57" s="10" t="e">
        <f t="shared" ca="1" si="19"/>
        <v>#VALUE!</v>
      </c>
      <c r="AB57" s="10" t="e">
        <f t="shared" ca="1" si="19"/>
        <v>#VALUE!</v>
      </c>
      <c r="AC57" s="10" t="e">
        <f t="shared" ca="1" si="19"/>
        <v>#VALUE!</v>
      </c>
      <c r="AD57" s="10" t="e">
        <f t="shared" ca="1" si="19"/>
        <v>#VALUE!</v>
      </c>
      <c r="AE57" s="10" t="e">
        <f t="shared" ca="1" si="19"/>
        <v>#VALUE!</v>
      </c>
      <c r="AF57" s="10" t="e">
        <f t="shared" ca="1" si="19"/>
        <v>#VALUE!</v>
      </c>
      <c r="AG57" s="10" t="e">
        <f t="shared" ca="1" si="19"/>
        <v>#VALUE!</v>
      </c>
      <c r="AH57" s="10" t="e">
        <f t="shared" ca="1" si="19"/>
        <v>#VALUE!</v>
      </c>
      <c r="AI57" s="10" t="e">
        <f t="shared" ca="1" si="19"/>
        <v>#VALUE!</v>
      </c>
      <c r="AJ57" s="10" t="e">
        <f t="shared" ca="1" si="19"/>
        <v>#VALUE!</v>
      </c>
      <c r="AK57" s="10" t="e">
        <f t="shared" ca="1" si="19"/>
        <v>#VALUE!</v>
      </c>
      <c r="AL57" s="10" t="e">
        <f t="shared" ca="1" si="19"/>
        <v>#VALUE!</v>
      </c>
      <c r="AM57" s="10" t="e">
        <f t="shared" ca="1" si="19"/>
        <v>#VALUE!</v>
      </c>
      <c r="AN57" s="10" t="e">
        <f t="shared" ca="1" si="19"/>
        <v>#VALUE!</v>
      </c>
      <c r="AO57" s="10" t="e">
        <f t="shared" ca="1" si="19"/>
        <v>#VALUE!</v>
      </c>
      <c r="AP57" s="10" t="e">
        <f t="shared" ca="1" si="19"/>
        <v>#VALUE!</v>
      </c>
      <c r="AQ57" s="10" t="e">
        <f t="shared" ca="1" si="19"/>
        <v>#VALUE!</v>
      </c>
    </row>
    <row r="58" spans="1:43" x14ac:dyDescent="0.3">
      <c r="A58" s="62"/>
      <c r="B58" s="10" t="s">
        <v>68</v>
      </c>
      <c r="C58" s="10"/>
      <c r="D58" s="10"/>
      <c r="E58" s="40"/>
      <c r="F58" s="40"/>
      <c r="G58" s="40"/>
      <c r="H58" s="27"/>
      <c r="I58" s="27"/>
      <c r="J58" s="10"/>
      <c r="K58" s="40"/>
      <c r="L58" s="40"/>
      <c r="M58" s="40"/>
      <c r="N58" s="40"/>
      <c r="O58" s="40"/>
      <c r="P58" s="4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24"/>
    </row>
    <row r="59" spans="1:43" x14ac:dyDescent="0.3">
      <c r="B59" s="41" t="s">
        <v>132</v>
      </c>
      <c r="C59" s="42" cm="1">
        <f t="array" ref="C59">C35/([3]!Density("carbon dioxide","TP","SI",C14+273.15,C26)*3.14*16*3600)*1000000</f>
        <v>1.1376665135928443</v>
      </c>
      <c r="D59" s="42" cm="1">
        <f t="array" ref="D59">D35/([3]!Density("carbon dioxide","TP","SI",D14+273.15,D26)*3.14*16*3600)*1000000</f>
        <v>1.2166549354733025</v>
      </c>
      <c r="E59" s="42" cm="1">
        <f t="array" ref="E59">E35/([3]!Density("carbon dioxide","TP","SI",E14+273.15,E26)*3.14*16*3600)*1000000</f>
        <v>0.87869837644000248</v>
      </c>
      <c r="F59" s="42" cm="1">
        <f t="array" ref="F59">F35/([3]!Density("carbon dioxide","TP","SI",F14+273.15,F26)*3.14*16*3600)*1000000</f>
        <v>0.92867661814629576</v>
      </c>
      <c r="G59" s="42" cm="1">
        <f t="array" ref="G59">G35/([3]!Density("carbon dioxide","TP","SI",G14+273.15,G26)*3.14*16*3600)*1000000</f>
        <v>0.87548956899078845</v>
      </c>
      <c r="H59" s="42" cm="1">
        <f t="array" ref="H59">H35/([3]!Density("carbon dioxide","TP","SI",H14+273.15,H26)*3.14*16*3600)*1000000</f>
        <v>1.2299944078916565</v>
      </c>
      <c r="I59" s="42" t="e" cm="1">
        <f t="array" ref="I59">I35/([3]!Density("carbon dioxide","TP","SI",I14+273.15,I26)*3.14*16*3600)*1000000</f>
        <v>#VALUE!</v>
      </c>
      <c r="J59" s="42" cm="1">
        <f t="array" ref="J59">J35/([3]!Density("carbon dioxide","TP","SI",J14+273.15,J26)*3.14*16*3600)*1000000</f>
        <v>1.2771185395475539</v>
      </c>
      <c r="K59" s="42" cm="1">
        <f t="array" ref="K59">K35/([3]!Density("carbon dioxide","TP","SI",K14+273.15,K26)*3.14*16*3600)*1000000</f>
        <v>0.86458690831234286</v>
      </c>
      <c r="L59" s="42" cm="1">
        <f t="array" ref="L59">L35/([3]!Density("carbon dioxide","TP","SI",L14+273.15,L26)*3.14*16*3600)*1000000</f>
        <v>0.86504588652953718</v>
      </c>
      <c r="M59" s="42" cm="1">
        <f t="array" ref="M59">M35/([3]!Density("carbon dioxide","TP","SI",M14+273.15,M26)*3.14*16*3600)*1000000</f>
        <v>0.90291721507900868</v>
      </c>
      <c r="N59" s="42" cm="1">
        <f t="array" ref="N59">N35/([3]!Density("carbon dioxide","TP","SI",N14+273.15,N26)*3.14*16*3600)*1000000</f>
        <v>1.0000384958126105</v>
      </c>
      <c r="O59" s="42" cm="1">
        <f t="array" ref="O59">O35/([3]!Density("carbon dioxide","TP","SI",O14+273.15,O26)*3.14*16*3600)*1000000</f>
        <v>0.90983954452592686</v>
      </c>
      <c r="P59" s="42" cm="1">
        <f t="array" ref="P59">P35/([3]!Density("carbon dioxide","TP","SI",P14+273.15,P26)*3.14*16*3600)*1000000</f>
        <v>1.0419176867966169</v>
      </c>
      <c r="Q59" s="43"/>
      <c r="R59" s="43"/>
      <c r="S59" s="43"/>
      <c r="T59" s="43"/>
      <c r="U59" s="42"/>
      <c r="V59" s="44"/>
      <c r="W59" s="42"/>
      <c r="X59" s="42"/>
      <c r="Y59" s="44"/>
      <c r="Z59" s="42"/>
      <c r="AA59" s="42"/>
      <c r="AB59" s="44"/>
      <c r="AC59" s="42"/>
      <c r="AD59" s="42"/>
      <c r="AE59" s="42"/>
      <c r="AF59" s="45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</row>
    <row r="60" spans="1:43" x14ac:dyDescent="0.3">
      <c r="B60" s="41" t="s">
        <v>133</v>
      </c>
      <c r="C60" s="42" cm="1">
        <f t="array" ref="C60">C35/([3]!Density("carbon dioxide","Pvap","SI",C28)*3.14*16*3600)*1000000</f>
        <v>6.7827989614497186</v>
      </c>
      <c r="D60" s="42" cm="1">
        <f t="array" ref="D60">D35/([3]!Density("carbon dioxide","Pvap","SI",D28)*3.14*16*3600)*1000000</f>
        <v>6.9325223891177492</v>
      </c>
      <c r="E60" s="42" cm="1">
        <f t="array" ref="E60">E35/([3]!Density("carbon dioxide","Pvap","SI",E28)*3.14*16*3600)*1000000</f>
        <v>5.6554312109705958</v>
      </c>
      <c r="F60" s="42" cm="1">
        <f t="array" ref="F60">F35/([3]!Density("carbon dioxide","Pvap","SI",F28)*3.14*16*3600)*1000000</f>
        <v>5.6922832611683196</v>
      </c>
      <c r="G60" s="42" cm="1">
        <f t="array" ref="G60">G35/([3]!Density("carbon dioxide","Pvap","SI",G28)*3.14*16*3600)*1000000</f>
        <v>5.6554312109705958</v>
      </c>
      <c r="H60" s="42" cm="1">
        <f t="array" ref="H60">H35/([3]!Density("carbon dioxide","Pvap","SI",H28)*3.14*16*3600)*1000000</f>
        <v>7.0228384973935913</v>
      </c>
      <c r="I60" s="42" t="e" cm="1">
        <f t="array" ref="I60">I35/([3]!Density("carbon dioxide","Pvap","SI",I28)*3.14*16*3600)*1000000</f>
        <v>#VALUE!</v>
      </c>
      <c r="J60" s="42" cm="1">
        <f t="array" ref="J60">J35/([3]!Density("carbon dioxide","Pvap","SI",J28)*3.14*16*3600)*1000000</f>
        <v>7.0931289897909133</v>
      </c>
      <c r="K60" s="42" cm="1">
        <f t="array" ref="K60">K35/([3]!Density("carbon dioxide","Pvap","SI",K28)*3.14*16*3600)*1000000</f>
        <v>5.5426324168794761</v>
      </c>
      <c r="L60" s="42" cm="1">
        <f t="array" ref="L60">L35/([3]!Density("carbon dioxide","Pvap","SI",L28)*3.14*16*3600)*1000000</f>
        <v>5.5057422165662748</v>
      </c>
      <c r="M60" s="42" cm="1">
        <f t="array" ref="M60">M35/([3]!Density("carbon dioxide","Pvap","SI",M28)*3.14*16*3600)*1000000</f>
        <v>5.9671616652042196</v>
      </c>
      <c r="N60" s="42" cm="1">
        <f t="array" ref="N60">N35/([3]!Density("carbon dioxide","Pvap","SI",N28)*3.14*16*3600)*1000000</f>
        <v>6.156962768463492</v>
      </c>
      <c r="O60" s="42" cm="1">
        <f t="array" ref="O60">O35/([3]!Density("carbon dioxide","Pvap","SI",O28)*3.14*16*3600)*1000000</f>
        <v>5.9274527484423905</v>
      </c>
      <c r="P60" s="42" cm="1">
        <f t="array" ref="P60">P35/([3]!Density("carbon dioxide","Pvap","SI",P28)*3.14*16*3600)*1000000</f>
        <v>7.049311103807594</v>
      </c>
      <c r="Q60" s="43"/>
      <c r="R60" s="43"/>
      <c r="S60" s="43"/>
      <c r="T60" s="43"/>
      <c r="U60" s="42"/>
      <c r="V60" s="44"/>
      <c r="W60" s="42"/>
      <c r="X60" s="42"/>
      <c r="Y60" s="44"/>
      <c r="Z60" s="42"/>
      <c r="AA60" s="42"/>
      <c r="AB60" s="44"/>
      <c r="AC60" s="42"/>
      <c r="AD60" s="42"/>
      <c r="AE60" s="42"/>
      <c r="AF60" s="45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</row>
    <row r="61" spans="1:43" x14ac:dyDescent="0.3">
      <c r="C61"/>
    </row>
    <row r="62" spans="1:43" x14ac:dyDescent="0.3">
      <c r="C62"/>
    </row>
    <row r="63" spans="1:43" x14ac:dyDescent="0.3">
      <c r="C63"/>
    </row>
    <row r="64" spans="1:43" x14ac:dyDescent="0.3">
      <c r="C64"/>
    </row>
    <row r="65" spans="3:3" x14ac:dyDescent="0.3">
      <c r="C65"/>
    </row>
    <row r="66" spans="3:3" x14ac:dyDescent="0.3">
      <c r="C66"/>
    </row>
    <row r="67" spans="3:3" x14ac:dyDescent="0.3">
      <c r="C67"/>
    </row>
    <row r="68" spans="3:3" x14ac:dyDescent="0.3">
      <c r="C68"/>
    </row>
    <row r="69" spans="3:3" x14ac:dyDescent="0.3">
      <c r="C69"/>
    </row>
    <row r="70" spans="3:3" x14ac:dyDescent="0.3">
      <c r="C70"/>
    </row>
    <row r="71" spans="3:3" x14ac:dyDescent="0.3">
      <c r="C71"/>
    </row>
    <row r="72" spans="3:3" x14ac:dyDescent="0.3">
      <c r="C72"/>
    </row>
    <row r="73" spans="3:3" x14ac:dyDescent="0.3">
      <c r="C73"/>
    </row>
    <row r="74" spans="3:3" x14ac:dyDescent="0.3">
      <c r="C74"/>
    </row>
    <row r="75" spans="3:3" x14ac:dyDescent="0.3">
      <c r="C75"/>
    </row>
    <row r="76" spans="3:3" x14ac:dyDescent="0.3">
      <c r="C76"/>
    </row>
    <row r="77" spans="3:3" x14ac:dyDescent="0.3">
      <c r="C77"/>
    </row>
    <row r="78" spans="3:3" x14ac:dyDescent="0.3">
      <c r="C78"/>
    </row>
    <row r="79" spans="3:3" x14ac:dyDescent="0.3">
      <c r="C79"/>
    </row>
    <row r="80" spans="3:3" x14ac:dyDescent="0.3">
      <c r="C80"/>
    </row>
    <row r="81" spans="3:3" x14ac:dyDescent="0.3">
      <c r="C81"/>
    </row>
    <row r="82" spans="3:3" x14ac:dyDescent="0.3">
      <c r="C82"/>
    </row>
    <row r="83" spans="3:3" x14ac:dyDescent="0.3">
      <c r="C83"/>
    </row>
    <row r="84" spans="3:3" x14ac:dyDescent="0.3">
      <c r="C84"/>
    </row>
    <row r="85" spans="3:3" x14ac:dyDescent="0.3">
      <c r="C85"/>
    </row>
    <row r="86" spans="3:3" x14ac:dyDescent="0.3">
      <c r="C86"/>
    </row>
    <row r="87" spans="3:3" x14ac:dyDescent="0.3">
      <c r="C87"/>
    </row>
    <row r="88" spans="3:3" x14ac:dyDescent="0.3">
      <c r="C88"/>
    </row>
    <row r="89" spans="3:3" x14ac:dyDescent="0.3">
      <c r="C89"/>
    </row>
    <row r="90" spans="3:3" x14ac:dyDescent="0.3">
      <c r="C90"/>
    </row>
    <row r="91" spans="3:3" x14ac:dyDescent="0.3">
      <c r="C91"/>
    </row>
    <row r="92" spans="3:3" x14ac:dyDescent="0.3">
      <c r="C92"/>
    </row>
    <row r="93" spans="3:3" x14ac:dyDescent="0.3">
      <c r="C93"/>
    </row>
    <row r="94" spans="3:3" x14ac:dyDescent="0.3">
      <c r="C94"/>
    </row>
    <row r="95" spans="3:3" x14ac:dyDescent="0.3">
      <c r="C95"/>
    </row>
    <row r="96" spans="3:3" x14ac:dyDescent="0.3">
      <c r="C96"/>
    </row>
    <row r="97" spans="3:3" x14ac:dyDescent="0.3">
      <c r="C97"/>
    </row>
    <row r="98" spans="3:3" x14ac:dyDescent="0.3">
      <c r="C98"/>
    </row>
    <row r="99" spans="3:3" x14ac:dyDescent="0.3">
      <c r="C99"/>
    </row>
    <row r="100" spans="3:3" x14ac:dyDescent="0.3">
      <c r="C100"/>
    </row>
    <row r="101" spans="3:3" x14ac:dyDescent="0.3">
      <c r="C101"/>
    </row>
    <row r="102" spans="3:3" x14ac:dyDescent="0.3">
      <c r="C102"/>
    </row>
    <row r="103" spans="3:3" x14ac:dyDescent="0.3">
      <c r="C103"/>
    </row>
    <row r="104" spans="3:3" x14ac:dyDescent="0.3">
      <c r="C104"/>
    </row>
    <row r="105" spans="3:3" x14ac:dyDescent="0.3">
      <c r="C105"/>
    </row>
    <row r="106" spans="3:3" x14ac:dyDescent="0.3">
      <c r="C106"/>
    </row>
    <row r="107" spans="3:3" x14ac:dyDescent="0.3">
      <c r="C107"/>
    </row>
    <row r="108" spans="3:3" x14ac:dyDescent="0.3">
      <c r="C108"/>
    </row>
    <row r="109" spans="3:3" x14ac:dyDescent="0.3">
      <c r="C109"/>
    </row>
    <row r="110" spans="3:3" x14ac:dyDescent="0.3">
      <c r="C110"/>
    </row>
    <row r="111" spans="3:3" x14ac:dyDescent="0.3">
      <c r="C111"/>
    </row>
    <row r="112" spans="3:3" x14ac:dyDescent="0.3">
      <c r="C112"/>
    </row>
    <row r="113" spans="3:3" x14ac:dyDescent="0.3">
      <c r="C113"/>
    </row>
    <row r="114" spans="3:3" x14ac:dyDescent="0.3">
      <c r="C114"/>
    </row>
    <row r="115" spans="3:3" x14ac:dyDescent="0.3">
      <c r="C115"/>
    </row>
    <row r="116" spans="3:3" x14ac:dyDescent="0.3">
      <c r="C116"/>
    </row>
    <row r="117" spans="3:3" x14ac:dyDescent="0.3">
      <c r="C117"/>
    </row>
    <row r="118" spans="3:3" x14ac:dyDescent="0.3">
      <c r="C118"/>
    </row>
    <row r="119" spans="3:3" x14ac:dyDescent="0.3">
      <c r="C119"/>
    </row>
    <row r="120" spans="3:3" x14ac:dyDescent="0.3">
      <c r="C120"/>
    </row>
    <row r="121" spans="3:3" x14ac:dyDescent="0.3">
      <c r="C121"/>
    </row>
    <row r="122" spans="3:3" x14ac:dyDescent="0.3">
      <c r="C122"/>
    </row>
    <row r="123" spans="3:3" x14ac:dyDescent="0.3">
      <c r="C123"/>
    </row>
    <row r="124" spans="3:3" x14ac:dyDescent="0.3">
      <c r="C124"/>
    </row>
    <row r="125" spans="3:3" x14ac:dyDescent="0.3">
      <c r="C125"/>
    </row>
    <row r="126" spans="3:3" x14ac:dyDescent="0.3">
      <c r="C126"/>
    </row>
    <row r="127" spans="3:3" x14ac:dyDescent="0.3">
      <c r="C127"/>
    </row>
    <row r="128" spans="3:3" x14ac:dyDescent="0.3">
      <c r="C128"/>
    </row>
    <row r="129" spans="3:3" x14ac:dyDescent="0.3">
      <c r="C129"/>
    </row>
    <row r="130" spans="3:3" x14ac:dyDescent="0.3">
      <c r="C130"/>
    </row>
    <row r="131" spans="3:3" x14ac:dyDescent="0.3">
      <c r="C131"/>
    </row>
    <row r="132" spans="3:3" x14ac:dyDescent="0.3">
      <c r="C132"/>
    </row>
    <row r="133" spans="3:3" x14ac:dyDescent="0.3">
      <c r="C133"/>
    </row>
    <row r="134" spans="3:3" x14ac:dyDescent="0.3">
      <c r="C134"/>
    </row>
    <row r="135" spans="3:3" x14ac:dyDescent="0.3">
      <c r="C135"/>
    </row>
    <row r="136" spans="3:3" x14ac:dyDescent="0.3">
      <c r="C136"/>
    </row>
    <row r="137" spans="3:3" x14ac:dyDescent="0.3">
      <c r="C137"/>
    </row>
    <row r="138" spans="3:3" x14ac:dyDescent="0.3">
      <c r="C138"/>
    </row>
    <row r="139" spans="3:3" x14ac:dyDescent="0.3">
      <c r="C139"/>
    </row>
    <row r="140" spans="3:3" x14ac:dyDescent="0.3">
      <c r="C140"/>
    </row>
    <row r="141" spans="3:3" x14ac:dyDescent="0.3">
      <c r="C141"/>
    </row>
    <row r="142" spans="3:3" x14ac:dyDescent="0.3">
      <c r="C142"/>
    </row>
    <row r="143" spans="3:3" x14ac:dyDescent="0.3">
      <c r="C143"/>
    </row>
    <row r="144" spans="3:3" x14ac:dyDescent="0.3">
      <c r="C144"/>
    </row>
    <row r="145" spans="3:3" x14ac:dyDescent="0.3">
      <c r="C145"/>
    </row>
    <row r="146" spans="3:3" x14ac:dyDescent="0.3">
      <c r="C146"/>
    </row>
    <row r="147" spans="3:3" x14ac:dyDescent="0.3">
      <c r="C147"/>
    </row>
    <row r="148" spans="3:3" x14ac:dyDescent="0.3">
      <c r="C148"/>
    </row>
    <row r="149" spans="3:3" x14ac:dyDescent="0.3">
      <c r="C149"/>
    </row>
    <row r="150" spans="3:3" x14ac:dyDescent="0.3">
      <c r="C150"/>
    </row>
    <row r="151" spans="3:3" x14ac:dyDescent="0.3">
      <c r="C151"/>
    </row>
    <row r="152" spans="3:3" x14ac:dyDescent="0.3">
      <c r="C152"/>
    </row>
    <row r="153" spans="3:3" x14ac:dyDescent="0.3">
      <c r="C153"/>
    </row>
    <row r="154" spans="3:3" x14ac:dyDescent="0.3">
      <c r="C154"/>
    </row>
    <row r="155" spans="3:3" x14ac:dyDescent="0.3">
      <c r="C155"/>
    </row>
    <row r="156" spans="3:3" x14ac:dyDescent="0.3">
      <c r="C156"/>
    </row>
    <row r="157" spans="3:3" x14ac:dyDescent="0.3">
      <c r="C157"/>
    </row>
    <row r="158" spans="3:3" x14ac:dyDescent="0.3">
      <c r="C158"/>
    </row>
    <row r="159" spans="3:3" x14ac:dyDescent="0.3">
      <c r="C159"/>
    </row>
    <row r="160" spans="3:3" x14ac:dyDescent="0.3">
      <c r="C160"/>
    </row>
    <row r="161" spans="3:3" x14ac:dyDescent="0.3">
      <c r="C161"/>
    </row>
    <row r="162" spans="3:3" x14ac:dyDescent="0.3">
      <c r="C162"/>
    </row>
    <row r="163" spans="3:3" x14ac:dyDescent="0.3">
      <c r="C163"/>
    </row>
    <row r="164" spans="3:3" x14ac:dyDescent="0.3">
      <c r="C164"/>
    </row>
    <row r="165" spans="3:3" x14ac:dyDescent="0.3">
      <c r="C165"/>
    </row>
    <row r="166" spans="3:3" x14ac:dyDescent="0.3">
      <c r="C166"/>
    </row>
    <row r="167" spans="3:3" x14ac:dyDescent="0.3">
      <c r="C167"/>
    </row>
    <row r="168" spans="3:3" x14ac:dyDescent="0.3">
      <c r="C168"/>
    </row>
    <row r="169" spans="3:3" x14ac:dyDescent="0.3">
      <c r="C169"/>
    </row>
    <row r="170" spans="3:3" x14ac:dyDescent="0.3">
      <c r="C170"/>
    </row>
    <row r="171" spans="3:3" x14ac:dyDescent="0.3">
      <c r="C171"/>
    </row>
    <row r="172" spans="3:3" x14ac:dyDescent="0.3">
      <c r="C172"/>
    </row>
    <row r="173" spans="3:3" x14ac:dyDescent="0.3">
      <c r="C173"/>
    </row>
    <row r="174" spans="3:3" x14ac:dyDescent="0.3">
      <c r="C174"/>
    </row>
    <row r="175" spans="3:3" x14ac:dyDescent="0.3">
      <c r="C175"/>
    </row>
    <row r="176" spans="3:3" x14ac:dyDescent="0.3">
      <c r="C176"/>
    </row>
    <row r="177" spans="3:3" x14ac:dyDescent="0.3">
      <c r="C177"/>
    </row>
    <row r="178" spans="3:3" x14ac:dyDescent="0.3">
      <c r="C178"/>
    </row>
  </sheetData>
  <mergeCells count="4">
    <mergeCell ref="A4:A7"/>
    <mergeCell ref="A8:A21"/>
    <mergeCell ref="A22:A29"/>
    <mergeCell ref="A30:A58"/>
  </mergeCells>
  <phoneticPr fontId="5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33"/>
  <sheetViews>
    <sheetView workbookViewId="0">
      <selection activeCell="C7" sqref="C7"/>
    </sheetView>
  </sheetViews>
  <sheetFormatPr defaultRowHeight="14" x14ac:dyDescent="0.3"/>
  <cols>
    <col min="2" max="2" width="11.08203125" customWidth="1"/>
  </cols>
  <sheetData>
    <row r="1" spans="1:3" x14ac:dyDescent="0.3">
      <c r="B1" t="s">
        <v>70</v>
      </c>
      <c r="C1" t="e">
        <f>Sheet2!#REF!</f>
        <v>#REF!</v>
      </c>
    </row>
    <row r="2" spans="1:3" x14ac:dyDescent="0.3">
      <c r="A2" s="63" t="s">
        <v>71</v>
      </c>
      <c r="B2" t="s">
        <v>72</v>
      </c>
      <c r="C2" t="e">
        <f>Sheet2!#REF!-Sheet2!#REF!</f>
        <v>#REF!</v>
      </c>
    </row>
    <row r="3" spans="1:3" x14ac:dyDescent="0.3">
      <c r="A3" s="63"/>
      <c r="B3" t="s">
        <v>73</v>
      </c>
      <c r="C3" t="e">
        <f>Sheet2!#REF!-Sheet2!#REF!</f>
        <v>#REF!</v>
      </c>
    </row>
    <row r="4" spans="1:3" x14ac:dyDescent="0.3">
      <c r="A4" s="63"/>
      <c r="B4" t="s">
        <v>74</v>
      </c>
      <c r="C4" t="e">
        <f>Sheet2!#REF!-Sheet2!#REF!</f>
        <v>#REF!</v>
      </c>
    </row>
    <row r="5" spans="1:3" x14ac:dyDescent="0.3">
      <c r="A5" s="63"/>
      <c r="B5" t="s">
        <v>93</v>
      </c>
      <c r="C5" t="e">
        <f>Sheet2!#REF!-Sheet2!#REF!</f>
        <v>#REF!</v>
      </c>
    </row>
    <row r="6" spans="1:3" x14ac:dyDescent="0.3">
      <c r="A6" s="63"/>
      <c r="B6" t="s">
        <v>94</v>
      </c>
      <c r="C6" t="e">
        <f>Sheet2!#REF!-Sheet2!#REF!</f>
        <v>#REF!</v>
      </c>
    </row>
    <row r="7" spans="1:3" x14ac:dyDescent="0.3">
      <c r="A7" s="12"/>
    </row>
    <row r="28" spans="1:7" x14ac:dyDescent="0.3">
      <c r="A28" s="64" t="s">
        <v>78</v>
      </c>
      <c r="B28" s="64" t="s">
        <v>75</v>
      </c>
      <c r="C28" s="64"/>
      <c r="D28" s="64" t="s">
        <v>76</v>
      </c>
      <c r="E28" s="64"/>
      <c r="F28" s="64" t="s">
        <v>77</v>
      </c>
      <c r="G28" s="64"/>
    </row>
    <row r="29" spans="1:7" x14ac:dyDescent="0.3">
      <c r="A29" s="64"/>
      <c r="B29" s="13" t="s">
        <v>80</v>
      </c>
      <c r="C29" s="13" t="s">
        <v>71</v>
      </c>
      <c r="D29" s="13" t="s">
        <v>79</v>
      </c>
      <c r="E29" s="13" t="s">
        <v>71</v>
      </c>
      <c r="F29" s="13" t="s">
        <v>80</v>
      </c>
      <c r="G29" s="13" t="s">
        <v>71</v>
      </c>
    </row>
    <row r="30" spans="1:7" x14ac:dyDescent="0.3">
      <c r="A30" s="64"/>
      <c r="B30" s="13"/>
      <c r="C30" s="13"/>
      <c r="D30" s="13">
        <v>100.3</v>
      </c>
      <c r="E30" s="13">
        <v>0.29199999999999982</v>
      </c>
      <c r="F30" s="13"/>
      <c r="G30" s="13"/>
    </row>
    <row r="31" spans="1:7" x14ac:dyDescent="0.3">
      <c r="A31" s="64"/>
      <c r="B31" s="13">
        <v>99</v>
      </c>
      <c r="C31" s="13">
        <v>0.53900000000000015</v>
      </c>
      <c r="D31" s="13">
        <v>104.7</v>
      </c>
      <c r="E31" s="13">
        <v>0.32200000000000006</v>
      </c>
      <c r="F31" s="13"/>
      <c r="G31" s="13"/>
    </row>
    <row r="32" spans="1:7" x14ac:dyDescent="0.3">
      <c r="A32" s="64"/>
      <c r="B32" s="13">
        <v>105.2</v>
      </c>
      <c r="C32" s="13">
        <v>0.5950000000000002</v>
      </c>
      <c r="D32" s="13">
        <v>106.3</v>
      </c>
      <c r="E32" s="13">
        <v>0.33599999999999985</v>
      </c>
      <c r="F32" s="13">
        <v>106.19</v>
      </c>
      <c r="G32" s="13">
        <v>0.26400000000000001</v>
      </c>
    </row>
    <row r="33" spans="1:7" x14ac:dyDescent="0.3">
      <c r="A33" s="64"/>
      <c r="B33" s="13">
        <v>128.1</v>
      </c>
      <c r="C33" s="13">
        <v>0.82499999999999973</v>
      </c>
      <c r="D33" s="13">
        <v>131.19999999999999</v>
      </c>
      <c r="E33" s="13">
        <v>0.5089999999999999</v>
      </c>
      <c r="F33" s="13">
        <v>118.92</v>
      </c>
      <c r="G33" s="13">
        <v>0.32400000000000001</v>
      </c>
    </row>
  </sheetData>
  <mergeCells count="5">
    <mergeCell ref="A2:A6"/>
    <mergeCell ref="B28:C28"/>
    <mergeCell ref="D28:E28"/>
    <mergeCell ref="F28:G28"/>
    <mergeCell ref="A28:A33"/>
  </mergeCells>
  <phoneticPr fontId="5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N9"/>
  <sheetViews>
    <sheetView zoomScale="130" zoomScaleNormal="130" workbookViewId="0">
      <selection activeCell="B1" sqref="B1:L6"/>
    </sheetView>
  </sheetViews>
  <sheetFormatPr defaultRowHeight="14" x14ac:dyDescent="0.3"/>
  <sheetData>
    <row r="1" spans="2:14" x14ac:dyDescent="0.3">
      <c r="B1" s="66" t="s">
        <v>81</v>
      </c>
      <c r="C1" s="67"/>
      <c r="D1" s="67"/>
      <c r="E1" s="68"/>
      <c r="F1" s="65" t="s">
        <v>85</v>
      </c>
      <c r="G1" s="65"/>
      <c r="H1" s="65"/>
      <c r="I1" s="65"/>
      <c r="J1" s="66" t="s">
        <v>86</v>
      </c>
      <c r="K1" s="67"/>
      <c r="L1" s="68"/>
      <c r="M1" s="14"/>
      <c r="N1" s="11"/>
    </row>
    <row r="2" spans="2:14" x14ac:dyDescent="0.3">
      <c r="B2" s="13" t="s">
        <v>82</v>
      </c>
      <c r="C2" s="13" t="s">
        <v>87</v>
      </c>
      <c r="D2" s="13" t="s">
        <v>83</v>
      </c>
      <c r="E2" s="13" t="s">
        <v>84</v>
      </c>
      <c r="F2" s="9" t="s">
        <v>82</v>
      </c>
      <c r="G2" s="9" t="s">
        <v>88</v>
      </c>
      <c r="H2" s="9" t="s">
        <v>83</v>
      </c>
      <c r="I2" s="9" t="s">
        <v>84</v>
      </c>
      <c r="J2" s="13" t="s">
        <v>82</v>
      </c>
      <c r="K2" s="13" t="s">
        <v>89</v>
      </c>
      <c r="L2" s="13" t="s">
        <v>83</v>
      </c>
      <c r="M2" s="11"/>
    </row>
    <row r="3" spans="2:14" x14ac:dyDescent="0.3">
      <c r="B3" s="13">
        <v>302.07900000000001</v>
      </c>
      <c r="C3" s="13">
        <v>113</v>
      </c>
      <c r="D3" s="13">
        <v>2632.99</v>
      </c>
      <c r="E3" s="13">
        <v>0.61547218326320707</v>
      </c>
      <c r="F3" s="9">
        <v>297.30399999999997</v>
      </c>
      <c r="G3" s="9">
        <v>100.3</v>
      </c>
      <c r="H3" s="9">
        <v>3564.06</v>
      </c>
      <c r="I3" s="9">
        <v>1.2753837895866882</v>
      </c>
      <c r="J3" s="13">
        <v>200</v>
      </c>
      <c r="K3" s="13">
        <v>57.11</v>
      </c>
      <c r="L3" s="13">
        <v>2405</v>
      </c>
      <c r="M3" s="11"/>
    </row>
    <row r="4" spans="2:14" x14ac:dyDescent="0.3">
      <c r="B4" s="13">
        <v>420.173</v>
      </c>
      <c r="C4" s="13">
        <v>129.30000000000001</v>
      </c>
      <c r="D4" s="13">
        <v>4043.3</v>
      </c>
      <c r="E4" s="13">
        <v>1.0752046270442759</v>
      </c>
      <c r="F4" s="9">
        <v>421.09699999999998</v>
      </c>
      <c r="G4" s="9">
        <v>104.7</v>
      </c>
      <c r="H4" s="9">
        <v>4124.63</v>
      </c>
      <c r="I4" s="9">
        <v>1.4065234441602728</v>
      </c>
      <c r="J4" s="13">
        <v>340</v>
      </c>
      <c r="K4" s="13">
        <v>89.37</v>
      </c>
      <c r="L4" s="13">
        <v>3870</v>
      </c>
      <c r="M4" s="11"/>
    </row>
    <row r="5" spans="2:14" x14ac:dyDescent="0.3">
      <c r="B5" s="13">
        <v>420.57100000000003</v>
      </c>
      <c r="C5" s="13">
        <v>113.6</v>
      </c>
      <c r="D5" s="13">
        <v>3815.0230000000001</v>
      </c>
      <c r="E5" s="13">
        <v>1.3009456095481671</v>
      </c>
      <c r="F5" s="9">
        <v>503.90300000000002</v>
      </c>
      <c r="G5" s="9">
        <v>106.3</v>
      </c>
      <c r="H5" s="9">
        <v>4380.3999999999996</v>
      </c>
      <c r="I5" s="9">
        <v>1.4763734411863834</v>
      </c>
      <c r="J5" s="13">
        <v>420</v>
      </c>
      <c r="K5" s="13">
        <v>106.19</v>
      </c>
      <c r="L5" s="13">
        <v>4585</v>
      </c>
      <c r="M5" s="11"/>
    </row>
    <row r="6" spans="2:14" x14ac:dyDescent="0.3">
      <c r="B6" s="13"/>
      <c r="C6" s="13"/>
      <c r="D6" s="13"/>
      <c r="E6" s="13"/>
      <c r="F6" s="9">
        <v>505.52</v>
      </c>
      <c r="G6" s="9">
        <v>131.19999999999999</v>
      </c>
      <c r="H6" s="9">
        <v>5018.8</v>
      </c>
      <c r="I6" s="9">
        <v>1.3105627366496932</v>
      </c>
      <c r="J6" s="13">
        <v>500</v>
      </c>
      <c r="K6" s="13">
        <v>118.92</v>
      </c>
      <c r="L6" s="13">
        <v>5159</v>
      </c>
      <c r="M6" s="11"/>
    </row>
    <row r="7" spans="2:14" x14ac:dyDescent="0.3">
      <c r="B7" s="11"/>
      <c r="C7" s="11"/>
      <c r="D7" s="11"/>
      <c r="E7" s="11"/>
      <c r="F7" s="11"/>
      <c r="G7" s="11"/>
      <c r="I7" s="11"/>
      <c r="J7" s="11"/>
      <c r="L7" s="11"/>
      <c r="M7" s="11"/>
      <c r="N7" s="11"/>
    </row>
    <row r="8" spans="2:14" x14ac:dyDescent="0.3">
      <c r="B8" s="11"/>
      <c r="C8" s="11"/>
      <c r="D8" s="11"/>
      <c r="E8" s="11"/>
      <c r="F8" s="11"/>
      <c r="G8" s="11"/>
      <c r="I8" s="11"/>
      <c r="J8" s="11"/>
      <c r="L8" s="11"/>
      <c r="M8" s="11"/>
      <c r="N8" s="11"/>
    </row>
    <row r="9" spans="2:14" x14ac:dyDescent="0.3">
      <c r="B9" s="11"/>
      <c r="C9" s="11"/>
      <c r="D9" s="11"/>
      <c r="E9" s="11"/>
      <c r="F9" s="11"/>
      <c r="G9" s="11"/>
      <c r="I9" s="11"/>
      <c r="J9" s="11"/>
      <c r="L9" s="11"/>
      <c r="M9" s="11"/>
      <c r="N9" s="11"/>
    </row>
  </sheetData>
  <mergeCells count="3">
    <mergeCell ref="F1:I1"/>
    <mergeCell ref="B1:E1"/>
    <mergeCell ref="J1:L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压降分析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方健珉</dc:creator>
  <cp:lastModifiedBy>Wang Anci</cp:lastModifiedBy>
  <dcterms:created xsi:type="dcterms:W3CDTF">2019-03-22T02:59:42Z</dcterms:created>
  <dcterms:modified xsi:type="dcterms:W3CDTF">2022-03-31T19:05:16Z</dcterms:modified>
</cp:coreProperties>
</file>