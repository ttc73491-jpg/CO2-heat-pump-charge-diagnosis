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qhr\OneDrive\哈哈的文件\科研相关\项目相关\东风项目\实验\第二阶段实验20191021\充注量实验\40 ℃\"/>
    </mc:Choice>
  </mc:AlternateContent>
  <xr:revisionPtr revIDLastSave="1485" documentId="114_{AFB7D6A6-0A14-458A-9A53-FFB8C98A6C97}" xr6:coauthVersionLast="45" xr6:coauthVersionMax="45" xr10:uidLastSave="{6182D8AC-B171-4819-AB35-EF3D2C2F6218}"/>
  <bookViews>
    <workbookView xWindow="-98" yWindow="-98" windowWidth="19396" windowHeight="10395" xr2:uid="{00000000-000D-0000-FFFF-FFFF00000000}"/>
  </bookViews>
  <sheets>
    <sheet name="Sheet2" sheetId="2" r:id="rId1"/>
    <sheet name="压降分析" sheetId="7" r:id="rId2"/>
    <sheet name="Sheet3" sheetId="8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41" i="2" l="1"/>
  <c r="K43" i="2" s="1"/>
  <c r="L41" i="2"/>
  <c r="L43" i="2" s="1"/>
  <c r="D43" i="2"/>
  <c r="E43" i="2"/>
  <c r="F43" i="2"/>
  <c r="G43" i="2"/>
  <c r="H43" i="2"/>
  <c r="I43" i="2"/>
  <c r="D41" i="2"/>
  <c r="E41" i="2"/>
  <c r="F41" i="2"/>
  <c r="G41" i="2"/>
  <c r="H41" i="2"/>
  <c r="I41" i="2"/>
  <c r="J41" i="2"/>
  <c r="J43" i="2" s="1"/>
  <c r="D53" i="2"/>
  <c r="E53" i="2"/>
  <c r="F53" i="2"/>
  <c r="G53" i="2"/>
  <c r="H53" i="2"/>
  <c r="I53" i="2"/>
  <c r="J53" i="2"/>
  <c r="K53" i="2"/>
  <c r="L53" i="2"/>
  <c r="C53" i="2"/>
  <c r="C41" i="2"/>
  <c r="L39" i="2"/>
  <c r="F56" i="2"/>
  <c r="D56" i="2"/>
  <c r="I51" i="2"/>
  <c r="E52" i="2"/>
  <c r="H39" i="2"/>
  <c r="C56" i="2"/>
  <c r="G39" i="2"/>
  <c r="H52" i="2"/>
  <c r="F39" i="2"/>
  <c r="D52" i="2"/>
  <c r="G52" i="2"/>
  <c r="E51" i="2"/>
  <c r="I52" i="2"/>
  <c r="E39" i="2"/>
  <c r="H51" i="2"/>
  <c r="I39" i="2"/>
  <c r="J52" i="2"/>
  <c r="L52" i="2"/>
  <c r="J51" i="2"/>
  <c r="C51" i="2"/>
  <c r="H56" i="2"/>
  <c r="J56" i="2"/>
  <c r="F52" i="2"/>
  <c r="F51" i="2"/>
  <c r="D39" i="2"/>
  <c r="L56" i="2"/>
  <c r="G56" i="2"/>
  <c r="G51" i="2"/>
  <c r="K52" i="2"/>
  <c r="K39" i="2"/>
  <c r="L51" i="2"/>
  <c r="J39" i="2"/>
  <c r="K56" i="2"/>
  <c r="D51" i="2"/>
  <c r="I56" i="2"/>
  <c r="C52" i="2"/>
  <c r="K51" i="2"/>
  <c r="E56" i="2"/>
  <c r="E44" i="2" l="1"/>
  <c r="I44" i="2"/>
  <c r="D44" i="2"/>
  <c r="H44" i="2"/>
  <c r="G44" i="2"/>
  <c r="F44" i="2"/>
  <c r="J44" i="2"/>
  <c r="K44" i="2"/>
  <c r="L55" i="2"/>
  <c r="K55" i="2"/>
  <c r="I55" i="2"/>
  <c r="H55" i="2"/>
  <c r="J55" i="2"/>
  <c r="G55" i="2"/>
  <c r="F55" i="2"/>
  <c r="E55" i="2"/>
  <c r="D55" i="2"/>
  <c r="C39" i="2"/>
  <c r="E54" i="2" l="1"/>
  <c r="D54" i="2"/>
  <c r="D57" i="2" s="1"/>
  <c r="L44" i="2"/>
  <c r="K54" i="2"/>
  <c r="K57" i="2" s="1"/>
  <c r="G54" i="2"/>
  <c r="G57" i="2" s="1"/>
  <c r="L50" i="2"/>
  <c r="I50" i="2"/>
  <c r="D50" i="2"/>
  <c r="J50" i="2"/>
  <c r="E50" i="2"/>
  <c r="K50" i="2"/>
  <c r="H50" i="2"/>
  <c r="G50" i="2"/>
  <c r="F50" i="2"/>
  <c r="L54" i="2"/>
  <c r="L57" i="2" s="1"/>
  <c r="I54" i="2"/>
  <c r="I57" i="2" s="1"/>
  <c r="F54" i="2"/>
  <c r="F57" i="2" s="1"/>
  <c r="J54" i="2"/>
  <c r="J57" i="2" s="1"/>
  <c r="H54" i="2"/>
  <c r="H57" i="2" s="1"/>
  <c r="E57" i="2"/>
  <c r="C44" i="2"/>
  <c r="C50" i="2"/>
  <c r="C43" i="2" l="1"/>
  <c r="C54" i="2"/>
  <c r="C55" i="2"/>
  <c r="C57" i="2" l="1"/>
  <c r="C6" i="7"/>
  <c r="C5" i="7"/>
  <c r="C4" i="7"/>
  <c r="C3" i="7"/>
  <c r="C2" i="7"/>
  <c r="C1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jmfang</author>
  </authors>
  <commentList>
    <comment ref="M36" authorId="0" shapeId="0" xr:uid="{00000000-0006-0000-0000-000001000000}">
      <text>
        <r>
          <rPr>
            <b/>
            <sz val="9"/>
            <color indexed="81"/>
            <rFont val="宋体"/>
            <family val="3"/>
            <charset val="134"/>
          </rPr>
          <t>jmfang:</t>
        </r>
        <r>
          <rPr>
            <sz val="9"/>
            <color indexed="81"/>
            <rFont val="宋体"/>
            <family val="3"/>
            <charset val="134"/>
          </rPr>
          <t xml:space="preserve">
增大室内风量试图获得较大制冷量</t>
        </r>
      </text>
    </comment>
    <comment ref="H37" authorId="0" shapeId="0" xr:uid="{00000000-0006-0000-0000-000002000000}">
      <text>
        <r>
          <rPr>
            <b/>
            <sz val="9"/>
            <color indexed="81"/>
            <rFont val="宋体"/>
            <family val="3"/>
            <charset val="134"/>
          </rPr>
          <t>jmfang:</t>
        </r>
        <r>
          <rPr>
            <sz val="9"/>
            <color indexed="81"/>
            <rFont val="宋体"/>
            <family val="3"/>
            <charset val="134"/>
          </rPr>
          <t xml:space="preserve">
增大风量降低气冷出口温度</t>
        </r>
      </text>
    </comment>
  </commentList>
</comments>
</file>

<file path=xl/sharedStrings.xml><?xml version="1.0" encoding="utf-8"?>
<sst xmlns="http://schemas.openxmlformats.org/spreadsheetml/2006/main" count="147" uniqueCount="126">
  <si>
    <t>吸气温度</t>
    <phoneticPr fontId="5" type="noConversion"/>
  </si>
  <si>
    <t>排气温度</t>
    <phoneticPr fontId="5" type="noConversion"/>
  </si>
  <si>
    <t>室外换热进口</t>
    <phoneticPr fontId="5" type="noConversion"/>
  </si>
  <si>
    <t>室外换热出口</t>
    <phoneticPr fontId="5" type="noConversion"/>
  </si>
  <si>
    <t>阀前温度</t>
    <phoneticPr fontId="5" type="noConversion"/>
  </si>
  <si>
    <t>阀后温度</t>
    <phoneticPr fontId="5" type="noConversion"/>
  </si>
  <si>
    <t>回热器高压出口</t>
    <phoneticPr fontId="5" type="noConversion"/>
  </si>
  <si>
    <t>回热器高压进口</t>
    <phoneticPr fontId="5" type="noConversion"/>
  </si>
  <si>
    <t>储液器进口</t>
    <phoneticPr fontId="5" type="noConversion"/>
  </si>
  <si>
    <t>储液器出口</t>
    <phoneticPr fontId="5" type="noConversion"/>
  </si>
  <si>
    <t>回热器低压进口</t>
    <phoneticPr fontId="5" type="noConversion"/>
  </si>
  <si>
    <t>回热器低压出口</t>
    <phoneticPr fontId="5" type="noConversion"/>
  </si>
  <si>
    <t>列9</t>
  </si>
  <si>
    <t>吸气压力</t>
    <phoneticPr fontId="5" type="noConversion"/>
  </si>
  <si>
    <t>室内干球</t>
    <phoneticPr fontId="5" type="noConversion"/>
  </si>
  <si>
    <t>室内湿球</t>
    <phoneticPr fontId="5" type="noConversion"/>
  </si>
  <si>
    <t>室外干球</t>
    <phoneticPr fontId="5" type="noConversion"/>
  </si>
  <si>
    <t>室外湿球</t>
    <phoneticPr fontId="5" type="noConversion"/>
  </si>
  <si>
    <t>类别</t>
    <phoneticPr fontId="5" type="noConversion"/>
  </si>
  <si>
    <t>项目</t>
    <phoneticPr fontId="5" type="noConversion"/>
  </si>
  <si>
    <t>环境参数</t>
    <phoneticPr fontId="5" type="noConversion"/>
  </si>
  <si>
    <t>室外侧COP</t>
    <phoneticPr fontId="5" type="noConversion"/>
  </si>
  <si>
    <t>列12</t>
  </si>
  <si>
    <t>列13</t>
  </si>
  <si>
    <t>列14</t>
  </si>
  <si>
    <t>列15</t>
  </si>
  <si>
    <t>日期</t>
    <phoneticPr fontId="5" type="noConversion"/>
  </si>
  <si>
    <r>
      <t>主换热器</t>
    </r>
    <r>
      <rPr>
        <sz val="11"/>
        <color rgb="FFFF0000"/>
        <rFont val="等线"/>
        <family val="3"/>
        <charset val="134"/>
        <scheme val="minor"/>
      </rPr>
      <t>出</t>
    </r>
    <r>
      <rPr>
        <sz val="11"/>
        <color rgb="FF9C6500"/>
        <rFont val="等线"/>
        <family val="2"/>
        <charset val="134"/>
        <scheme val="minor"/>
      </rPr>
      <t>口</t>
    </r>
    <phoneticPr fontId="5" type="noConversion"/>
  </si>
  <si>
    <t>列10</t>
  </si>
  <si>
    <t>列0</t>
    <phoneticPr fontId="5" type="noConversion"/>
  </si>
  <si>
    <t>列1</t>
    <phoneticPr fontId="5" type="noConversion"/>
  </si>
  <si>
    <t>列2</t>
  </si>
  <si>
    <t>列3</t>
  </si>
  <si>
    <t>列4</t>
  </si>
  <si>
    <t>列5</t>
  </si>
  <si>
    <t>列6</t>
  </si>
  <si>
    <t>列7</t>
  </si>
  <si>
    <t>列8</t>
  </si>
  <si>
    <t>温度/℃</t>
    <phoneticPr fontId="5" type="noConversion"/>
  </si>
  <si>
    <t>压力/Mpa</t>
    <phoneticPr fontId="5" type="noConversion"/>
  </si>
  <si>
    <t>充注量/g</t>
    <phoneticPr fontId="5" type="noConversion"/>
  </si>
  <si>
    <t>室内侧换热量/制冷剂/W</t>
    <phoneticPr fontId="5" type="noConversion"/>
  </si>
  <si>
    <t>室外侧换热量//冷凝器/W</t>
    <phoneticPr fontId="5" type="noConversion"/>
  </si>
  <si>
    <t>室内出风干球/℃</t>
    <phoneticPr fontId="5" type="noConversion"/>
  </si>
  <si>
    <t>压比</t>
    <phoneticPr fontId="5" type="noConversion"/>
  </si>
  <si>
    <r>
      <t>主换热器</t>
    </r>
    <r>
      <rPr>
        <sz val="11"/>
        <color rgb="FFFF0000"/>
        <rFont val="等线"/>
        <family val="3"/>
        <charset val="134"/>
        <scheme val="minor"/>
      </rPr>
      <t>进</t>
    </r>
    <r>
      <rPr>
        <sz val="11"/>
        <color rgb="FF9C6500"/>
        <rFont val="等线"/>
        <family val="2"/>
        <charset val="134"/>
        <scheme val="minor"/>
      </rPr>
      <t>口</t>
    </r>
    <phoneticPr fontId="5" type="noConversion"/>
  </si>
  <si>
    <t>性能</t>
    <phoneticPr fontId="5" type="noConversion"/>
  </si>
  <si>
    <t>列16</t>
  </si>
  <si>
    <t>排气压力</t>
    <phoneticPr fontId="5" type="noConversion"/>
  </si>
  <si>
    <t>阀前压力</t>
    <phoneticPr fontId="5" type="noConversion"/>
  </si>
  <si>
    <t>主换热器进口</t>
    <phoneticPr fontId="5" type="noConversion"/>
  </si>
  <si>
    <t>电压/V</t>
    <phoneticPr fontId="5" type="noConversion"/>
  </si>
  <si>
    <t>电流/A</t>
    <phoneticPr fontId="5" type="noConversion"/>
  </si>
  <si>
    <t>压缩机转速/rpm</t>
    <phoneticPr fontId="5" type="noConversion"/>
  </si>
  <si>
    <t>膨胀阀开度</t>
    <phoneticPr fontId="5" type="noConversion"/>
  </si>
  <si>
    <r>
      <t>制冷剂流量/kg·h</t>
    </r>
    <r>
      <rPr>
        <vertAlign val="superscript"/>
        <sz val="11"/>
        <color rgb="FF3F3F76"/>
        <rFont val="等线"/>
        <family val="3"/>
        <charset val="134"/>
        <scheme val="minor"/>
      </rPr>
      <t>-1</t>
    </r>
    <phoneticPr fontId="5" type="noConversion"/>
  </si>
  <si>
    <r>
      <t>室内侧风量/m</t>
    </r>
    <r>
      <rPr>
        <vertAlign val="superscript"/>
        <sz val="11"/>
        <color rgb="FF3F3F76"/>
        <rFont val="等线"/>
        <family val="3"/>
        <charset val="134"/>
        <scheme val="minor"/>
      </rPr>
      <t>3</t>
    </r>
    <r>
      <rPr>
        <sz val="11"/>
        <color rgb="FF3F3F76"/>
        <rFont val="等线"/>
        <family val="2"/>
        <charset val="134"/>
        <scheme val="minor"/>
      </rPr>
      <t>·h</t>
    </r>
    <r>
      <rPr>
        <vertAlign val="superscript"/>
        <sz val="11"/>
        <color rgb="FF3F3F76"/>
        <rFont val="等线"/>
        <family val="3"/>
        <charset val="134"/>
        <scheme val="minor"/>
      </rPr>
      <t>-1</t>
    </r>
    <phoneticPr fontId="5" type="noConversion"/>
  </si>
  <si>
    <t>室外侧风量/m3·h-1</t>
    <phoneticPr fontId="5" type="noConversion"/>
  </si>
  <si>
    <t>室内侧换热量//蒸发器/W</t>
    <phoneticPr fontId="5" type="noConversion"/>
  </si>
  <si>
    <t>压缩机功率/W</t>
    <phoneticPr fontId="5" type="noConversion"/>
  </si>
  <si>
    <t>压缩机功率WT500</t>
    <phoneticPr fontId="5" type="noConversion"/>
  </si>
  <si>
    <t>室内侧COP</t>
    <phoneticPr fontId="5" type="noConversion"/>
  </si>
  <si>
    <t>室内侧COP/制冷剂</t>
    <phoneticPr fontId="5" type="noConversion"/>
  </si>
  <si>
    <t>室内出风湿球/℃</t>
    <phoneticPr fontId="5" type="noConversion"/>
  </si>
  <si>
    <t>室外出风干球/℃</t>
    <phoneticPr fontId="5" type="noConversion"/>
  </si>
  <si>
    <t>室外出风湿球/℃</t>
    <phoneticPr fontId="5" type="noConversion"/>
  </si>
  <si>
    <t>a/r</t>
    <phoneticPr fontId="5" type="noConversion"/>
  </si>
  <si>
    <t>压缩功/W</t>
    <phoneticPr fontId="5" type="noConversion"/>
  </si>
  <si>
    <t>等熵压缩功/W</t>
    <phoneticPr fontId="5" type="noConversion"/>
  </si>
  <si>
    <t>机械效率</t>
    <phoneticPr fontId="5" type="noConversion"/>
  </si>
  <si>
    <t>等熵效率</t>
    <phoneticPr fontId="5" type="noConversion"/>
  </si>
  <si>
    <t>容积效率</t>
    <phoneticPr fontId="5" type="noConversion"/>
  </si>
  <si>
    <t>冷凝器换热</t>
    <phoneticPr fontId="5" type="noConversion"/>
  </si>
  <si>
    <t>总效率</t>
    <phoneticPr fontId="5" type="noConversion"/>
  </si>
  <si>
    <t>流量</t>
    <phoneticPr fontId="5" type="noConversion"/>
  </si>
  <si>
    <t>压降</t>
    <phoneticPr fontId="5" type="noConversion"/>
  </si>
  <si>
    <t>蒸发器</t>
    <phoneticPr fontId="5" type="noConversion"/>
  </si>
  <si>
    <t>蒸发器至储液器</t>
    <phoneticPr fontId="5" type="noConversion"/>
  </si>
  <si>
    <t>储液器至吸气</t>
    <phoneticPr fontId="5" type="noConversion"/>
  </si>
  <si>
    <t>原系统</t>
    <phoneticPr fontId="5" type="noConversion"/>
  </si>
  <si>
    <t>新系统</t>
    <phoneticPr fontId="5" type="noConversion"/>
  </si>
  <si>
    <t>三花</t>
    <phoneticPr fontId="5" type="noConversion"/>
  </si>
  <si>
    <t>蒸发器压降</t>
    <phoneticPr fontId="5" type="noConversion"/>
  </si>
  <si>
    <t>流量</t>
    <phoneticPr fontId="5" type="noConversion"/>
  </si>
  <si>
    <t>流量</t>
    <phoneticPr fontId="5" type="noConversion"/>
  </si>
  <si>
    <t>原系统</t>
    <phoneticPr fontId="5" type="noConversion"/>
  </si>
  <si>
    <t>风量</t>
    <phoneticPr fontId="5" type="noConversion"/>
  </si>
  <si>
    <t>制冷量</t>
    <phoneticPr fontId="5" type="noConversion"/>
  </si>
  <si>
    <t>COP</t>
    <phoneticPr fontId="5" type="noConversion"/>
  </si>
  <si>
    <t>新系统</t>
    <phoneticPr fontId="5" type="noConversion"/>
  </si>
  <si>
    <t>三花</t>
    <phoneticPr fontId="5" type="noConversion"/>
  </si>
  <si>
    <t>流量</t>
    <phoneticPr fontId="5" type="noConversion"/>
  </si>
  <si>
    <t>流量</t>
    <phoneticPr fontId="5" type="noConversion"/>
  </si>
  <si>
    <t>流量</t>
    <phoneticPr fontId="5" type="noConversion"/>
  </si>
  <si>
    <t>气冷进口</t>
    <phoneticPr fontId="5" type="noConversion"/>
  </si>
  <si>
    <t>气冷出口</t>
    <phoneticPr fontId="5" type="noConversion"/>
  </si>
  <si>
    <t>主换热器出口</t>
    <phoneticPr fontId="5" type="noConversion"/>
  </si>
  <si>
    <t>排气至气冷</t>
    <phoneticPr fontId="5" type="noConversion"/>
  </si>
  <si>
    <t>气冷</t>
    <phoneticPr fontId="5" type="noConversion"/>
  </si>
  <si>
    <t>不回热</t>
    <phoneticPr fontId="5" type="noConversion"/>
  </si>
  <si>
    <t>列17</t>
  </si>
  <si>
    <t>列18</t>
  </si>
  <si>
    <t>列19</t>
  </si>
  <si>
    <t>列20</t>
  </si>
  <si>
    <t>列21</t>
  </si>
  <si>
    <t>列11</t>
    <phoneticPr fontId="5" type="noConversion"/>
  </si>
  <si>
    <t>列22</t>
  </si>
  <si>
    <t>列23</t>
  </si>
  <si>
    <t>列24</t>
  </si>
  <si>
    <t>列25</t>
  </si>
  <si>
    <t>列26</t>
  </si>
  <si>
    <t>列27</t>
  </si>
  <si>
    <t>列28</t>
  </si>
  <si>
    <t>列29</t>
  </si>
  <si>
    <t>列30</t>
  </si>
  <si>
    <t>列31</t>
  </si>
  <si>
    <t>列32</t>
  </si>
  <si>
    <t>列33</t>
  </si>
  <si>
    <t>列34</t>
  </si>
  <si>
    <t>列35</t>
  </si>
  <si>
    <t>列36</t>
  </si>
  <si>
    <t>列37</t>
  </si>
  <si>
    <t>列38</t>
  </si>
  <si>
    <t>列39</t>
  </si>
  <si>
    <t>列40</t>
  </si>
  <si>
    <t>列41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</si>
</sst>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vertAlign val="superscript"/>
      <sz val="11"/>
      <color rgb="FF3F3F76"/>
      <name val="等线"/>
      <family val="3"/>
      <charset val="134"/>
      <scheme val="minor"/>
    </font>
    <font>
      <b/>
      <sz val="11"/>
      <color rgb="FF3F3F3F"/>
      <name val="等线"/>
      <family val="2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/>
      <right/>
      <top style="thin">
        <color rgb="FF3F3F3F"/>
      </top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6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4" fillId="4" borderId="1" applyNumberFormat="0" applyAlignment="0" applyProtection="0">
      <alignment vertical="center"/>
    </xf>
    <xf numFmtId="0" fontId="1" fillId="5" borderId="3" applyNumberFormat="0" applyFont="0" applyAlignment="0" applyProtection="0">
      <alignment vertical="center"/>
    </xf>
    <xf numFmtId="0" fontId="11" fillId="4" borderId="2" applyNumberFormat="0" applyAlignment="0" applyProtection="0">
      <alignment vertical="center"/>
    </xf>
  </cellStyleXfs>
  <cellXfs count="4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9" fontId="0" fillId="5" borderId="3" xfId="4" applyNumberFormat="1" applyFont="1" applyAlignment="1">
      <alignment horizontal="center" vertical="center"/>
    </xf>
    <xf numFmtId="0" fontId="2" fillId="2" borderId="0" xfId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6" fillId="0" borderId="0" xfId="0" applyFont="1">
      <alignment vertical="center"/>
    </xf>
    <xf numFmtId="0" fontId="0" fillId="6" borderId="0" xfId="0" applyFill="1">
      <alignment vertical="center"/>
    </xf>
    <xf numFmtId="0" fontId="4" fillId="4" borderId="1" xfId="3" applyAlignment="1">
      <alignment horizontal="center" vertical="center"/>
    </xf>
    <xf numFmtId="0" fontId="0" fillId="5" borderId="3" xfId="4" applyNumberFormat="1" applyFont="1" applyAlignment="1">
      <alignment horizontal="center" vertical="center"/>
    </xf>
    <xf numFmtId="0" fontId="4" fillId="4" borderId="1" xfId="3" applyAlignment="1">
      <alignment horizontal="center" vertical="center"/>
    </xf>
    <xf numFmtId="0" fontId="3" fillId="3" borderId="1" xfId="2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1" fillId="4" borderId="2" xfId="5" applyAlignment="1">
      <alignment horizontal="center" vertical="center"/>
    </xf>
    <xf numFmtId="0" fontId="11" fillId="4" borderId="2" xfId="5" applyAlignment="1">
      <alignment vertical="center"/>
    </xf>
    <xf numFmtId="0" fontId="6" fillId="2" borderId="0" xfId="1" applyFont="1" applyAlignment="1">
      <alignment horizontal="center" vertical="center"/>
    </xf>
    <xf numFmtId="0" fontId="0" fillId="7" borderId="0" xfId="0" applyFill="1">
      <alignment vertical="center"/>
    </xf>
    <xf numFmtId="0" fontId="0" fillId="8" borderId="0" xfId="0" applyFill="1" applyAlignment="1">
      <alignment horizontal="center" vertical="center"/>
    </xf>
    <xf numFmtId="0" fontId="4" fillId="8" borderId="1" xfId="3" applyFill="1" applyAlignment="1">
      <alignment horizontal="center" vertical="center"/>
    </xf>
    <xf numFmtId="0" fontId="0" fillId="9" borderId="0" xfId="0" applyFill="1">
      <alignment vertical="center"/>
    </xf>
    <xf numFmtId="0" fontId="0" fillId="10" borderId="0" xfId="0" applyFill="1">
      <alignment vertical="center"/>
    </xf>
    <xf numFmtId="0" fontId="2" fillId="11" borderId="4" xfId="1" applyFill="1" applyBorder="1" applyAlignment="1">
      <alignment horizontal="center" vertical="center"/>
    </xf>
    <xf numFmtId="0" fontId="2" fillId="11" borderId="0" xfId="1" applyFill="1" applyAlignment="1">
      <alignment horizontal="center" vertical="center"/>
    </xf>
    <xf numFmtId="0" fontId="0" fillId="11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12" borderId="1" xfId="2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3" fillId="13" borderId="1" xfId="2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4" fillId="13" borderId="1" xfId="3" applyFill="1" applyAlignment="1">
      <alignment horizontal="center" vertical="center"/>
    </xf>
    <xf numFmtId="0" fontId="2" fillId="13" borderId="0" xfId="1" applyFill="1" applyAlignment="1">
      <alignment horizontal="center" vertical="center"/>
    </xf>
    <xf numFmtId="0" fontId="0" fillId="13" borderId="3" xfId="4" applyNumberFormat="1" applyFont="1" applyFill="1" applyAlignment="1">
      <alignment horizontal="center" vertical="center"/>
    </xf>
    <xf numFmtId="0" fontId="4" fillId="4" borderId="5" xfId="3" applyBorder="1" applyAlignment="1">
      <alignment horizontal="center" vertical="center"/>
    </xf>
    <xf numFmtId="0" fontId="4" fillId="4" borderId="8" xfId="3" applyBorder="1" applyAlignment="1">
      <alignment horizontal="center" vertical="center"/>
    </xf>
    <xf numFmtId="0" fontId="4" fillId="4" borderId="12" xfId="3" applyBorder="1" applyAlignment="1">
      <alignment horizontal="center" vertical="center"/>
    </xf>
    <xf numFmtId="0" fontId="2" fillId="2" borderId="9" xfId="1" applyBorder="1" applyAlignment="1">
      <alignment horizontal="center" vertical="center"/>
    </xf>
    <xf numFmtId="0" fontId="2" fillId="2" borderId="6" xfId="1" applyBorder="1" applyAlignment="1">
      <alignment horizontal="center" vertical="center"/>
    </xf>
    <xf numFmtId="0" fontId="2" fillId="2" borderId="7" xfId="1" applyBorder="1" applyAlignment="1">
      <alignment horizontal="center" vertical="center"/>
    </xf>
    <xf numFmtId="0" fontId="0" fillId="5" borderId="10" xfId="4" applyFont="1" applyBorder="1" applyAlignment="1">
      <alignment horizontal="center" vertical="center"/>
    </xf>
    <xf numFmtId="0" fontId="0" fillId="5" borderId="0" xfId="4" applyFont="1" applyBorder="1" applyAlignment="1">
      <alignment horizontal="center" vertical="center"/>
    </xf>
    <xf numFmtId="0" fontId="3" fillId="3" borderId="11" xfId="2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4" borderId="2" xfId="5" applyAlignment="1">
      <alignment horizontal="center" vertical="center"/>
    </xf>
    <xf numFmtId="0" fontId="4" fillId="4" borderId="1" xfId="3" applyAlignment="1">
      <alignment horizontal="center" vertical="center"/>
    </xf>
    <xf numFmtId="0" fontId="11" fillId="4" borderId="13" xfId="5" applyBorder="1" applyAlignment="1">
      <alignment horizontal="center" vertical="center"/>
    </xf>
    <xf numFmtId="0" fontId="11" fillId="4" borderId="14" xfId="5" applyBorder="1" applyAlignment="1">
      <alignment horizontal="center" vertical="center"/>
    </xf>
    <xf numFmtId="0" fontId="11" fillId="4" borderId="15" xfId="5" applyBorder="1" applyAlignment="1">
      <alignment horizontal="center" vertical="center"/>
    </xf>
  </cellXfs>
  <cellStyles count="6">
    <cellStyle name="常规" xfId="0" builtinId="0"/>
    <cellStyle name="计算" xfId="3" builtinId="22"/>
    <cellStyle name="适中" xfId="1" builtinId="28"/>
    <cellStyle name="输出" xfId="5" builtinId="21"/>
    <cellStyle name="输入" xfId="2" builtinId="20"/>
    <cellStyle name="注释" xfId="4" builtinId="10"/>
  </cellStyles>
  <dxfs count="85"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fill>
        <patternFill>
          <fgColor indexed="64"/>
          <bgColor theme="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fill>
        <patternFill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fill>
        <patternFill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fill>
        <patternFill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fill>
        <patternFill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fill>
        <patternFill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fill>
        <patternFill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fill>
        <patternFill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r>
              <a:rPr lang="zh-CN" altLang="en-US">
                <a:solidFill>
                  <a:sysClr val="windowText" lastClr="000000"/>
                </a:solidFill>
                <a:latin typeface="宋体" panose="02010600030101010101" pitchFamily="2" charset="-122"/>
                <a:ea typeface="宋体" panose="02010600030101010101" pitchFamily="2" charset="-122"/>
              </a:rPr>
              <a:t>系统各部件压降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3168285214348208"/>
          <c:y val="0.18039370078740158"/>
          <c:w val="0.78845603674540676"/>
          <c:h val="0.6167745698454359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压降分析!$B$2</c:f>
              <c:strCache>
                <c:ptCount val="1"/>
                <c:pt idx="0">
                  <c:v>蒸发器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0</c:v>
                </c:pt>
              </c:numCache>
            </c:numRef>
          </c:xVal>
          <c:yVal>
            <c:numRef>
              <c:f>压降分析!$C$2:$F$2</c:f>
              <c:numCache>
                <c:formatCode>General</c:formatCode>
                <c:ptCount val="4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1B-4727-BC19-4C8542DBF3EA}"/>
            </c:ext>
          </c:extLst>
        </c:ser>
        <c:ser>
          <c:idx val="1"/>
          <c:order val="1"/>
          <c:tx>
            <c:strRef>
              <c:f>压降分析!$B$3</c:f>
              <c:strCache>
                <c:ptCount val="1"/>
                <c:pt idx="0">
                  <c:v>蒸发器至储液器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0</c:v>
                </c:pt>
              </c:numCache>
            </c:numRef>
          </c:xVal>
          <c:yVal>
            <c:numRef>
              <c:f>压降分析!$C$3:$F$3</c:f>
              <c:numCache>
                <c:formatCode>General</c:formatCode>
                <c:ptCount val="4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11B-4727-BC19-4C8542DBF3EA}"/>
            </c:ext>
          </c:extLst>
        </c:ser>
        <c:ser>
          <c:idx val="2"/>
          <c:order val="2"/>
          <c:tx>
            <c:strRef>
              <c:f>压降分析!#REF!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0</c:v>
                </c:pt>
              </c:numCache>
            </c:numRef>
          </c:xVal>
          <c:yVal>
            <c:numRef>
              <c:f>压降分析!$C$4:$F$4</c:f>
              <c:numCache>
                <c:formatCode>General</c:formatCode>
                <c:ptCount val="4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11B-4727-BC19-4C8542DBF3EA}"/>
            </c:ext>
          </c:extLst>
        </c:ser>
        <c:ser>
          <c:idx val="3"/>
          <c:order val="3"/>
          <c:tx>
            <c:strRef>
              <c:f>压降分析!$B$4</c:f>
              <c:strCache>
                <c:ptCount val="1"/>
                <c:pt idx="0">
                  <c:v>储液器至吸气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0</c:v>
                </c:pt>
              </c:numCache>
            </c:numRef>
          </c:xVal>
          <c:yVal>
            <c:numRef>
              <c:f>压降分析!$C$5:$F$5</c:f>
              <c:numCache>
                <c:formatCode>General</c:formatCode>
                <c:ptCount val="4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11B-4727-BC19-4C8542DBF3EA}"/>
            </c:ext>
          </c:extLst>
        </c:ser>
        <c:ser>
          <c:idx val="4"/>
          <c:order val="4"/>
          <c:tx>
            <c:strRef>
              <c:f>压降分析!$B$5</c:f>
              <c:strCache>
                <c:ptCount val="1"/>
                <c:pt idx="0">
                  <c:v>排气至气冷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0</c:v>
                </c:pt>
              </c:numCache>
            </c:numRef>
          </c:xVal>
          <c:yVal>
            <c:numRef>
              <c:f>压降分析!$C$6:$F$6</c:f>
              <c:numCache>
                <c:formatCode>General</c:formatCode>
                <c:ptCount val="4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11B-4727-BC19-4C8542DBF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4395967"/>
        <c:axId val="1064379327"/>
      </c:scatterChart>
      <c:valAx>
        <c:axId val="1064395967"/>
        <c:scaling>
          <c:orientation val="minMax"/>
          <c:min val="9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流量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/kg·h</a:t>
                </a:r>
                <a:r>
                  <a:rPr lang="en-US" altLang="zh-CN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-1</a:t>
                </a:r>
                <a:endParaRPr lang="zh-CN" altLang="en-US" baseline="3000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064379327"/>
        <c:crosses val="autoZero"/>
        <c:crossBetween val="midCat"/>
      </c:valAx>
      <c:valAx>
        <c:axId val="106437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压降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/MPa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0643959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5555555555555556"/>
          <c:y val="0.13330890930300379"/>
          <c:w val="0.25833333333333336"/>
          <c:h val="0.279516622922134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100.3kg·h</a:t>
            </a:r>
            <a:r>
              <a:rPr lang="en-US" altLang="zh-CN" baseline="30000"/>
              <a:t>-1</a:t>
            </a:r>
            <a:endParaRPr lang="zh-CN" altLang="en-US" baseline="30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4D-4FFA-ADF3-E780067F85C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4D-4FFA-ADF3-E780067F85C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A4D-4FFA-ADF3-E780067F85C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A4D-4FFA-ADF3-E780067F85C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压降分析!$B$2:$B$4</c:f>
              <c:strCache>
                <c:ptCount val="3"/>
                <c:pt idx="0">
                  <c:v>蒸发器</c:v>
                </c:pt>
                <c:pt idx="1">
                  <c:v>蒸发器至储液器</c:v>
                </c:pt>
                <c:pt idx="2">
                  <c:v>储液器至吸气</c:v>
                </c:pt>
              </c:strCache>
            </c:strRef>
          </c:cat>
          <c:val>
            <c:numRef>
              <c:f>压降分析!$C$2:$C$5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1D-47A0-B815-F2CA982A8CA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106.3kg·h</a:t>
            </a:r>
            <a:r>
              <a:rPr lang="en-US" altLang="zh-CN" baseline="30000"/>
              <a:t>-1</a:t>
            </a:r>
            <a:endParaRPr lang="zh-CN" altLang="en-US" baseline="30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F20-43F2-A6C7-71657F8DCD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F20-43F2-A6C7-71657F8DCD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F20-43F2-A6C7-71657F8DCD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F20-43F2-A6C7-71657F8DCD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压降分析!$B$2:$B$4</c:f>
              <c:strCache>
                <c:ptCount val="3"/>
                <c:pt idx="0">
                  <c:v>蒸发器</c:v>
                </c:pt>
                <c:pt idx="1">
                  <c:v>蒸发器至储液器</c:v>
                </c:pt>
                <c:pt idx="2">
                  <c:v>储液器至吸气</c:v>
                </c:pt>
              </c:strCache>
            </c:strRef>
          </c:cat>
          <c:val>
            <c:numRef>
              <c:f>压降分析!$E$2:$E$5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DF20-43F2-A6C7-71657F8DCD4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104.7kg·h</a:t>
            </a:r>
            <a:r>
              <a:rPr lang="en-US" altLang="zh-CN" baseline="30000"/>
              <a:t>-1</a:t>
            </a:r>
            <a:endParaRPr lang="zh-CN" altLang="en-US" baseline="30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88C-4CB3-85EA-DCDAEF889D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88C-4CB3-85EA-DCDAEF889D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88C-4CB3-85EA-DCDAEF889D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88C-4CB3-85EA-DCDAEF889D2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压降分析!$B$2:$B$4</c:f>
              <c:strCache>
                <c:ptCount val="3"/>
                <c:pt idx="0">
                  <c:v>蒸发器</c:v>
                </c:pt>
                <c:pt idx="1">
                  <c:v>蒸发器至储液器</c:v>
                </c:pt>
                <c:pt idx="2">
                  <c:v>储液器至吸气</c:v>
                </c:pt>
              </c:strCache>
            </c:strRef>
          </c:cat>
          <c:val>
            <c:numRef>
              <c:f>压降分析!$D$2:$D$5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388C-4CB3-85EA-DCDAEF889D2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131.2kg·h</a:t>
            </a:r>
            <a:r>
              <a:rPr lang="en-US" altLang="zh-CN" baseline="30000"/>
              <a:t>-1</a:t>
            </a:r>
            <a:endParaRPr lang="zh-CN" altLang="en-US" baseline="30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EF4-4EA7-B0F4-0325B766FB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EF4-4EA7-B0F4-0325B766FB6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EF4-4EA7-B0F4-0325B766FB6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EF4-4EA7-B0F4-0325B766FB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压降分析!$B$2:$B$4</c:f>
              <c:strCache>
                <c:ptCount val="3"/>
                <c:pt idx="0">
                  <c:v>蒸发器</c:v>
                </c:pt>
                <c:pt idx="1">
                  <c:v>蒸发器至储液器</c:v>
                </c:pt>
                <c:pt idx="2">
                  <c:v>储液器至吸气</c:v>
                </c:pt>
              </c:strCache>
            </c:strRef>
          </c:cat>
          <c:val>
            <c:numRef>
              <c:f>压降分析!$F$2:$F$5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7EF4-4EA7-B0F4-0325B766FB6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(压降分析!$B$28,压降分析!$D$28,压降分析!$F$28)</c:f>
              <c:strCache>
                <c:ptCount val="3"/>
                <c:pt idx="0">
                  <c:v>原系统</c:v>
                </c:pt>
                <c:pt idx="1">
                  <c:v>新系统</c:v>
                </c:pt>
                <c:pt idx="2">
                  <c:v>三花</c:v>
                </c:pt>
              </c:strCache>
            </c:strRef>
          </c:cat>
          <c:val>
            <c:numRef>
              <c:f>(压降分析!$C$32,压降分析!$E$32,压降分析!$G$32)</c:f>
              <c:numCache>
                <c:formatCode>General</c:formatCode>
                <c:ptCount val="3"/>
                <c:pt idx="0">
                  <c:v>0.5950000000000002</c:v>
                </c:pt>
                <c:pt idx="1">
                  <c:v>0.33599999999999985</c:v>
                </c:pt>
                <c:pt idx="2">
                  <c:v>0.26400000000000001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26-4D5E-B831-A86E15C2A19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(压降分析!$B$28,压降分析!$D$28,压降分析!$F$28)</c:f>
              <c:strCache>
                <c:ptCount val="3"/>
                <c:pt idx="0">
                  <c:v>原系统</c:v>
                </c:pt>
                <c:pt idx="1">
                  <c:v>新系统</c:v>
                </c:pt>
                <c:pt idx="2">
                  <c:v>三花</c:v>
                </c:pt>
              </c:strCache>
            </c:strRef>
          </c:cat>
          <c:val>
            <c:numRef>
              <c:f>(压降分析!$C$33,压降分析!$E$33,压降分析!$G$33)</c:f>
              <c:numCache>
                <c:formatCode>General</c:formatCode>
                <c:ptCount val="3"/>
                <c:pt idx="0">
                  <c:v>0.82499999999999973</c:v>
                </c:pt>
                <c:pt idx="1">
                  <c:v>0.5089999999999999</c:v>
                </c:pt>
                <c:pt idx="2">
                  <c:v>0.32400000000000001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26-4D5E-B831-A86E15C2A19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291821103"/>
        <c:axId val="1291838575"/>
        <c:axId val="0"/>
      </c:bar3DChart>
      <c:catAx>
        <c:axId val="129182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ea"/>
                <a:ea typeface="+mn-ea"/>
                <a:cs typeface="+mn-cs"/>
              </a:defRPr>
            </a:pPr>
            <a:endParaRPr lang="zh-CN"/>
          </a:p>
        </c:txPr>
        <c:crossAx val="1291838575"/>
        <c:crosses val="autoZero"/>
        <c:auto val="1"/>
        <c:lblAlgn val="ctr"/>
        <c:lblOffset val="100"/>
        <c:noMultiLvlLbl val="0"/>
      </c:catAx>
      <c:valAx>
        <c:axId val="1291838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压降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/MPa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291821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314325</xdr:colOff>
      <xdr:row>6</xdr:row>
      <xdr:rowOff>171450</xdr:rowOff>
    </xdr:from>
    <xdr:to>
      <xdr:col>15</xdr:col>
      <xdr:colOff>85725</xdr:colOff>
      <xdr:row>22</xdr:row>
      <xdr:rowOff>19050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3</xdr:row>
      <xdr:rowOff>28575</xdr:rowOff>
    </xdr:from>
    <xdr:to>
      <xdr:col>21</xdr:col>
      <xdr:colOff>414337</xdr:colOff>
      <xdr:row>18</xdr:row>
      <xdr:rowOff>57150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495300</xdr:colOff>
      <xdr:row>4</xdr:row>
      <xdr:rowOff>133350</xdr:rowOff>
    </xdr:from>
    <xdr:to>
      <xdr:col>20</xdr:col>
      <xdr:colOff>223837</xdr:colOff>
      <xdr:row>19</xdr:row>
      <xdr:rowOff>161925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161925</xdr:colOff>
      <xdr:row>10</xdr:row>
      <xdr:rowOff>85725</xdr:rowOff>
    </xdr:from>
    <xdr:to>
      <xdr:col>20</xdr:col>
      <xdr:colOff>576262</xdr:colOff>
      <xdr:row>25</xdr:row>
      <xdr:rowOff>114300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561975</xdr:colOff>
      <xdr:row>13</xdr:row>
      <xdr:rowOff>66675</xdr:rowOff>
    </xdr:from>
    <xdr:to>
      <xdr:col>21</xdr:col>
      <xdr:colOff>290512</xdr:colOff>
      <xdr:row>28</xdr:row>
      <xdr:rowOff>95250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433387</xdr:colOff>
      <xdr:row>18</xdr:row>
      <xdr:rowOff>0</xdr:rowOff>
    </xdr:from>
    <xdr:to>
      <xdr:col>14</xdr:col>
      <xdr:colOff>204787</xdr:colOff>
      <xdr:row>33</xdr:row>
      <xdr:rowOff>28575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qhr\AppData\Roaming\Microsoft\AddIns\REFPROP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UserInformation"/>
      <sheetName val="Examples"/>
      <sheetName val="Mixture Examples"/>
      <sheetName val="CheckSum"/>
    </sheetNames>
    <definedNames>
      <definedName name="Density"/>
      <definedName name="Enthalpy"/>
      <definedName name="Entropy"/>
    </definedNames>
    <sheetDataSet>
      <sheetData sheetId="0"/>
      <sheetData sheetId="1"/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表3" displayName="表3" ref="B1:AQ58" totalsRowShown="0" dataDxfId="84">
  <autoFilter ref="B1:AQ58" xr:uid="{00000000-0009-0000-0100-000003000000}"/>
  <tableColumns count="42">
    <tableColumn id="9" xr3:uid="{00000000-0010-0000-0000-000009000000}" name="列0" dataDxfId="83" totalsRowDxfId="82"/>
    <tableColumn id="4" xr3:uid="{00000000-0010-0000-0000-000004000000}" name="列1" dataDxfId="81" totalsRowDxfId="80"/>
    <tableColumn id="16" xr3:uid="{00000000-0010-0000-0000-000010000000}" name="列2" dataDxfId="79" totalsRowDxfId="78" dataCellStyle="输入"/>
    <tableColumn id="18" xr3:uid="{00000000-0010-0000-0000-000012000000}" name="列3" dataDxfId="77" totalsRowDxfId="76"/>
    <tableColumn id="1" xr3:uid="{00000000-0010-0000-0000-000001000000}" name="列4" dataDxfId="75" totalsRowDxfId="74"/>
    <tableColumn id="17" xr3:uid="{00000000-0010-0000-0000-000011000000}" name="列5" dataDxfId="73" totalsRowDxfId="72"/>
    <tableColumn id="21" xr3:uid="{00000000-0010-0000-0000-000015000000}" name="列6" dataDxfId="71" totalsRowDxfId="70"/>
    <tableColumn id="20" xr3:uid="{00000000-0010-0000-0000-000014000000}" name="列7" dataDxfId="69" totalsRowDxfId="68"/>
    <tableColumn id="19" xr3:uid="{00000000-0010-0000-0000-000013000000}" name="列8" dataDxfId="67" totalsRowDxfId="66"/>
    <tableColumn id="11" xr3:uid="{00000000-0010-0000-0000-00000B000000}" name="列9" dataDxfId="65" totalsRowDxfId="64"/>
    <tableColumn id="24" xr3:uid="{00000000-0010-0000-0000-000018000000}" name="列10" dataDxfId="63" totalsRowDxfId="62"/>
    <tableColumn id="23" xr3:uid="{00000000-0010-0000-0000-000017000000}" name="列11" dataDxfId="61" totalsRowDxfId="60"/>
    <tableColumn id="22" xr3:uid="{00000000-0010-0000-0000-000016000000}" name="列12" dataDxfId="59" totalsRowDxfId="58"/>
    <tableColumn id="12" xr3:uid="{00000000-0010-0000-0000-00000C000000}" name="列13" dataDxfId="57" totalsRowDxfId="56"/>
    <tableColumn id="13" xr3:uid="{00000000-0010-0000-0000-00000D000000}" name="列14" dataDxfId="55" totalsRowDxfId="54"/>
    <tableColumn id="14" xr3:uid="{00000000-0010-0000-0000-00000E000000}" name="列15" dataDxfId="53" totalsRowDxfId="52"/>
    <tableColumn id="15" xr3:uid="{00000000-0010-0000-0000-00000F000000}" name="列16" dataDxfId="51" totalsRowDxfId="50"/>
    <tableColumn id="2" xr3:uid="{0F95C51C-B079-45CB-9A85-FA4F282056DD}" name="列17" dataDxfId="49" totalsRowDxfId="48"/>
    <tableColumn id="3" xr3:uid="{385E8310-AD78-41C2-B15B-568AFD5C87EF}" name="列18" dataDxfId="47" totalsRowDxfId="46"/>
    <tableColumn id="5" xr3:uid="{09F56284-445E-4F20-8FB9-1A3E51844225}" name="列19" dataDxfId="45" totalsRowDxfId="44"/>
    <tableColumn id="6" xr3:uid="{9370711D-FB84-4783-AC92-25A2D87AC583}" name="列20" dataDxfId="43" totalsRowDxfId="42"/>
    <tableColumn id="7" xr3:uid="{0E19F0DE-0516-4430-8071-6A5B6450B891}" name="列21" dataDxfId="41" totalsRowDxfId="40"/>
    <tableColumn id="8" xr3:uid="{F16A3F8E-AF7E-4BF2-B2B2-E5AFEF913B6B}" name="列22" dataDxfId="39" totalsRowDxfId="38"/>
    <tableColumn id="10" xr3:uid="{00DBAE33-34A3-4BDB-8714-3A24E5725CF7}" name="列23" dataDxfId="37" totalsRowDxfId="36"/>
    <tableColumn id="25" xr3:uid="{371E873D-7B20-4240-AABD-BEE16412D35A}" name="列24" dataDxfId="35" totalsRowDxfId="34"/>
    <tableColumn id="26" xr3:uid="{7A0E7E20-7CCA-45D6-B3C6-9989228F0D01}" name="列25" dataDxfId="33" totalsRowDxfId="32"/>
    <tableColumn id="27" xr3:uid="{63A58DBB-3213-4326-BA97-F41167796D3C}" name="列26" dataDxfId="31" totalsRowDxfId="30"/>
    <tableColumn id="28" xr3:uid="{7C69C32E-931F-46A1-9C89-169BDCD6B896}" name="列27" dataDxfId="29" totalsRowDxfId="28"/>
    <tableColumn id="29" xr3:uid="{6E1ADA32-F986-492E-A214-5877B63DF9CB}" name="列28" dataDxfId="27" totalsRowDxfId="26"/>
    <tableColumn id="30" xr3:uid="{C6C4EC2A-6495-435E-A3A0-BCD11D807F19}" name="列29" dataDxfId="25" totalsRowDxfId="24"/>
    <tableColumn id="31" xr3:uid="{664B9297-A24B-4DBA-8E17-09F7A80A2DA7}" name="列30" dataDxfId="23" totalsRowDxfId="22"/>
    <tableColumn id="32" xr3:uid="{225828D6-FEED-428A-A3D9-C9EC3C3B7ACD}" name="列31" dataDxfId="21" totalsRowDxfId="20"/>
    <tableColumn id="33" xr3:uid="{E1208EF8-582C-4326-B4A7-1A9DA1D065A2}" name="列32" dataDxfId="19" totalsRowDxfId="18"/>
    <tableColumn id="34" xr3:uid="{C650F960-A423-4A44-8BB2-321F5D708C19}" name="列33" dataDxfId="17" totalsRowDxfId="16"/>
    <tableColumn id="35" xr3:uid="{1B650347-337A-4161-957D-0838332D501C}" name="列34" dataDxfId="15" totalsRowDxfId="14"/>
    <tableColumn id="36" xr3:uid="{AF405B87-0F35-4FDC-9E95-76B1473592BD}" name="列35" dataDxfId="13" totalsRowDxfId="12"/>
    <tableColumn id="37" xr3:uid="{9B5B5CB6-7FEB-4A14-B96B-ECE68F877FD9}" name="列36" dataDxfId="11" totalsRowDxfId="10"/>
    <tableColumn id="38" xr3:uid="{EF8255F5-7919-4193-86FD-1FB7A3F0AF72}" name="列37" dataDxfId="9" totalsRowDxfId="8"/>
    <tableColumn id="39" xr3:uid="{1FF79CCA-4012-4BBC-B147-7B30FC173692}" name="列38" dataDxfId="7" totalsRowDxfId="6"/>
    <tableColumn id="40" xr3:uid="{9BC89784-72DE-4A22-B524-DD8A061C5582}" name="列39" dataDxfId="5" totalsRowDxfId="4"/>
    <tableColumn id="41" xr3:uid="{988C47B7-2F35-444B-8BED-68C4CC844EE9}" name="列40" dataDxfId="3" totalsRowDxfId="2"/>
    <tableColumn id="42" xr3:uid="{920B0764-E88B-4209-A8C7-C8E6A6741B76}" name="列41" dataDxfId="1" totalsRow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V178"/>
  <sheetViews>
    <sheetView tabSelected="1" topLeftCell="C25" zoomScale="115" zoomScaleNormal="115" workbookViewId="0">
      <selection activeCell="M25" sqref="M25:AQ58"/>
    </sheetView>
  </sheetViews>
  <sheetFormatPr defaultRowHeight="13.9" x14ac:dyDescent="0.4"/>
  <cols>
    <col min="2" max="2" width="29.19921875" customWidth="1"/>
    <col min="3" max="3" width="20.6640625" style="6" customWidth="1"/>
    <col min="4" max="4" width="11.19921875" style="16" customWidth="1"/>
    <col min="5" max="5" width="11.1328125" style="16" customWidth="1"/>
    <col min="6" max="6" width="15.796875" style="20" customWidth="1"/>
    <col min="7" max="7" width="11.19921875" customWidth="1"/>
    <col min="8" max="8" width="12.1328125" customWidth="1"/>
    <col min="9" max="9" width="13.1328125" customWidth="1"/>
    <col min="12" max="12" width="9.1328125" style="19" customWidth="1"/>
    <col min="13" max="14" width="9.1328125" customWidth="1"/>
    <col min="17" max="17" width="9.06640625" style="20"/>
    <col min="19" max="19" width="9.06640625" style="20"/>
    <col min="23" max="23" width="9.06640625" customWidth="1"/>
  </cols>
  <sheetData>
    <row r="1" spans="1:43" x14ac:dyDescent="0.4">
      <c r="B1" s="6" t="s">
        <v>29</v>
      </c>
      <c r="C1" s="6" t="s">
        <v>30</v>
      </c>
      <c r="D1" s="16" t="s">
        <v>31</v>
      </c>
      <c r="E1" s="16" t="s">
        <v>32</v>
      </c>
      <c r="F1" s="20" t="s">
        <v>33</v>
      </c>
      <c r="G1" s="6" t="s">
        <v>34</v>
      </c>
      <c r="H1" s="6" t="s">
        <v>35</v>
      </c>
      <c r="I1" s="6" t="s">
        <v>36</v>
      </c>
      <c r="J1" s="6" t="s">
        <v>37</v>
      </c>
      <c r="K1" s="6" t="s">
        <v>12</v>
      </c>
      <c r="L1" s="19" t="s">
        <v>28</v>
      </c>
      <c r="M1" s="6" t="s">
        <v>105</v>
      </c>
      <c r="N1" s="6" t="s">
        <v>22</v>
      </c>
      <c r="O1" s="6" t="s">
        <v>23</v>
      </c>
      <c r="P1" s="6" t="s">
        <v>24</v>
      </c>
      <c r="Q1" s="20" t="s">
        <v>25</v>
      </c>
      <c r="R1" s="6" t="s">
        <v>47</v>
      </c>
      <c r="S1" s="20" t="s">
        <v>100</v>
      </c>
      <c r="T1" s="6" t="s">
        <v>101</v>
      </c>
      <c r="U1" s="6" t="s">
        <v>102</v>
      </c>
      <c r="V1" s="6" t="s">
        <v>103</v>
      </c>
      <c r="W1" s="6" t="s">
        <v>104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</row>
    <row r="2" spans="1:43" x14ac:dyDescent="0.4">
      <c r="B2" s="1" t="s">
        <v>26</v>
      </c>
      <c r="C2" s="1">
        <v>20191107</v>
      </c>
      <c r="D2" s="24">
        <v>20191107</v>
      </c>
      <c r="E2" s="24">
        <v>20191107</v>
      </c>
      <c r="F2" s="24">
        <v>20191107</v>
      </c>
      <c r="G2" s="24">
        <v>20191107</v>
      </c>
      <c r="H2" s="24">
        <v>20191107</v>
      </c>
      <c r="I2" s="29">
        <v>20191107</v>
      </c>
      <c r="J2" s="24">
        <v>20191108</v>
      </c>
      <c r="K2" s="24">
        <v>20191108</v>
      </c>
      <c r="L2" s="24">
        <v>20191108</v>
      </c>
      <c r="M2" s="24">
        <v>20191108</v>
      </c>
      <c r="N2" s="24">
        <v>20191108</v>
      </c>
      <c r="O2" s="24">
        <v>20191108</v>
      </c>
      <c r="P2" s="24">
        <v>20191108</v>
      </c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5"/>
    </row>
    <row r="3" spans="1:43" x14ac:dyDescent="0.4">
      <c r="A3" t="s">
        <v>18</v>
      </c>
      <c r="B3" s="1" t="s">
        <v>19</v>
      </c>
      <c r="C3" s="17" t="s">
        <v>99</v>
      </c>
      <c r="D3" s="17" t="s">
        <v>99</v>
      </c>
      <c r="E3" s="17" t="s">
        <v>99</v>
      </c>
      <c r="F3" s="17" t="s">
        <v>99</v>
      </c>
      <c r="G3" s="17" t="s">
        <v>99</v>
      </c>
      <c r="H3" s="17" t="s">
        <v>99</v>
      </c>
      <c r="I3" s="29" t="s">
        <v>99</v>
      </c>
      <c r="J3" s="17" t="s">
        <v>99</v>
      </c>
      <c r="K3" s="17" t="s">
        <v>99</v>
      </c>
      <c r="L3" s="17" t="s">
        <v>99</v>
      </c>
      <c r="M3" s="17" t="s">
        <v>99</v>
      </c>
      <c r="N3" s="17" t="s">
        <v>99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25"/>
    </row>
    <row r="4" spans="1:43" ht="13.5" customHeight="1" x14ac:dyDescent="0.4">
      <c r="A4" s="33" t="s">
        <v>20</v>
      </c>
      <c r="B4" s="7" t="s">
        <v>14</v>
      </c>
      <c r="C4" s="18">
        <v>27</v>
      </c>
      <c r="D4" s="18">
        <v>27</v>
      </c>
      <c r="E4" s="18">
        <v>27</v>
      </c>
      <c r="F4" s="18">
        <v>27</v>
      </c>
      <c r="G4" s="18">
        <v>27</v>
      </c>
      <c r="H4" s="18">
        <v>27</v>
      </c>
      <c r="I4" s="30">
        <v>27</v>
      </c>
      <c r="J4" s="18">
        <v>27</v>
      </c>
      <c r="K4" s="18">
        <v>27</v>
      </c>
      <c r="L4" s="18">
        <v>27</v>
      </c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25"/>
    </row>
    <row r="5" spans="1:43" ht="13.5" customHeight="1" x14ac:dyDescent="0.4">
      <c r="A5" s="34"/>
      <c r="B5" s="7" t="s">
        <v>15</v>
      </c>
      <c r="C5" s="18">
        <v>19.600000000000001</v>
      </c>
      <c r="D5" s="18">
        <v>19.5</v>
      </c>
      <c r="E5" s="18">
        <v>19.5</v>
      </c>
      <c r="F5" s="18">
        <v>19.5</v>
      </c>
      <c r="G5" s="18">
        <v>19.5</v>
      </c>
      <c r="H5" s="18">
        <v>19.5</v>
      </c>
      <c r="I5" s="30">
        <v>19.5</v>
      </c>
      <c r="J5" s="18">
        <v>19.5</v>
      </c>
      <c r="K5" s="18">
        <v>19.5</v>
      </c>
      <c r="L5" s="18">
        <v>19.5</v>
      </c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25"/>
    </row>
    <row r="6" spans="1:43" ht="13.5" customHeight="1" x14ac:dyDescent="0.4">
      <c r="A6" s="34"/>
      <c r="B6" s="7" t="s">
        <v>16</v>
      </c>
      <c r="C6" s="18">
        <v>40</v>
      </c>
      <c r="D6" s="18">
        <v>40</v>
      </c>
      <c r="E6" s="18">
        <v>40</v>
      </c>
      <c r="F6" s="18">
        <v>40</v>
      </c>
      <c r="G6" s="18">
        <v>40</v>
      </c>
      <c r="H6" s="18">
        <v>40</v>
      </c>
      <c r="I6" s="30">
        <v>40</v>
      </c>
      <c r="J6" s="18">
        <v>40</v>
      </c>
      <c r="K6" s="18">
        <v>40</v>
      </c>
      <c r="L6" s="18">
        <v>40</v>
      </c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25"/>
    </row>
    <row r="7" spans="1:43" ht="13.5" customHeight="1" x14ac:dyDescent="0.4">
      <c r="A7" s="35"/>
      <c r="B7" s="7" t="s">
        <v>17</v>
      </c>
      <c r="C7" s="18">
        <v>30.2</v>
      </c>
      <c r="D7" s="18">
        <v>30.2</v>
      </c>
      <c r="E7" s="18">
        <v>30.2</v>
      </c>
      <c r="F7" s="18">
        <v>30.2</v>
      </c>
      <c r="G7" s="18">
        <v>30.2</v>
      </c>
      <c r="H7" s="18">
        <v>30.2</v>
      </c>
      <c r="I7" s="30">
        <v>31.1</v>
      </c>
      <c r="J7" s="18">
        <v>30.2</v>
      </c>
      <c r="K7" s="18">
        <v>30.2</v>
      </c>
      <c r="L7" s="18">
        <v>30.2</v>
      </c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25"/>
    </row>
    <row r="8" spans="1:43" x14ac:dyDescent="0.4">
      <c r="A8" s="36" t="s">
        <v>38</v>
      </c>
      <c r="B8" s="3" t="s">
        <v>0</v>
      </c>
      <c r="C8" s="3">
        <v>21.5</v>
      </c>
      <c r="D8" s="3">
        <v>17.88</v>
      </c>
      <c r="E8" s="3">
        <v>13.17</v>
      </c>
      <c r="F8" s="3">
        <v>1.1299999999999999</v>
      </c>
      <c r="G8" s="3">
        <v>1.77</v>
      </c>
      <c r="H8" s="3">
        <v>1.32</v>
      </c>
      <c r="I8" s="31">
        <v>0.95</v>
      </c>
      <c r="J8" s="3">
        <v>0.79</v>
      </c>
      <c r="K8" s="3">
        <v>6.06</v>
      </c>
      <c r="L8" s="3">
        <v>6.41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25"/>
    </row>
    <row r="9" spans="1:43" x14ac:dyDescent="0.4">
      <c r="A9" s="37"/>
      <c r="B9" s="3" t="s">
        <v>1</v>
      </c>
      <c r="C9" s="3">
        <v>134.79</v>
      </c>
      <c r="D9" s="3">
        <v>135.63999999999999</v>
      </c>
      <c r="E9" s="3">
        <v>133.76</v>
      </c>
      <c r="F9" s="3">
        <v>106.24</v>
      </c>
      <c r="G9" s="3">
        <v>110.94</v>
      </c>
      <c r="H9" s="3">
        <v>107.79</v>
      </c>
      <c r="I9" s="31">
        <v>102.92</v>
      </c>
      <c r="J9" s="3">
        <v>99.46</v>
      </c>
      <c r="K9" s="3">
        <v>101.21</v>
      </c>
      <c r="L9" s="3">
        <v>104.44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25"/>
    </row>
    <row r="10" spans="1:43" x14ac:dyDescent="0.4">
      <c r="A10" s="37"/>
      <c r="B10" s="3" t="s">
        <v>2</v>
      </c>
      <c r="C10" s="3">
        <v>129.16</v>
      </c>
      <c r="D10" s="3">
        <v>130.5</v>
      </c>
      <c r="E10" s="3">
        <v>129.08000000000001</v>
      </c>
      <c r="F10" s="3">
        <v>103.11</v>
      </c>
      <c r="G10" s="3">
        <v>107.34</v>
      </c>
      <c r="H10" s="3">
        <v>104.63</v>
      </c>
      <c r="I10" s="31">
        <v>99.93</v>
      </c>
      <c r="J10" s="3">
        <v>96.62</v>
      </c>
      <c r="K10" s="3">
        <v>98.2</v>
      </c>
      <c r="L10" s="3">
        <v>101.21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25"/>
    </row>
    <row r="11" spans="1:43" x14ac:dyDescent="0.4">
      <c r="A11" s="37"/>
      <c r="B11" s="3" t="s">
        <v>3</v>
      </c>
      <c r="C11" s="3">
        <v>42.28</v>
      </c>
      <c r="D11" s="3">
        <v>42.77</v>
      </c>
      <c r="E11" s="3">
        <v>43.37</v>
      </c>
      <c r="F11" s="3">
        <v>43.03</v>
      </c>
      <c r="G11" s="3">
        <v>42.87</v>
      </c>
      <c r="H11" s="3">
        <v>43.03</v>
      </c>
      <c r="I11" s="31">
        <v>43.26</v>
      </c>
      <c r="J11" s="3">
        <v>43.36</v>
      </c>
      <c r="K11" s="3">
        <v>42.47</v>
      </c>
      <c r="L11" s="3">
        <v>42.39</v>
      </c>
      <c r="M11" s="3"/>
      <c r="N11" s="3"/>
      <c r="O11" s="3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25"/>
    </row>
    <row r="12" spans="1:43" x14ac:dyDescent="0.4">
      <c r="A12" s="37"/>
      <c r="B12" s="3" t="s">
        <v>7</v>
      </c>
      <c r="C12" s="3">
        <v>42.3</v>
      </c>
      <c r="D12" s="3">
        <v>42.73</v>
      </c>
      <c r="E12" s="3">
        <v>43.27</v>
      </c>
      <c r="F12" s="3">
        <v>42.99</v>
      </c>
      <c r="G12" s="3">
        <v>42.83</v>
      </c>
      <c r="H12" s="3">
        <v>43</v>
      </c>
      <c r="I12" s="31">
        <v>43.18</v>
      </c>
      <c r="J12" s="3">
        <v>43.29</v>
      </c>
      <c r="K12" s="3">
        <v>42.46</v>
      </c>
      <c r="L12" s="3">
        <v>42.37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25"/>
    </row>
    <row r="13" spans="1:43" x14ac:dyDescent="0.4">
      <c r="A13" s="37"/>
      <c r="B13" s="3" t="s">
        <v>6</v>
      </c>
      <c r="C13" s="22">
        <v>42.04</v>
      </c>
      <c r="D13" s="3">
        <v>42.35</v>
      </c>
      <c r="E13" s="3">
        <v>42.74</v>
      </c>
      <c r="F13" s="3">
        <v>42.61</v>
      </c>
      <c r="G13" s="3">
        <v>42.48</v>
      </c>
      <c r="H13" s="3">
        <v>42.59</v>
      </c>
      <c r="I13" s="31">
        <v>42.71</v>
      </c>
      <c r="J13" s="3">
        <v>42.77</v>
      </c>
      <c r="K13" s="3">
        <v>42.06</v>
      </c>
      <c r="L13" s="3">
        <v>42.05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25"/>
    </row>
    <row r="14" spans="1:43" s="23" customFormat="1" x14ac:dyDescent="0.4">
      <c r="A14" s="37"/>
      <c r="B14" s="21" t="s">
        <v>4</v>
      </c>
      <c r="C14" s="3">
        <v>41.23</v>
      </c>
      <c r="D14" s="22">
        <v>41.56</v>
      </c>
      <c r="E14" s="3">
        <v>42.1</v>
      </c>
      <c r="F14" s="22">
        <v>41.93</v>
      </c>
      <c r="G14" s="22">
        <v>41.71</v>
      </c>
      <c r="H14" s="22">
        <v>41.88</v>
      </c>
      <c r="I14" s="31">
        <v>42.02</v>
      </c>
      <c r="J14" s="22">
        <v>42.13</v>
      </c>
      <c r="K14" s="22">
        <v>41.35</v>
      </c>
      <c r="L14" s="22">
        <v>41.3</v>
      </c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7"/>
    </row>
    <row r="15" spans="1:43" x14ac:dyDescent="0.4">
      <c r="A15" s="37"/>
      <c r="B15" s="4" t="s">
        <v>5</v>
      </c>
      <c r="C15" s="3">
        <v>3.05</v>
      </c>
      <c r="D15" s="3">
        <v>4.71</v>
      </c>
      <c r="E15" s="3">
        <v>6.43</v>
      </c>
      <c r="F15" s="3">
        <v>8.3000000000000007</v>
      </c>
      <c r="G15" s="3">
        <v>7.99</v>
      </c>
      <c r="H15" s="3">
        <v>8.2100000000000009</v>
      </c>
      <c r="I15" s="31">
        <v>8.66</v>
      </c>
      <c r="J15" s="3">
        <v>9.06</v>
      </c>
      <c r="K15" s="3">
        <v>8.99</v>
      </c>
      <c r="L15" s="3">
        <v>8.6199999999999992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25"/>
    </row>
    <row r="16" spans="1:43" x14ac:dyDescent="0.4">
      <c r="A16" s="37"/>
      <c r="B16" s="4" t="s">
        <v>45</v>
      </c>
      <c r="C16" s="3">
        <v>2.84</v>
      </c>
      <c r="D16" s="3">
        <v>4.55</v>
      </c>
      <c r="E16" s="3">
        <v>6.01</v>
      </c>
      <c r="F16" s="3">
        <v>8.1199999999999992</v>
      </c>
      <c r="G16" s="3">
        <v>7.78</v>
      </c>
      <c r="H16" s="3">
        <v>8.0299999999999994</v>
      </c>
      <c r="I16" s="31">
        <v>8.4600000000000009</v>
      </c>
      <c r="J16" s="3">
        <v>8.7799999999999994</v>
      </c>
      <c r="K16" s="3">
        <v>8.91</v>
      </c>
      <c r="L16" s="3">
        <v>8.6300000000000008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25"/>
    </row>
    <row r="17" spans="1:48" x14ac:dyDescent="0.4">
      <c r="A17" s="37"/>
      <c r="B17" s="4" t="s">
        <v>27</v>
      </c>
      <c r="C17" s="3">
        <v>20.260000000000002</v>
      </c>
      <c r="D17" s="3">
        <v>18.47</v>
      </c>
      <c r="E17" s="3">
        <v>15.32</v>
      </c>
      <c r="F17" s="3">
        <v>3.91</v>
      </c>
      <c r="G17" s="3">
        <v>4.03</v>
      </c>
      <c r="H17" s="3">
        <v>3.95</v>
      </c>
      <c r="I17" s="31">
        <v>4.09</v>
      </c>
      <c r="J17" s="3">
        <v>4.3099999999999996</v>
      </c>
      <c r="K17" s="3">
        <v>7.1</v>
      </c>
      <c r="L17" s="3">
        <v>7.3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25"/>
    </row>
    <row r="18" spans="1:48" x14ac:dyDescent="0.4">
      <c r="A18" s="37"/>
      <c r="B18" s="3" t="s">
        <v>8</v>
      </c>
      <c r="C18" s="3">
        <v>20.2</v>
      </c>
      <c r="D18" s="3">
        <v>17.5</v>
      </c>
      <c r="E18" s="3">
        <v>14</v>
      </c>
      <c r="F18" s="3">
        <v>2.95</v>
      </c>
      <c r="G18" s="3">
        <v>3.13</v>
      </c>
      <c r="H18" s="3">
        <v>3.05</v>
      </c>
      <c r="I18" s="31">
        <v>3.11</v>
      </c>
      <c r="J18" s="3">
        <v>3.29</v>
      </c>
      <c r="K18" s="22">
        <v>6.42</v>
      </c>
      <c r="L18" s="3">
        <v>6.57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25"/>
    </row>
    <row r="19" spans="1:48" x14ac:dyDescent="0.4">
      <c r="A19" s="37"/>
      <c r="B19" s="3" t="s">
        <v>9</v>
      </c>
      <c r="C19" s="3">
        <v>20.84</v>
      </c>
      <c r="D19" s="3">
        <v>18.13</v>
      </c>
      <c r="E19" s="3">
        <v>14.46</v>
      </c>
      <c r="F19" s="3">
        <v>2.66</v>
      </c>
      <c r="G19" s="3">
        <v>3.09</v>
      </c>
      <c r="H19" s="3">
        <v>2.79</v>
      </c>
      <c r="I19" s="31">
        <v>2.6</v>
      </c>
      <c r="J19" s="3">
        <v>2.66</v>
      </c>
      <c r="K19" s="3">
        <v>6.68</v>
      </c>
      <c r="L19" s="3">
        <v>6.94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25"/>
    </row>
    <row r="20" spans="1:48" x14ac:dyDescent="0.4">
      <c r="A20" s="37"/>
      <c r="B20" s="3" t="s">
        <v>10</v>
      </c>
      <c r="C20" s="3">
        <v>41.5</v>
      </c>
      <c r="D20" s="3">
        <v>41.62</v>
      </c>
      <c r="E20" s="3">
        <v>41.97</v>
      </c>
      <c r="F20" s="3">
        <v>41.82</v>
      </c>
      <c r="G20" s="3">
        <v>41.67</v>
      </c>
      <c r="H20" s="3">
        <v>41.79</v>
      </c>
      <c r="I20" s="31">
        <v>41.78</v>
      </c>
      <c r="J20" s="3">
        <v>41.85</v>
      </c>
      <c r="K20" s="3">
        <v>41.39</v>
      </c>
      <c r="L20" s="3">
        <v>41.3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25"/>
    </row>
    <row r="21" spans="1:48" x14ac:dyDescent="0.4">
      <c r="A21" s="38"/>
      <c r="B21" s="3" t="s">
        <v>11</v>
      </c>
      <c r="C21" s="3">
        <v>40.799999999999997</v>
      </c>
      <c r="D21" s="3">
        <v>40.659999999999997</v>
      </c>
      <c r="E21" s="3">
        <v>40.75</v>
      </c>
      <c r="F21" s="3">
        <v>39.909999999999997</v>
      </c>
      <c r="G21" s="3">
        <v>39.85</v>
      </c>
      <c r="H21" s="3">
        <v>39.9</v>
      </c>
      <c r="I21" s="31">
        <v>39.92</v>
      </c>
      <c r="J21" s="3">
        <v>39.909999999999997</v>
      </c>
      <c r="K21" s="3">
        <v>39.86</v>
      </c>
      <c r="L21" s="3">
        <v>39.82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25"/>
    </row>
    <row r="22" spans="1:48" x14ac:dyDescent="0.4">
      <c r="A22" s="39" t="s">
        <v>39</v>
      </c>
      <c r="B22" s="2" t="s">
        <v>13</v>
      </c>
      <c r="C22" s="8">
        <v>3.21</v>
      </c>
      <c r="D22" s="8">
        <v>3.12</v>
      </c>
      <c r="E22" s="8">
        <v>3.04</v>
      </c>
      <c r="F22" s="8">
        <v>3.47</v>
      </c>
      <c r="G22" s="8">
        <v>3.48</v>
      </c>
      <c r="H22" s="8">
        <v>3.47</v>
      </c>
      <c r="I22" s="32">
        <v>3.48</v>
      </c>
      <c r="J22" s="8">
        <v>3.49</v>
      </c>
      <c r="K22" s="8">
        <v>3.77</v>
      </c>
      <c r="L22" s="8">
        <v>3.75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25"/>
    </row>
    <row r="23" spans="1:48" x14ac:dyDescent="0.4">
      <c r="A23" s="40"/>
      <c r="B23" s="2" t="s">
        <v>48</v>
      </c>
      <c r="C23" s="8">
        <v>9.9</v>
      </c>
      <c r="D23" s="8">
        <v>10.02</v>
      </c>
      <c r="E23" s="8">
        <v>10.09</v>
      </c>
      <c r="F23" s="8">
        <v>11.22</v>
      </c>
      <c r="G23" s="8">
        <v>11.45</v>
      </c>
      <c r="H23" s="8">
        <v>11.33</v>
      </c>
      <c r="I23" s="32">
        <v>11.04</v>
      </c>
      <c r="J23" s="8">
        <v>10.84</v>
      </c>
      <c r="K23" s="8">
        <v>10.86</v>
      </c>
      <c r="L23" s="8">
        <v>11.04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25"/>
    </row>
    <row r="24" spans="1:48" x14ac:dyDescent="0.4">
      <c r="A24" s="40"/>
      <c r="B24" s="2" t="s">
        <v>94</v>
      </c>
      <c r="C24" s="8">
        <v>9.93</v>
      </c>
      <c r="D24" s="8">
        <v>10.023</v>
      </c>
      <c r="E24" s="8">
        <v>10.109</v>
      </c>
      <c r="F24" s="8">
        <v>11.260999999999999</v>
      </c>
      <c r="G24" s="8">
        <v>11.515000000000001</v>
      </c>
      <c r="H24" s="8">
        <v>11.297000000000001</v>
      </c>
      <c r="I24" s="32">
        <v>11.051</v>
      </c>
      <c r="J24" s="8">
        <v>10.833</v>
      </c>
      <c r="K24" s="8">
        <v>10.907</v>
      </c>
      <c r="L24" s="8">
        <v>11.089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25"/>
    </row>
    <row r="25" spans="1:48" x14ac:dyDescent="0.4">
      <c r="A25" s="40"/>
      <c r="B25" s="2" t="s">
        <v>95</v>
      </c>
      <c r="C25" s="8">
        <v>9.8960000000000008</v>
      </c>
      <c r="D25" s="8">
        <v>9.9629999999999992</v>
      </c>
      <c r="E25" s="8">
        <v>9.9570000000000007</v>
      </c>
      <c r="F25" s="8">
        <v>11.084</v>
      </c>
      <c r="G25" s="8">
        <v>11.343</v>
      </c>
      <c r="H25" s="8">
        <v>11.208</v>
      </c>
      <c r="I25" s="32">
        <v>10.916</v>
      </c>
      <c r="J25" s="8">
        <v>10.686</v>
      </c>
      <c r="K25" s="8">
        <v>10.775</v>
      </c>
      <c r="L25" s="8">
        <v>10.996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25"/>
    </row>
    <row r="26" spans="1:48" x14ac:dyDescent="0.4">
      <c r="A26" s="40"/>
      <c r="B26" s="2" t="s">
        <v>49</v>
      </c>
      <c r="C26" s="8">
        <v>9.8249999999999993</v>
      </c>
      <c r="D26" s="8">
        <v>9.8190000000000008</v>
      </c>
      <c r="E26" s="8">
        <v>9.8079999999999998</v>
      </c>
      <c r="F26" s="8">
        <v>10.936</v>
      </c>
      <c r="G26" s="8">
        <v>11.183999999999999</v>
      </c>
      <c r="H26" s="8">
        <v>11.044</v>
      </c>
      <c r="I26" s="32">
        <v>10.737</v>
      </c>
      <c r="J26" s="8">
        <v>10.505000000000001</v>
      </c>
      <c r="K26" s="8">
        <v>10.657999999999999</v>
      </c>
      <c r="L26" s="8">
        <v>10.861000000000001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25"/>
    </row>
    <row r="27" spans="1:48" x14ac:dyDescent="0.4">
      <c r="A27" s="40"/>
      <c r="B27" s="2" t="s">
        <v>50</v>
      </c>
      <c r="C27" s="8">
        <v>3.7549999999999999</v>
      </c>
      <c r="D27" s="8">
        <v>4.0830000000000002</v>
      </c>
      <c r="E27" s="8">
        <v>4.1639999999999997</v>
      </c>
      <c r="F27" s="8">
        <v>4.2759999999999998</v>
      </c>
      <c r="G27" s="8">
        <v>4.3</v>
      </c>
      <c r="H27" s="8">
        <v>4.2670000000000003</v>
      </c>
      <c r="I27" s="32">
        <v>4.3140000000000001</v>
      </c>
      <c r="J27" s="8">
        <v>4.3490000000000002</v>
      </c>
      <c r="K27" s="8">
        <v>4.3600000000000003</v>
      </c>
      <c r="L27" s="8">
        <v>4.3220000000000001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25"/>
    </row>
    <row r="28" spans="1:48" x14ac:dyDescent="0.4">
      <c r="A28" s="40"/>
      <c r="B28" s="2" t="s">
        <v>96</v>
      </c>
      <c r="C28" s="8">
        <v>3.4447999999999999</v>
      </c>
      <c r="D28" s="8">
        <v>3.5619999999999998</v>
      </c>
      <c r="E28" s="8">
        <v>3.6</v>
      </c>
      <c r="F28" s="8">
        <v>3.8330000000000002</v>
      </c>
      <c r="G28" s="8">
        <v>3.8849999999999998</v>
      </c>
      <c r="H28" s="8">
        <v>3.82</v>
      </c>
      <c r="I28" s="32">
        <v>3.8330000000000002</v>
      </c>
      <c r="J28" s="8">
        <v>3.8690000000000002</v>
      </c>
      <c r="K28" s="8">
        <v>4.0229999999999997</v>
      </c>
      <c r="L28" s="8">
        <v>4.0170000000000003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25"/>
    </row>
    <row r="29" spans="1:48" x14ac:dyDescent="0.4">
      <c r="A29" s="40"/>
      <c r="B29" s="8" t="s">
        <v>8</v>
      </c>
      <c r="C29" s="8"/>
      <c r="D29" s="8"/>
      <c r="E29" s="8"/>
      <c r="F29" s="8"/>
      <c r="G29" s="8"/>
      <c r="H29" s="8"/>
      <c r="I29" s="32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25"/>
    </row>
    <row r="30" spans="1:48" s="8" customFormat="1" x14ac:dyDescent="0.4">
      <c r="A30" s="41" t="s">
        <v>46</v>
      </c>
      <c r="B30" s="10" t="s">
        <v>51</v>
      </c>
      <c r="C30" s="10">
        <v>345</v>
      </c>
      <c r="D30" s="10">
        <v>345</v>
      </c>
      <c r="E30" s="10">
        <v>345</v>
      </c>
      <c r="F30" s="10">
        <v>345</v>
      </c>
      <c r="G30" s="10">
        <v>345</v>
      </c>
      <c r="H30" s="10">
        <v>345</v>
      </c>
      <c r="I30" s="28">
        <v>345</v>
      </c>
      <c r="J30" s="10">
        <v>345</v>
      </c>
      <c r="K30" s="10">
        <v>345</v>
      </c>
      <c r="L30" s="10">
        <v>345</v>
      </c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</row>
    <row r="31" spans="1:48" x14ac:dyDescent="0.4">
      <c r="A31" s="41"/>
      <c r="B31" s="10" t="s">
        <v>52</v>
      </c>
      <c r="C31" s="10">
        <v>6.5</v>
      </c>
      <c r="D31" s="10">
        <v>8.3000000000000007</v>
      </c>
      <c r="E31" s="10">
        <v>10.1</v>
      </c>
      <c r="F31" s="10">
        <v>9.4</v>
      </c>
      <c r="G31" s="10">
        <v>9.6</v>
      </c>
      <c r="H31" s="10">
        <v>9.5</v>
      </c>
      <c r="I31" s="28">
        <v>9.1999999999999993</v>
      </c>
      <c r="J31" s="10">
        <v>9.1</v>
      </c>
      <c r="K31" s="10">
        <v>7.2</v>
      </c>
      <c r="L31" s="10">
        <v>7.3</v>
      </c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25"/>
    </row>
    <row r="32" spans="1:48" s="6" customFormat="1" x14ac:dyDescent="0.4">
      <c r="A32" s="41"/>
      <c r="B32" s="10" t="s">
        <v>40</v>
      </c>
      <c r="C32" s="10">
        <v>400</v>
      </c>
      <c r="D32" s="10">
        <v>400</v>
      </c>
      <c r="E32" s="10">
        <v>400</v>
      </c>
      <c r="F32" s="10">
        <v>500</v>
      </c>
      <c r="G32" s="10">
        <v>500</v>
      </c>
      <c r="H32" s="10">
        <v>500</v>
      </c>
      <c r="I32" s="28">
        <v>500</v>
      </c>
      <c r="J32" s="10">
        <v>500</v>
      </c>
      <c r="K32" s="10">
        <v>500</v>
      </c>
      <c r="L32" s="10">
        <v>500</v>
      </c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</row>
    <row r="33" spans="1:48" s="5" customFormat="1" x14ac:dyDescent="0.4">
      <c r="A33" s="41"/>
      <c r="B33" s="10" t="s">
        <v>53</v>
      </c>
      <c r="C33" s="26">
        <v>4000</v>
      </c>
      <c r="D33" s="26">
        <v>5000</v>
      </c>
      <c r="E33" s="26">
        <v>6000</v>
      </c>
      <c r="F33" s="28">
        <v>5000</v>
      </c>
      <c r="G33" s="28">
        <v>5000</v>
      </c>
      <c r="H33" s="28">
        <v>5000</v>
      </c>
      <c r="I33" s="28">
        <v>5000</v>
      </c>
      <c r="J33" s="28">
        <v>5000</v>
      </c>
      <c r="K33" s="10">
        <v>4000</v>
      </c>
      <c r="L33" s="10">
        <v>4000</v>
      </c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</row>
    <row r="34" spans="1:48" x14ac:dyDescent="0.4">
      <c r="A34" s="41"/>
      <c r="B34" s="10" t="s">
        <v>54</v>
      </c>
      <c r="C34" s="10">
        <v>277</v>
      </c>
      <c r="D34" s="10">
        <v>320</v>
      </c>
      <c r="E34" s="10">
        <v>440</v>
      </c>
      <c r="F34" s="10">
        <v>340</v>
      </c>
      <c r="G34" s="10">
        <v>302</v>
      </c>
      <c r="H34" s="10">
        <v>329</v>
      </c>
      <c r="I34" s="28">
        <v>368</v>
      </c>
      <c r="J34" s="10">
        <v>435</v>
      </c>
      <c r="K34" s="10">
        <v>292</v>
      </c>
      <c r="L34" s="10">
        <v>282</v>
      </c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25"/>
    </row>
    <row r="35" spans="1:48" ht="16.149999999999999" x14ac:dyDescent="0.4">
      <c r="A35" s="41"/>
      <c r="B35" s="10" t="s">
        <v>55</v>
      </c>
      <c r="C35" s="10">
        <v>81.8</v>
      </c>
      <c r="D35" s="10">
        <v>101.6</v>
      </c>
      <c r="E35" s="10">
        <v>121.2</v>
      </c>
      <c r="F35" s="10">
        <v>138.1</v>
      </c>
      <c r="G35" s="10">
        <v>133.6</v>
      </c>
      <c r="H35" s="10">
        <v>136.5</v>
      </c>
      <c r="I35" s="28">
        <v>141.4</v>
      </c>
      <c r="J35" s="10">
        <v>144.4</v>
      </c>
      <c r="K35" s="10">
        <v>119.3</v>
      </c>
      <c r="L35" s="10">
        <v>117.4</v>
      </c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25"/>
    </row>
    <row r="36" spans="1:48" ht="16.149999999999999" x14ac:dyDescent="0.4">
      <c r="A36" s="41"/>
      <c r="B36" s="10" t="s">
        <v>56</v>
      </c>
      <c r="C36" s="10">
        <v>479.75200000000001</v>
      </c>
      <c r="D36" s="10">
        <v>481.98500000000001</v>
      </c>
      <c r="E36" s="10">
        <v>480.82799999999997</v>
      </c>
      <c r="F36" s="10">
        <v>481.654</v>
      </c>
      <c r="G36" s="10">
        <v>482.89699999999999</v>
      </c>
      <c r="H36" s="10">
        <v>481.45400000000001</v>
      </c>
      <c r="I36" s="28">
        <v>481.79</v>
      </c>
      <c r="J36" s="10">
        <v>481.87400000000002</v>
      </c>
      <c r="K36" s="10">
        <v>482.25700000000001</v>
      </c>
      <c r="L36" s="10">
        <v>483.005</v>
      </c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25"/>
    </row>
    <row r="37" spans="1:48" x14ac:dyDescent="0.4">
      <c r="A37" s="41"/>
      <c r="B37" s="10" t="s">
        <v>57</v>
      </c>
      <c r="C37" s="10">
        <v>45475.94</v>
      </c>
      <c r="D37" s="10">
        <v>4513.03</v>
      </c>
      <c r="E37" s="10">
        <v>4595.8599999999997</v>
      </c>
      <c r="F37" s="10">
        <v>4519.45</v>
      </c>
      <c r="G37" s="10">
        <v>4508.87</v>
      </c>
      <c r="H37" s="10">
        <v>4513.6000000000004</v>
      </c>
      <c r="I37" s="28">
        <v>4513.17</v>
      </c>
      <c r="J37" s="10">
        <v>4512.67</v>
      </c>
      <c r="K37" s="10">
        <v>4506.5200000000004</v>
      </c>
      <c r="L37" s="10">
        <v>4512.66</v>
      </c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25"/>
    </row>
    <row r="38" spans="1:48" x14ac:dyDescent="0.4">
      <c r="A38" s="41"/>
      <c r="B38" s="10" t="s">
        <v>58</v>
      </c>
      <c r="C38" s="10">
        <v>2759.08</v>
      </c>
      <c r="D38" s="10">
        <v>3472.15</v>
      </c>
      <c r="E38" s="10">
        <v>3632.93</v>
      </c>
      <c r="F38" s="10">
        <v>3862.35</v>
      </c>
      <c r="G38" s="10">
        <v>3938.14</v>
      </c>
      <c r="H38" s="10">
        <v>3880.6</v>
      </c>
      <c r="I38" s="28">
        <v>3797.42</v>
      </c>
      <c r="J38" s="10">
        <v>3724.58</v>
      </c>
      <c r="K38" s="10">
        <v>3495.08</v>
      </c>
      <c r="L38" s="10">
        <v>3527.81</v>
      </c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25"/>
    </row>
    <row r="39" spans="1:48" x14ac:dyDescent="0.4">
      <c r="A39" s="41"/>
      <c r="B39" s="10" t="s">
        <v>41</v>
      </c>
      <c r="C39" s="10">
        <f>C35/3600*([1]!Enthalpy("carbon dioxide","TP","SI",C17+273.15,C28)-[1]!Enthalpy("carbon dioxide","TP","SI",C14+273.15,C26))*1000</f>
        <v>3142.1302143093917</v>
      </c>
      <c r="D39" s="10">
        <f>D35/3600*([1]!Enthalpy("carbon dioxide","TP","SI",D17+273.15,D28)-[1]!Enthalpy("carbon dioxide","TP","SI",D14+273.15,D26))*1000</f>
        <v>3712.3635373097045</v>
      </c>
      <c r="E39" s="10">
        <f>E35/3600*([1]!Enthalpy("carbon dioxide","TP","SI",E17+273.15,E28)-[1]!Enthalpy("carbon dioxide","TP","SI",E14+273.15,E26))*1000</f>
        <v>4111.072956582022</v>
      </c>
      <c r="F39" s="10">
        <f>F35/3600*([1]!Enthalpy("carbon dioxide","TP","SI",F17+273.15,F28)-[1]!Enthalpy("carbon dioxide","TP","SI",F14+273.15,F26))*1000</f>
        <v>4519.7181416205494</v>
      </c>
      <c r="G39" s="10">
        <f>G35/3600*([1]!Enthalpy("carbon dioxide","TP","SI",G17+273.15,G28)-[1]!Enthalpy("carbon dioxide","TP","SI",G14+273.15,G26))*1000</f>
        <v>-3635.0040501972981</v>
      </c>
      <c r="H39" s="10">
        <f>H35/3600*([1]!Enthalpy("carbon dioxide","TP","SI",H17+273.15,H28)-[1]!Enthalpy("carbon dioxide","TP","SI",H14+273.15,H26))*1000</f>
        <v>4532.9298901260308</v>
      </c>
      <c r="I39" s="28">
        <f>I35/3600*([1]!Enthalpy("carbon dioxide","TP","SI",I17+273.15,I28)-[1]!Enthalpy("carbon dioxide","TP","SI",I14+273.15,I26))*1000</f>
        <v>4539.976623061315</v>
      </c>
      <c r="J39" s="10">
        <f>J35/3600*([1]!Enthalpy("carbon dioxide","TP","SI",J17+273.15,J28)-[1]!Enthalpy("carbon dioxide","TP","SI",J14+273.15,J26))*1000</f>
        <v>4472.4779839897428</v>
      </c>
      <c r="K39" s="10">
        <f>K35/3600*([1]!Enthalpy("carbon dioxide","TP","SI",K17+273.15,K28)-[1]!Enthalpy("carbon dioxide","TP","SI",K14+273.15,K26))*1000</f>
        <v>3938.9609172882074</v>
      </c>
      <c r="L39" s="10">
        <f>L35/3600*([1]!Enthalpy("carbon dioxide","TP","SI",L17+273.15,L28)-[1]!Enthalpy("carbon dioxide","TP","SI",L14+273.15,L26))*1000</f>
        <v>3971.9159238564189</v>
      </c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</row>
    <row r="40" spans="1:48" x14ac:dyDescent="0.4">
      <c r="A40" s="41"/>
      <c r="B40" s="10" t="s">
        <v>42</v>
      </c>
      <c r="C40" s="10"/>
      <c r="D40" s="10"/>
      <c r="E40" s="10"/>
      <c r="F40" s="10"/>
      <c r="G40" s="10"/>
      <c r="H40" s="10"/>
      <c r="I40" s="28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25"/>
    </row>
    <row r="41" spans="1:48" x14ac:dyDescent="0.4">
      <c r="A41" s="41"/>
      <c r="B41" s="10" t="s">
        <v>59</v>
      </c>
      <c r="C41" s="10">
        <f t="shared" ref="C41:AP41" si="0">C30*C31</f>
        <v>2242.5</v>
      </c>
      <c r="D41" s="10">
        <f t="shared" si="0"/>
        <v>2863.5000000000005</v>
      </c>
      <c r="E41" s="10">
        <f t="shared" si="0"/>
        <v>3484.5</v>
      </c>
      <c r="F41" s="10">
        <f t="shared" si="0"/>
        <v>3243</v>
      </c>
      <c r="G41" s="10">
        <f t="shared" si="0"/>
        <v>3312</v>
      </c>
      <c r="H41" s="10">
        <f t="shared" si="0"/>
        <v>3277.5</v>
      </c>
      <c r="I41" s="28">
        <f t="shared" si="0"/>
        <v>3173.9999999999995</v>
      </c>
      <c r="J41" s="10">
        <f t="shared" si="0"/>
        <v>3139.5</v>
      </c>
      <c r="K41" s="10">
        <f t="shared" si="0"/>
        <v>2484</v>
      </c>
      <c r="L41" s="10">
        <f t="shared" si="0"/>
        <v>2518.5</v>
      </c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25"/>
    </row>
    <row r="42" spans="1:48" x14ac:dyDescent="0.4">
      <c r="A42" s="41"/>
      <c r="B42" s="10" t="s">
        <v>60</v>
      </c>
      <c r="C42" s="10"/>
      <c r="D42" s="10"/>
      <c r="E42" s="10"/>
      <c r="F42" s="10"/>
      <c r="G42" s="10"/>
      <c r="H42" s="10"/>
      <c r="I42" s="28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25"/>
    </row>
    <row r="43" spans="1:48" s="16" customFormat="1" x14ac:dyDescent="0.4">
      <c r="A43" s="41"/>
      <c r="B43" s="10" t="s">
        <v>61</v>
      </c>
      <c r="C43" s="10">
        <f>C38/C41</f>
        <v>1.2303589743589742</v>
      </c>
      <c r="D43" s="10">
        <f t="shared" ref="D43:N43" si="1">D38/D41</f>
        <v>1.2125545660904486</v>
      </c>
      <c r="E43" s="10">
        <f t="shared" si="1"/>
        <v>1.0425972162433634</v>
      </c>
      <c r="F43" s="10">
        <f t="shared" si="1"/>
        <v>1.1909805735430157</v>
      </c>
      <c r="G43" s="10">
        <f t="shared" si="1"/>
        <v>1.1890519323671498</v>
      </c>
      <c r="H43" s="10">
        <f t="shared" si="1"/>
        <v>1.1840122044241037</v>
      </c>
      <c r="I43" s="28">
        <f t="shared" si="1"/>
        <v>1.1964146187775679</v>
      </c>
      <c r="J43" s="10">
        <f t="shared" si="1"/>
        <v>1.1863608854913203</v>
      </c>
      <c r="K43" s="10">
        <f t="shared" si="1"/>
        <v>1.4070370370370371</v>
      </c>
      <c r="L43" s="10">
        <f t="shared" si="1"/>
        <v>1.4007583879293231</v>
      </c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</row>
    <row r="44" spans="1:48" x14ac:dyDescent="0.4">
      <c r="A44" s="41"/>
      <c r="B44" s="10" t="s">
        <v>62</v>
      </c>
      <c r="C44" s="10">
        <f>C39/C41</f>
        <v>1.4011728937834522</v>
      </c>
      <c r="D44" s="10">
        <f t="shared" ref="D44:K44" si="2">D39/D41</f>
        <v>1.2964426531551263</v>
      </c>
      <c r="E44" s="10">
        <f t="shared" si="2"/>
        <v>1.1798171779543756</v>
      </c>
      <c r="F44" s="10">
        <f t="shared" si="2"/>
        <v>1.3936842866545018</v>
      </c>
      <c r="G44" s="10">
        <f t="shared" si="2"/>
        <v>-1.0975253774750295</v>
      </c>
      <c r="H44" s="10">
        <f t="shared" si="2"/>
        <v>1.3830449702901695</v>
      </c>
      <c r="I44" s="28">
        <f t="shared" si="2"/>
        <v>1.4303644055013596</v>
      </c>
      <c r="J44" s="10">
        <f t="shared" si="2"/>
        <v>1.4245828902658839</v>
      </c>
      <c r="K44" s="10">
        <f t="shared" si="2"/>
        <v>1.5857330584896165</v>
      </c>
      <c r="L44" s="10">
        <f t="shared" ref="L44:AQ44" si="3">L39/L41</f>
        <v>1.5770958601772558</v>
      </c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</row>
    <row r="45" spans="1:48" x14ac:dyDescent="0.4">
      <c r="A45" s="41"/>
      <c r="B45" s="10" t="s">
        <v>21</v>
      </c>
      <c r="C45" s="10"/>
      <c r="D45" s="10"/>
      <c r="E45" s="10"/>
      <c r="F45" s="10"/>
      <c r="G45" s="10"/>
      <c r="H45" s="10"/>
      <c r="I45" s="28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25"/>
    </row>
    <row r="46" spans="1:48" x14ac:dyDescent="0.4">
      <c r="A46" s="41"/>
      <c r="B46" s="10" t="s">
        <v>43</v>
      </c>
      <c r="C46" s="10">
        <v>14.07</v>
      </c>
      <c r="D46" s="10">
        <v>12.33</v>
      </c>
      <c r="E46" s="10">
        <v>11.58</v>
      </c>
      <c r="F46" s="10">
        <v>11.33</v>
      </c>
      <c r="G46" s="10">
        <v>11.15</v>
      </c>
      <c r="H46" s="10">
        <v>11.25</v>
      </c>
      <c r="I46" s="28">
        <v>11.45</v>
      </c>
      <c r="J46" s="10">
        <v>11.62</v>
      </c>
      <c r="K46" s="10">
        <v>12.23</v>
      </c>
      <c r="L46" s="10">
        <v>12.11</v>
      </c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25"/>
    </row>
    <row r="47" spans="1:48" x14ac:dyDescent="0.4">
      <c r="A47" s="41"/>
      <c r="B47" s="10" t="s">
        <v>63</v>
      </c>
      <c r="C47" s="10">
        <v>13.62</v>
      </c>
      <c r="D47" s="10">
        <v>11.87</v>
      </c>
      <c r="E47" s="10">
        <v>11.44</v>
      </c>
      <c r="F47" s="10">
        <v>10.88</v>
      </c>
      <c r="G47" s="10">
        <v>10.73</v>
      </c>
      <c r="H47" s="10">
        <v>10.84</v>
      </c>
      <c r="I47" s="28">
        <v>11.07</v>
      </c>
      <c r="J47" s="10">
        <v>11.23</v>
      </c>
      <c r="K47" s="10">
        <v>11.82</v>
      </c>
      <c r="L47" s="10">
        <v>11.74</v>
      </c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25"/>
    </row>
    <row r="48" spans="1:48" x14ac:dyDescent="0.4">
      <c r="A48" s="41"/>
      <c r="B48" s="10" t="s">
        <v>64</v>
      </c>
      <c r="C48" s="10">
        <v>39.450000000000003</v>
      </c>
      <c r="D48" s="10">
        <v>46.11</v>
      </c>
      <c r="E48" s="10">
        <v>46.64</v>
      </c>
      <c r="F48" s="10">
        <v>46.73</v>
      </c>
      <c r="G48" s="10">
        <v>46.76</v>
      </c>
      <c r="H48" s="10">
        <v>46.79</v>
      </c>
      <c r="I48" s="28">
        <v>46.61</v>
      </c>
      <c r="J48" s="10">
        <v>46.5</v>
      </c>
      <c r="K48" s="10">
        <v>45.84</v>
      </c>
      <c r="L48" s="10">
        <v>45.94</v>
      </c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25"/>
    </row>
    <row r="49" spans="1:43" x14ac:dyDescent="0.4">
      <c r="A49" s="41"/>
      <c r="B49" s="10" t="s">
        <v>65</v>
      </c>
      <c r="C49" s="10">
        <v>34.96</v>
      </c>
      <c r="D49" s="10">
        <v>36.78</v>
      </c>
      <c r="E49" s="10">
        <v>37.659999999999997</v>
      </c>
      <c r="F49" s="10">
        <v>36.1</v>
      </c>
      <c r="G49" s="10">
        <v>35.909999999999997</v>
      </c>
      <c r="H49" s="10">
        <v>35.46</v>
      </c>
      <c r="I49" s="28">
        <v>34.81</v>
      </c>
      <c r="J49" s="10">
        <v>34.590000000000003</v>
      </c>
      <c r="K49" s="10">
        <v>34.11</v>
      </c>
      <c r="L49" s="10">
        <v>33.89</v>
      </c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25"/>
    </row>
    <row r="50" spans="1:43" ht="13.5" customHeight="1" x14ac:dyDescent="0.4">
      <c r="A50" s="41"/>
      <c r="B50" s="10" t="s">
        <v>66</v>
      </c>
      <c r="C50" s="10">
        <f>C38/C39</f>
        <v>0.87809218963460989</v>
      </c>
      <c r="D50" s="10">
        <f t="shared" ref="D50:AQ50" si="4">D38/D39</f>
        <v>0.93529363843397095</v>
      </c>
      <c r="E50" s="10">
        <f t="shared" si="4"/>
        <v>0.88369387708955816</v>
      </c>
      <c r="F50" s="10" t="e">
        <f>#REF!/F39</f>
        <v>#REF!</v>
      </c>
      <c r="G50" s="10">
        <f>F38/G39</f>
        <v>-1.0625435203546367</v>
      </c>
      <c r="H50" s="10">
        <f>G38/H39</f>
        <v>0.8687846702809926</v>
      </c>
      <c r="I50" s="28">
        <f>H38/I39</f>
        <v>0.85476211051133211</v>
      </c>
      <c r="J50" s="10">
        <f>I38/J39</f>
        <v>0.84906398949167172</v>
      </c>
      <c r="K50" s="10">
        <f t="shared" si="4"/>
        <v>0.88731014940006081</v>
      </c>
      <c r="L50" s="10">
        <f t="shared" si="4"/>
        <v>0.88818848828370289</v>
      </c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</row>
    <row r="51" spans="1:43" x14ac:dyDescent="0.4">
      <c r="A51" s="41"/>
      <c r="B51" s="10" t="s">
        <v>67</v>
      </c>
      <c r="C51" s="10">
        <f>C35/3600*([1]!Enthalpy("carbon dioxide","TP","SI",C9+273.15,C23)-[1]!Enthalpy("carbon dioxide","TP","SI",C8+273.15,C22))*1000</f>
        <v>1948.9467253306786</v>
      </c>
      <c r="D51" s="10">
        <f>D35/3600*([1]!Enthalpy("carbon dioxide","TP","SI",D9+273.15,D23)-[1]!Enthalpy("carbon dioxide","TP","SI",D8+273.15,D22))*1000</f>
        <v>2523.1309606807163</v>
      </c>
      <c r="E51" s="10">
        <f>E35/3600*([1]!Enthalpy("carbon dioxide","TP","SI",E9+273.15,E23)-[1]!Enthalpy("carbon dioxide","TP","SI",E8+273.15,E22))*1000</f>
        <v>3073.134337868566</v>
      </c>
      <c r="F51" s="10" t="e">
        <f>#REF!/3600*([1]!Enthalpy("carbon dioxide","TP","SI",#REF!+273.15,#REF!)-[1]!Enthalpy("carbon dioxide","TP","SI",#REF!+273.15,#REF!))*1000</f>
        <v>#REF!</v>
      </c>
      <c r="G51" s="10">
        <f>F35/3600*([1]!Enthalpy("carbon dioxide","TP","SI",F9+273.15,F23)-[1]!Enthalpy("carbon dioxide","TP","SI",F8+273.15,F22))*1000</f>
        <v>2715.2372056287304</v>
      </c>
      <c r="H51" s="10">
        <f>G35/3600*([1]!Enthalpy("carbon dioxide","TP","SI",G9+273.15,G23)-[1]!Enthalpy("carbon dioxide","TP","SI",G8+273.15,G22))*1000</f>
        <v>2801.5628823432667</v>
      </c>
      <c r="I51" s="28">
        <f>H35/3600*([1]!Enthalpy("carbon dioxide","TP","SI",H9+273.15,H23)-[1]!Enthalpy("carbon dioxide","TP","SI",H8+273.15,H22))*1000</f>
        <v>2731.3210355044353</v>
      </c>
      <c r="J51" s="10">
        <f>I35/3600*([1]!Enthalpy("carbon dioxide","TP","SI",I9+273.15,I23)-[1]!Enthalpy("carbon dioxide","TP","SI",I8+273.15,I22))*1000</f>
        <v>2651.7154231491672</v>
      </c>
      <c r="K51" s="10">
        <f>K35/3600*([1]!Enthalpy("carbon dioxide","TP","SI",K9+273.15,K23)-[1]!Enthalpy("carbon dioxide","TP","SI",K8+273.15,K22))*1000</f>
        <v>2126.6253053263699</v>
      </c>
      <c r="L51" s="10">
        <f>L35/3600*([1]!Enthalpy("carbon dioxide","TP","SI",L9+273.15,L23)-[1]!Enthalpy("carbon dioxide","TP","SI",L8+273.15,L22))*1000</f>
        <v>2176.6541619975692</v>
      </c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</row>
    <row r="52" spans="1:43" x14ac:dyDescent="0.4">
      <c r="A52" s="41"/>
      <c r="B52" s="10" t="s">
        <v>68</v>
      </c>
      <c r="C52" s="10">
        <f>C35/3600*1000*([1]!Enthalpy("carbon dioxide","PS","SI",C23,[1]!Entropy("carbon dioxide","TP","SI",C8+273.15,C22))-[1]!Enthalpy("carbon dioxide","TP","SI",C8+273.15,C22))</f>
        <v>1303.9906778370323</v>
      </c>
      <c r="D52" s="10">
        <f>D35/3600*1000*([1]!Enthalpy("carbon dioxide","PS","SI",D23,[1]!Entropy("carbon dioxide","TP","SI",D8+273.15,D22))-[1]!Enthalpy("carbon dioxide","TP","SI",D8+273.15,D22))</f>
        <v>1657.5309331221488</v>
      </c>
      <c r="E52" s="10">
        <f>E35/3600*1000*([1]!Enthalpy("carbon dioxide","PS","SI",E23,[1]!Entropy("carbon dioxide","TP","SI",E8+273.15,E22))-[1]!Enthalpy("carbon dioxide","TP","SI",E8+273.15,E22))</f>
        <v>1988.5639925298099</v>
      </c>
      <c r="F52" s="10" t="e">
        <f>#REF!/3600*1000*([1]!Enthalpy("carbon dioxide","PS","SI",#REF!,[1]!Entropy("carbon dioxide","TP","SI",#REF!+273.15,#REF!))-[1]!Enthalpy("carbon dioxide","TP","SI",#REF!+273.15,#REF!))</f>
        <v>#REF!</v>
      </c>
      <c r="G52" s="10">
        <f>F35/3600*1000*([1]!Enthalpy("carbon dioxide","PS","SI",F23,[1]!Entropy("carbon dioxide","TP","SI",F8+273.15,F22))-[1]!Enthalpy("carbon dioxide","TP","SI",F8+273.15,F22))</f>
        <v>1870.8013329600999</v>
      </c>
      <c r="H52" s="10">
        <f>G35/3600*1000*([1]!Enthalpy("carbon dioxide","PS","SI",G23,[1]!Entropy("carbon dioxide","TP","SI",G8+273.15,G22))-[1]!Enthalpy("carbon dioxide","TP","SI",G8+273.15,G22))</f>
        <v>1852.1708010262405</v>
      </c>
      <c r="I52" s="28">
        <f>H35/3600*1000*([1]!Enthalpy("carbon dioxide","PS","SI",H23,[1]!Entropy("carbon dioxide","TP","SI",H8+273.15,H22))-[1]!Enthalpy("carbon dioxide","TP","SI",H8+273.15,H22))</f>
        <v>1871.2779325417407</v>
      </c>
      <c r="J52" s="10">
        <f>I35/3600*1000*([1]!Enthalpy("carbon dioxide","PS","SI",I23,[1]!Entropy("carbon dioxide","TP","SI",I8+273.15,I22))-[1]!Enthalpy("carbon dioxide","TP","SI",I8+273.15,I22))</f>
        <v>1872.1382175880942</v>
      </c>
      <c r="K52" s="10">
        <f>K35/3600*1000*([1]!Enthalpy("carbon dioxide","PS","SI",K23,[1]!Entropy("carbon dioxide","TP","SI",K8+273.15,K22))-[1]!Enthalpy("carbon dioxide","TP","SI",K8+273.15,K22))</f>
        <v>1448.5082353021903</v>
      </c>
      <c r="L52" s="10">
        <f>L35/3600*1000*([1]!Enthalpy("carbon dioxide","PS","SI",L23,[1]!Entropy("carbon dioxide","TP","SI",L8+273.15,L22))-[1]!Enthalpy("carbon dioxide","TP","SI",L8+273.15,L22))</f>
        <v>1470.0730240598559</v>
      </c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</row>
    <row r="53" spans="1:43" x14ac:dyDescent="0.4">
      <c r="A53" s="41"/>
      <c r="B53" s="10" t="s">
        <v>44</v>
      </c>
      <c r="C53" s="10">
        <f t="shared" ref="C53" si="5">C23/C22</f>
        <v>3.0841121495327104</v>
      </c>
      <c r="D53" s="10">
        <f t="shared" ref="D53:AQ53" si="6">D23/D22</f>
        <v>3.2115384615384612</v>
      </c>
      <c r="E53" s="10">
        <f t="shared" si="6"/>
        <v>3.3190789473684208</v>
      </c>
      <c r="F53" s="10" t="e">
        <f>#REF!/#REF!</f>
        <v>#REF!</v>
      </c>
      <c r="G53" s="10">
        <f>F23/F22</f>
        <v>3.23342939481268</v>
      </c>
      <c r="H53" s="10">
        <f>G23/G22</f>
        <v>3.2902298850574709</v>
      </c>
      <c r="I53" s="28">
        <f>H23/H22</f>
        <v>3.2651296829971179</v>
      </c>
      <c r="J53" s="10">
        <f>I23/I22</f>
        <v>3.172413793103448</v>
      </c>
      <c r="K53" s="10">
        <f t="shared" si="6"/>
        <v>2.8806366047745358</v>
      </c>
      <c r="L53" s="10">
        <f t="shared" si="6"/>
        <v>2.944</v>
      </c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</row>
    <row r="54" spans="1:43" x14ac:dyDescent="0.4">
      <c r="A54" s="41"/>
      <c r="B54" s="10" t="s">
        <v>69</v>
      </c>
      <c r="C54" s="10">
        <f>C51/C41</f>
        <v>0.86909552969038062</v>
      </c>
      <c r="D54" s="10">
        <f t="shared" ref="D54:AQ54" si="7">D51/D41</f>
        <v>0.88113531017311542</v>
      </c>
      <c r="E54" s="10">
        <f t="shared" si="7"/>
        <v>0.88194413484533396</v>
      </c>
      <c r="F54" s="10" t="e">
        <f t="shared" si="7"/>
        <v>#REF!</v>
      </c>
      <c r="G54" s="10">
        <f t="shared" si="7"/>
        <v>0.81981799686857804</v>
      </c>
      <c r="H54" s="10">
        <f t="shared" si="7"/>
        <v>0.85478653923516912</v>
      </c>
      <c r="I54" s="28">
        <f t="shared" si="7"/>
        <v>0.86052962681299172</v>
      </c>
      <c r="J54" s="10">
        <f t="shared" si="7"/>
        <v>0.84462985289032244</v>
      </c>
      <c r="K54" s="10">
        <f t="shared" si="7"/>
        <v>0.85612934997035828</v>
      </c>
      <c r="L54" s="10">
        <f t="shared" si="7"/>
        <v>0.86426609569091495</v>
      </c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</row>
    <row r="55" spans="1:43" x14ac:dyDescent="0.4">
      <c r="A55" s="41"/>
      <c r="B55" s="10" t="s">
        <v>70</v>
      </c>
      <c r="C55" s="10">
        <f t="shared" ref="C55" si="8">C52/C51</f>
        <v>0.66907456262858267</v>
      </c>
      <c r="D55" s="10">
        <f t="shared" ref="D55:AQ55" si="9">D52/D51</f>
        <v>0.65693416590431875</v>
      </c>
      <c r="E55" s="10">
        <f t="shared" si="9"/>
        <v>0.64708007327431649</v>
      </c>
      <c r="F55" s="10" t="e">
        <f t="shared" si="9"/>
        <v>#REF!</v>
      </c>
      <c r="G55" s="10">
        <f t="shared" si="9"/>
        <v>0.68900106741388878</v>
      </c>
      <c r="H55" s="10">
        <f t="shared" si="9"/>
        <v>0.66112055263848257</v>
      </c>
      <c r="I55" s="28">
        <f t="shared" si="9"/>
        <v>0.68511826629568751</v>
      </c>
      <c r="J55" s="10">
        <f t="shared" si="9"/>
        <v>0.70601023067729862</v>
      </c>
      <c r="K55" s="10">
        <f t="shared" si="9"/>
        <v>0.681129972296596</v>
      </c>
      <c r="L55" s="10">
        <f t="shared" si="9"/>
        <v>0.67538199210789351</v>
      </c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</row>
    <row r="56" spans="1:43" x14ac:dyDescent="0.4">
      <c r="A56" s="41"/>
      <c r="B56" s="10" t="s">
        <v>71</v>
      </c>
      <c r="C56" s="10">
        <f>C35/((C33*5.8/1000000)*60*[1]!Density("carbon dioxide","TP","SI",C8+273.15,C22))</f>
        <v>0.82316068034980994</v>
      </c>
      <c r="D56" s="10">
        <f>D35/((D33*5.8/1000000)*60*[1]!Density("carbon dioxide","TP","SI",D8+273.15,D22))</f>
        <v>0.82750383137134842</v>
      </c>
      <c r="E56" s="10">
        <f>E35/((E33*5.8/1000000)*60*[1]!Density("carbon dioxide","TP","SI",E8+273.15,E22))</f>
        <v>0.82262050803548947</v>
      </c>
      <c r="F56" s="10" t="e">
        <f>#REF!/((#REF!*5.8/1000000)*60*[1]!Density("carbon dioxide","TP","SI",#REF!+273.15,#REF!))</f>
        <v>#REF!</v>
      </c>
      <c r="G56" s="10">
        <f>F35/((F33*5.8/1000000)*60*[1]!Density("carbon dioxide","TP","SI",F8+273.15,F22))</f>
        <v>0.83062256995535355</v>
      </c>
      <c r="H56" s="10">
        <f>G35/((G33*5.8/1000000)*60*[1]!Density("carbon dioxide","TP","SI",G8+273.15,G22))</f>
        <v>0.80607344464755892</v>
      </c>
      <c r="I56" s="28">
        <f>H35/((H33*5.8/1000000)*60*[1]!Density("carbon dioxide","TP","SI",H8+273.15,H22))</f>
        <v>0.82292512951310692</v>
      </c>
      <c r="J56" s="10">
        <f>I35/((I33*5.8/1000000)*60*[1]!Density("carbon dioxide","TP","SI",I8+273.15,I22))</f>
        <v>0.84453368664702433</v>
      </c>
      <c r="K56" s="10">
        <f>K35/((K33*5.8/1000000)*60*[1]!Density("carbon dioxide","TP","SI",K8+273.15,K22))</f>
        <v>0.83105704081150034</v>
      </c>
      <c r="L56" s="10">
        <f>L35/((L33*5.8/1000000)*60*[1]!Density("carbon dioxide","TP","SI",L8+273.15,L22))</f>
        <v>0.82866767699392463</v>
      </c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</row>
    <row r="57" spans="1:43" x14ac:dyDescent="0.4">
      <c r="A57" s="41"/>
      <c r="B57" s="10" t="s">
        <v>73</v>
      </c>
      <c r="C57" s="10">
        <f>C54*C55</f>
        <v>0.58148971141004779</v>
      </c>
      <c r="D57" s="10">
        <f t="shared" ref="D57:AQ57" si="10">D54*D55</f>
        <v>0.57884789003741877</v>
      </c>
      <c r="E57" s="10">
        <f t="shared" si="10"/>
        <v>0.57068847539957235</v>
      </c>
      <c r="F57" s="10" t="e">
        <f t="shared" si="10"/>
        <v>#REF!</v>
      </c>
      <c r="G57" s="10">
        <f t="shared" si="10"/>
        <v>0.56485547492756638</v>
      </c>
      <c r="H57" s="10">
        <f t="shared" si="10"/>
        <v>0.56511694920709099</v>
      </c>
      <c r="I57" s="28">
        <f t="shared" si="10"/>
        <v>0.58956456601819185</v>
      </c>
      <c r="J57" s="10">
        <f t="shared" si="10"/>
        <v>0.59631731727602932</v>
      </c>
      <c r="K57" s="10">
        <f t="shared" si="10"/>
        <v>0.58313536042761283</v>
      </c>
      <c r="L57" s="10">
        <f t="shared" si="10"/>
        <v>0.58370975741904141</v>
      </c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</row>
    <row r="58" spans="1:43" x14ac:dyDescent="0.4">
      <c r="A58" s="41"/>
      <c r="B58" s="10" t="s">
        <v>72</v>
      </c>
      <c r="C58" s="10"/>
      <c r="D58" s="10"/>
      <c r="E58" s="10"/>
      <c r="F58" s="10"/>
      <c r="G58" s="10"/>
      <c r="H58" s="10"/>
      <c r="I58" s="28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25"/>
    </row>
    <row r="59" spans="1:43" x14ac:dyDescent="0.4">
      <c r="C59"/>
    </row>
    <row r="60" spans="1:43" x14ac:dyDescent="0.4">
      <c r="C60"/>
    </row>
    <row r="61" spans="1:43" x14ac:dyDescent="0.4">
      <c r="C61"/>
    </row>
    <row r="62" spans="1:43" x14ac:dyDescent="0.4">
      <c r="C62"/>
    </row>
    <row r="63" spans="1:43" x14ac:dyDescent="0.4">
      <c r="C63"/>
    </row>
    <row r="64" spans="1:43" x14ac:dyDescent="0.4">
      <c r="C64"/>
    </row>
    <row r="65" spans="3:3" x14ac:dyDescent="0.4">
      <c r="C65"/>
    </row>
    <row r="66" spans="3:3" x14ac:dyDescent="0.4">
      <c r="C66"/>
    </row>
    <row r="67" spans="3:3" x14ac:dyDescent="0.4">
      <c r="C67"/>
    </row>
    <row r="68" spans="3:3" x14ac:dyDescent="0.4">
      <c r="C68"/>
    </row>
    <row r="69" spans="3:3" x14ac:dyDescent="0.4">
      <c r="C69"/>
    </row>
    <row r="70" spans="3:3" x14ac:dyDescent="0.4">
      <c r="C70"/>
    </row>
    <row r="71" spans="3:3" x14ac:dyDescent="0.4">
      <c r="C71"/>
    </row>
    <row r="72" spans="3:3" x14ac:dyDescent="0.4">
      <c r="C72"/>
    </row>
    <row r="73" spans="3:3" x14ac:dyDescent="0.4">
      <c r="C73"/>
    </row>
    <row r="74" spans="3:3" x14ac:dyDescent="0.4">
      <c r="C74"/>
    </row>
    <row r="75" spans="3:3" x14ac:dyDescent="0.4">
      <c r="C75"/>
    </row>
    <row r="76" spans="3:3" x14ac:dyDescent="0.4">
      <c r="C76"/>
    </row>
    <row r="77" spans="3:3" x14ac:dyDescent="0.4">
      <c r="C77"/>
    </row>
    <row r="78" spans="3:3" x14ac:dyDescent="0.4">
      <c r="C78"/>
    </row>
    <row r="79" spans="3:3" x14ac:dyDescent="0.4">
      <c r="C79"/>
    </row>
    <row r="80" spans="3:3" x14ac:dyDescent="0.4">
      <c r="C80"/>
    </row>
    <row r="81" spans="3:3" x14ac:dyDescent="0.4">
      <c r="C81"/>
    </row>
    <row r="82" spans="3:3" x14ac:dyDescent="0.4">
      <c r="C82"/>
    </row>
    <row r="83" spans="3:3" x14ac:dyDescent="0.4">
      <c r="C83"/>
    </row>
    <row r="84" spans="3:3" x14ac:dyDescent="0.4">
      <c r="C84"/>
    </row>
    <row r="85" spans="3:3" x14ac:dyDescent="0.4">
      <c r="C85"/>
    </row>
    <row r="86" spans="3:3" x14ac:dyDescent="0.4">
      <c r="C86"/>
    </row>
    <row r="87" spans="3:3" x14ac:dyDescent="0.4">
      <c r="C87"/>
    </row>
    <row r="88" spans="3:3" x14ac:dyDescent="0.4">
      <c r="C88"/>
    </row>
    <row r="89" spans="3:3" x14ac:dyDescent="0.4">
      <c r="C89"/>
    </row>
    <row r="90" spans="3:3" x14ac:dyDescent="0.4">
      <c r="C90"/>
    </row>
    <row r="91" spans="3:3" x14ac:dyDescent="0.4">
      <c r="C91"/>
    </row>
    <row r="92" spans="3:3" x14ac:dyDescent="0.4">
      <c r="C92"/>
    </row>
    <row r="93" spans="3:3" x14ac:dyDescent="0.4">
      <c r="C93"/>
    </row>
    <row r="94" spans="3:3" x14ac:dyDescent="0.4">
      <c r="C94"/>
    </row>
    <row r="95" spans="3:3" x14ac:dyDescent="0.4">
      <c r="C95"/>
    </row>
    <row r="96" spans="3:3" x14ac:dyDescent="0.4">
      <c r="C96"/>
    </row>
    <row r="97" spans="3:3" x14ac:dyDescent="0.4">
      <c r="C97"/>
    </row>
    <row r="98" spans="3:3" x14ac:dyDescent="0.4">
      <c r="C98"/>
    </row>
    <row r="99" spans="3:3" x14ac:dyDescent="0.4">
      <c r="C99"/>
    </row>
    <row r="100" spans="3:3" x14ac:dyDescent="0.4">
      <c r="C100"/>
    </row>
    <row r="101" spans="3:3" x14ac:dyDescent="0.4">
      <c r="C101"/>
    </row>
    <row r="102" spans="3:3" x14ac:dyDescent="0.4">
      <c r="C102"/>
    </row>
    <row r="103" spans="3:3" x14ac:dyDescent="0.4">
      <c r="C103"/>
    </row>
    <row r="104" spans="3:3" x14ac:dyDescent="0.4">
      <c r="C104"/>
    </row>
    <row r="105" spans="3:3" x14ac:dyDescent="0.4">
      <c r="C105"/>
    </row>
    <row r="106" spans="3:3" x14ac:dyDescent="0.4">
      <c r="C106"/>
    </row>
    <row r="107" spans="3:3" x14ac:dyDescent="0.4">
      <c r="C107"/>
    </row>
    <row r="108" spans="3:3" x14ac:dyDescent="0.4">
      <c r="C108"/>
    </row>
    <row r="109" spans="3:3" x14ac:dyDescent="0.4">
      <c r="C109"/>
    </row>
    <row r="110" spans="3:3" x14ac:dyDescent="0.4">
      <c r="C110"/>
    </row>
    <row r="111" spans="3:3" x14ac:dyDescent="0.4">
      <c r="C111"/>
    </row>
    <row r="112" spans="3:3" x14ac:dyDescent="0.4">
      <c r="C112"/>
    </row>
    <row r="113" spans="3:3" x14ac:dyDescent="0.4">
      <c r="C113"/>
    </row>
    <row r="114" spans="3:3" x14ac:dyDescent="0.4">
      <c r="C114"/>
    </row>
    <row r="115" spans="3:3" x14ac:dyDescent="0.4">
      <c r="C115"/>
    </row>
    <row r="116" spans="3:3" x14ac:dyDescent="0.4">
      <c r="C116"/>
    </row>
    <row r="117" spans="3:3" x14ac:dyDescent="0.4">
      <c r="C117"/>
    </row>
    <row r="118" spans="3:3" x14ac:dyDescent="0.4">
      <c r="C118"/>
    </row>
    <row r="119" spans="3:3" x14ac:dyDescent="0.4">
      <c r="C119"/>
    </row>
    <row r="120" spans="3:3" x14ac:dyDescent="0.4">
      <c r="C120"/>
    </row>
    <row r="121" spans="3:3" x14ac:dyDescent="0.4">
      <c r="C121"/>
    </row>
    <row r="122" spans="3:3" x14ac:dyDescent="0.4">
      <c r="C122"/>
    </row>
    <row r="123" spans="3:3" x14ac:dyDescent="0.4">
      <c r="C123"/>
    </row>
    <row r="124" spans="3:3" x14ac:dyDescent="0.4">
      <c r="C124"/>
    </row>
    <row r="125" spans="3:3" x14ac:dyDescent="0.4">
      <c r="C125"/>
    </row>
    <row r="126" spans="3:3" x14ac:dyDescent="0.4">
      <c r="C126"/>
    </row>
    <row r="127" spans="3:3" x14ac:dyDescent="0.4">
      <c r="C127"/>
    </row>
    <row r="128" spans="3:3" x14ac:dyDescent="0.4">
      <c r="C128"/>
    </row>
    <row r="129" spans="3:3" x14ac:dyDescent="0.4">
      <c r="C129"/>
    </row>
    <row r="130" spans="3:3" x14ac:dyDescent="0.4">
      <c r="C130"/>
    </row>
    <row r="131" spans="3:3" x14ac:dyDescent="0.4">
      <c r="C131"/>
    </row>
    <row r="132" spans="3:3" x14ac:dyDescent="0.4">
      <c r="C132"/>
    </row>
    <row r="133" spans="3:3" x14ac:dyDescent="0.4">
      <c r="C133"/>
    </row>
    <row r="134" spans="3:3" x14ac:dyDescent="0.4">
      <c r="C134"/>
    </row>
    <row r="135" spans="3:3" x14ac:dyDescent="0.4">
      <c r="C135"/>
    </row>
    <row r="136" spans="3:3" x14ac:dyDescent="0.4">
      <c r="C136"/>
    </row>
    <row r="137" spans="3:3" x14ac:dyDescent="0.4">
      <c r="C137"/>
    </row>
    <row r="138" spans="3:3" x14ac:dyDescent="0.4">
      <c r="C138"/>
    </row>
    <row r="139" spans="3:3" x14ac:dyDescent="0.4">
      <c r="C139"/>
    </row>
    <row r="140" spans="3:3" x14ac:dyDescent="0.4">
      <c r="C140"/>
    </row>
    <row r="141" spans="3:3" x14ac:dyDescent="0.4">
      <c r="C141"/>
    </row>
    <row r="142" spans="3:3" x14ac:dyDescent="0.4">
      <c r="C142"/>
    </row>
    <row r="143" spans="3:3" x14ac:dyDescent="0.4">
      <c r="C143"/>
    </row>
    <row r="144" spans="3:3" x14ac:dyDescent="0.4">
      <c r="C144"/>
    </row>
    <row r="145" spans="3:3" x14ac:dyDescent="0.4">
      <c r="C145"/>
    </row>
    <row r="146" spans="3:3" x14ac:dyDescent="0.4">
      <c r="C146"/>
    </row>
    <row r="147" spans="3:3" x14ac:dyDescent="0.4">
      <c r="C147"/>
    </row>
    <row r="148" spans="3:3" x14ac:dyDescent="0.4">
      <c r="C148"/>
    </row>
    <row r="149" spans="3:3" x14ac:dyDescent="0.4">
      <c r="C149"/>
    </row>
    <row r="150" spans="3:3" x14ac:dyDescent="0.4">
      <c r="C150"/>
    </row>
    <row r="151" spans="3:3" x14ac:dyDescent="0.4">
      <c r="C151"/>
    </row>
    <row r="152" spans="3:3" x14ac:dyDescent="0.4">
      <c r="C152"/>
    </row>
    <row r="153" spans="3:3" x14ac:dyDescent="0.4">
      <c r="C153"/>
    </row>
    <row r="154" spans="3:3" x14ac:dyDescent="0.4">
      <c r="C154"/>
    </row>
    <row r="155" spans="3:3" x14ac:dyDescent="0.4">
      <c r="C155"/>
    </row>
    <row r="156" spans="3:3" x14ac:dyDescent="0.4">
      <c r="C156"/>
    </row>
    <row r="157" spans="3:3" x14ac:dyDescent="0.4">
      <c r="C157"/>
    </row>
    <row r="158" spans="3:3" x14ac:dyDescent="0.4">
      <c r="C158"/>
    </row>
    <row r="159" spans="3:3" x14ac:dyDescent="0.4">
      <c r="C159"/>
    </row>
    <row r="160" spans="3:3" x14ac:dyDescent="0.4">
      <c r="C160"/>
    </row>
    <row r="161" spans="3:3" x14ac:dyDescent="0.4">
      <c r="C161"/>
    </row>
    <row r="162" spans="3:3" x14ac:dyDescent="0.4">
      <c r="C162"/>
    </row>
    <row r="163" spans="3:3" x14ac:dyDescent="0.4">
      <c r="C163"/>
    </row>
    <row r="164" spans="3:3" x14ac:dyDescent="0.4">
      <c r="C164"/>
    </row>
    <row r="165" spans="3:3" x14ac:dyDescent="0.4">
      <c r="C165"/>
    </row>
    <row r="166" spans="3:3" x14ac:dyDescent="0.4">
      <c r="C166"/>
    </row>
    <row r="167" spans="3:3" x14ac:dyDescent="0.4">
      <c r="C167"/>
    </row>
    <row r="168" spans="3:3" x14ac:dyDescent="0.4">
      <c r="C168"/>
    </row>
    <row r="169" spans="3:3" x14ac:dyDescent="0.4">
      <c r="C169"/>
    </row>
    <row r="170" spans="3:3" x14ac:dyDescent="0.4">
      <c r="C170"/>
    </row>
    <row r="171" spans="3:3" x14ac:dyDescent="0.4">
      <c r="C171"/>
    </row>
    <row r="172" spans="3:3" x14ac:dyDescent="0.4">
      <c r="C172"/>
    </row>
    <row r="173" spans="3:3" x14ac:dyDescent="0.4">
      <c r="C173"/>
    </row>
    <row r="174" spans="3:3" x14ac:dyDescent="0.4">
      <c r="C174"/>
    </row>
    <row r="175" spans="3:3" x14ac:dyDescent="0.4">
      <c r="C175"/>
    </row>
    <row r="176" spans="3:3" x14ac:dyDescent="0.4">
      <c r="C176"/>
    </row>
    <row r="177" spans="3:3" x14ac:dyDescent="0.4">
      <c r="C177"/>
    </row>
    <row r="178" spans="3:3" x14ac:dyDescent="0.4">
      <c r="C178"/>
    </row>
  </sheetData>
  <mergeCells count="4">
    <mergeCell ref="A4:A7"/>
    <mergeCell ref="A8:A21"/>
    <mergeCell ref="A22:A29"/>
    <mergeCell ref="A30:A58"/>
  </mergeCells>
  <phoneticPr fontId="5" type="noConversion"/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33"/>
  <sheetViews>
    <sheetView workbookViewId="0">
      <selection activeCell="C7" sqref="C7"/>
    </sheetView>
  </sheetViews>
  <sheetFormatPr defaultRowHeight="13.9" x14ac:dyDescent="0.4"/>
  <cols>
    <col min="2" max="2" width="11.1328125" customWidth="1"/>
  </cols>
  <sheetData>
    <row r="1" spans="1:3" x14ac:dyDescent="0.4">
      <c r="B1" t="s">
        <v>74</v>
      </c>
      <c r="C1" t="e">
        <f>Sheet2!#REF!</f>
        <v>#REF!</v>
      </c>
    </row>
    <row r="2" spans="1:3" x14ac:dyDescent="0.4">
      <c r="A2" s="42" t="s">
        <v>75</v>
      </c>
      <c r="B2" t="s">
        <v>76</v>
      </c>
      <c r="C2" t="e">
        <f>Sheet2!#REF!-Sheet2!#REF!</f>
        <v>#REF!</v>
      </c>
    </row>
    <row r="3" spans="1:3" x14ac:dyDescent="0.4">
      <c r="A3" s="42"/>
      <c r="B3" t="s">
        <v>77</v>
      </c>
      <c r="C3" t="e">
        <f>Sheet2!#REF!-Sheet2!#REF!</f>
        <v>#REF!</v>
      </c>
    </row>
    <row r="4" spans="1:3" x14ac:dyDescent="0.4">
      <c r="A4" s="42"/>
      <c r="B4" t="s">
        <v>78</v>
      </c>
      <c r="C4" t="e">
        <f>Sheet2!#REF!-Sheet2!#REF!</f>
        <v>#REF!</v>
      </c>
    </row>
    <row r="5" spans="1:3" x14ac:dyDescent="0.4">
      <c r="A5" s="42"/>
      <c r="B5" t="s">
        <v>97</v>
      </c>
      <c r="C5" t="e">
        <f>Sheet2!#REF!-Sheet2!#REF!</f>
        <v>#REF!</v>
      </c>
    </row>
    <row r="6" spans="1:3" x14ac:dyDescent="0.4">
      <c r="A6" s="42"/>
      <c r="B6" t="s">
        <v>98</v>
      </c>
      <c r="C6" t="e">
        <f>Sheet2!#REF!-Sheet2!#REF!</f>
        <v>#REF!</v>
      </c>
    </row>
    <row r="7" spans="1:3" x14ac:dyDescent="0.4">
      <c r="A7" s="12"/>
    </row>
    <row r="28" spans="1:7" x14ac:dyDescent="0.4">
      <c r="A28" s="43" t="s">
        <v>82</v>
      </c>
      <c r="B28" s="43" t="s">
        <v>79</v>
      </c>
      <c r="C28" s="43"/>
      <c r="D28" s="43" t="s">
        <v>80</v>
      </c>
      <c r="E28" s="43"/>
      <c r="F28" s="43" t="s">
        <v>81</v>
      </c>
      <c r="G28" s="43"/>
    </row>
    <row r="29" spans="1:7" x14ac:dyDescent="0.4">
      <c r="A29" s="43"/>
      <c r="B29" s="13" t="s">
        <v>84</v>
      </c>
      <c r="C29" s="13" t="s">
        <v>75</v>
      </c>
      <c r="D29" s="13" t="s">
        <v>83</v>
      </c>
      <c r="E29" s="13" t="s">
        <v>75</v>
      </c>
      <c r="F29" s="13" t="s">
        <v>84</v>
      </c>
      <c r="G29" s="13" t="s">
        <v>75</v>
      </c>
    </row>
    <row r="30" spans="1:7" x14ac:dyDescent="0.4">
      <c r="A30" s="43"/>
      <c r="B30" s="13"/>
      <c r="C30" s="13"/>
      <c r="D30" s="13">
        <v>100.3</v>
      </c>
      <c r="E30" s="13">
        <v>0.29199999999999982</v>
      </c>
      <c r="F30" s="13"/>
      <c r="G30" s="13"/>
    </row>
    <row r="31" spans="1:7" x14ac:dyDescent="0.4">
      <c r="A31" s="43"/>
      <c r="B31" s="13">
        <v>99</v>
      </c>
      <c r="C31" s="13">
        <v>0.53900000000000015</v>
      </c>
      <c r="D31" s="13">
        <v>104.7</v>
      </c>
      <c r="E31" s="13">
        <v>0.32200000000000006</v>
      </c>
      <c r="F31" s="13"/>
      <c r="G31" s="13"/>
    </row>
    <row r="32" spans="1:7" x14ac:dyDescent="0.4">
      <c r="A32" s="43"/>
      <c r="B32" s="13">
        <v>105.2</v>
      </c>
      <c r="C32" s="13">
        <v>0.5950000000000002</v>
      </c>
      <c r="D32" s="13">
        <v>106.3</v>
      </c>
      <c r="E32" s="13">
        <v>0.33599999999999985</v>
      </c>
      <c r="F32" s="13">
        <v>106.19</v>
      </c>
      <c r="G32" s="13">
        <v>0.26400000000000001</v>
      </c>
    </row>
    <row r="33" spans="1:7" x14ac:dyDescent="0.4">
      <c r="A33" s="43"/>
      <c r="B33" s="13">
        <v>128.1</v>
      </c>
      <c r="C33" s="13">
        <v>0.82499999999999973</v>
      </c>
      <c r="D33" s="13">
        <v>131.19999999999999</v>
      </c>
      <c r="E33" s="13">
        <v>0.5089999999999999</v>
      </c>
      <c r="F33" s="13">
        <v>118.92</v>
      </c>
      <c r="G33" s="13">
        <v>0.32400000000000001</v>
      </c>
    </row>
  </sheetData>
  <mergeCells count="5">
    <mergeCell ref="A2:A6"/>
    <mergeCell ref="B28:C28"/>
    <mergeCell ref="D28:E28"/>
    <mergeCell ref="F28:G28"/>
    <mergeCell ref="A28:A33"/>
  </mergeCells>
  <phoneticPr fontId="5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1:N9"/>
  <sheetViews>
    <sheetView zoomScale="130" zoomScaleNormal="130" workbookViewId="0">
      <selection activeCell="B1" sqref="B1:L6"/>
    </sheetView>
  </sheetViews>
  <sheetFormatPr defaultRowHeight="13.9" x14ac:dyDescent="0.4"/>
  <sheetData>
    <row r="1" spans="2:14" x14ac:dyDescent="0.4">
      <c r="B1" s="45" t="s">
        <v>85</v>
      </c>
      <c r="C1" s="46"/>
      <c r="D1" s="46"/>
      <c r="E1" s="47"/>
      <c r="F1" s="44" t="s">
        <v>89</v>
      </c>
      <c r="G1" s="44"/>
      <c r="H1" s="44"/>
      <c r="I1" s="44"/>
      <c r="J1" s="45" t="s">
        <v>90</v>
      </c>
      <c r="K1" s="46"/>
      <c r="L1" s="47"/>
      <c r="M1" s="14"/>
      <c r="N1" s="11"/>
    </row>
    <row r="2" spans="2:14" x14ac:dyDescent="0.4">
      <c r="B2" s="13" t="s">
        <v>86</v>
      </c>
      <c r="C2" s="13" t="s">
        <v>91</v>
      </c>
      <c r="D2" s="13" t="s">
        <v>87</v>
      </c>
      <c r="E2" s="13" t="s">
        <v>88</v>
      </c>
      <c r="F2" s="9" t="s">
        <v>86</v>
      </c>
      <c r="G2" s="9" t="s">
        <v>92</v>
      </c>
      <c r="H2" s="9" t="s">
        <v>87</v>
      </c>
      <c r="I2" s="9" t="s">
        <v>88</v>
      </c>
      <c r="J2" s="13" t="s">
        <v>86</v>
      </c>
      <c r="K2" s="13" t="s">
        <v>93</v>
      </c>
      <c r="L2" s="13" t="s">
        <v>87</v>
      </c>
      <c r="M2" s="11"/>
    </row>
    <row r="3" spans="2:14" x14ac:dyDescent="0.4">
      <c r="B3" s="13">
        <v>302.07900000000001</v>
      </c>
      <c r="C3" s="13">
        <v>113</v>
      </c>
      <c r="D3" s="13">
        <v>2632.99</v>
      </c>
      <c r="E3" s="13">
        <v>0.61547218326320707</v>
      </c>
      <c r="F3" s="9">
        <v>297.30399999999997</v>
      </c>
      <c r="G3" s="9">
        <v>100.3</v>
      </c>
      <c r="H3" s="9">
        <v>3564.06</v>
      </c>
      <c r="I3" s="9">
        <v>1.2753837895866882</v>
      </c>
      <c r="J3" s="13">
        <v>200</v>
      </c>
      <c r="K3" s="13">
        <v>57.11</v>
      </c>
      <c r="L3" s="13">
        <v>2405</v>
      </c>
      <c r="M3" s="11"/>
    </row>
    <row r="4" spans="2:14" x14ac:dyDescent="0.4">
      <c r="B4" s="13">
        <v>420.173</v>
      </c>
      <c r="C4" s="13">
        <v>129.30000000000001</v>
      </c>
      <c r="D4" s="13">
        <v>4043.3</v>
      </c>
      <c r="E4" s="13">
        <v>1.0752046270442759</v>
      </c>
      <c r="F4" s="9">
        <v>421.09699999999998</v>
      </c>
      <c r="G4" s="9">
        <v>104.7</v>
      </c>
      <c r="H4" s="9">
        <v>4124.63</v>
      </c>
      <c r="I4" s="9">
        <v>1.4065234441602728</v>
      </c>
      <c r="J4" s="13">
        <v>340</v>
      </c>
      <c r="K4" s="13">
        <v>89.37</v>
      </c>
      <c r="L4" s="13">
        <v>3870</v>
      </c>
      <c r="M4" s="11"/>
    </row>
    <row r="5" spans="2:14" x14ac:dyDescent="0.4">
      <c r="B5" s="13">
        <v>420.57100000000003</v>
      </c>
      <c r="C5" s="13">
        <v>113.6</v>
      </c>
      <c r="D5" s="13">
        <v>3815.0230000000001</v>
      </c>
      <c r="E5" s="13">
        <v>1.3009456095481671</v>
      </c>
      <c r="F5" s="9">
        <v>503.90300000000002</v>
      </c>
      <c r="G5" s="9">
        <v>106.3</v>
      </c>
      <c r="H5" s="9">
        <v>4380.3999999999996</v>
      </c>
      <c r="I5" s="9">
        <v>1.4763734411863834</v>
      </c>
      <c r="J5" s="13">
        <v>420</v>
      </c>
      <c r="K5" s="13">
        <v>106.19</v>
      </c>
      <c r="L5" s="13">
        <v>4585</v>
      </c>
      <c r="M5" s="11"/>
    </row>
    <row r="6" spans="2:14" x14ac:dyDescent="0.4">
      <c r="B6" s="13"/>
      <c r="C6" s="13"/>
      <c r="D6" s="13"/>
      <c r="E6" s="13"/>
      <c r="F6" s="9">
        <v>505.52</v>
      </c>
      <c r="G6" s="9">
        <v>131.19999999999999</v>
      </c>
      <c r="H6" s="9">
        <v>5018.8</v>
      </c>
      <c r="I6" s="9">
        <v>1.3105627366496932</v>
      </c>
      <c r="J6" s="13">
        <v>500</v>
      </c>
      <c r="K6" s="13">
        <v>118.92</v>
      </c>
      <c r="L6" s="13">
        <v>5159</v>
      </c>
      <c r="M6" s="11"/>
    </row>
    <row r="7" spans="2:14" x14ac:dyDescent="0.4">
      <c r="B7" s="11"/>
      <c r="C7" s="11"/>
      <c r="D7" s="11"/>
      <c r="E7" s="11"/>
      <c r="F7" s="11"/>
      <c r="G7" s="11"/>
      <c r="I7" s="11"/>
      <c r="J7" s="11"/>
      <c r="L7" s="11"/>
      <c r="M7" s="11"/>
      <c r="N7" s="11"/>
    </row>
    <row r="8" spans="2:14" x14ac:dyDescent="0.4">
      <c r="B8" s="11"/>
      <c r="C8" s="11"/>
      <c r="D8" s="11"/>
      <c r="E8" s="11"/>
      <c r="F8" s="11"/>
      <c r="G8" s="11"/>
      <c r="I8" s="11"/>
      <c r="J8" s="11"/>
      <c r="L8" s="11"/>
      <c r="M8" s="11"/>
      <c r="N8" s="11"/>
    </row>
    <row r="9" spans="2:14" x14ac:dyDescent="0.4">
      <c r="B9" s="11"/>
      <c r="C9" s="11"/>
      <c r="D9" s="11"/>
      <c r="E9" s="11"/>
      <c r="F9" s="11"/>
      <c r="G9" s="11"/>
      <c r="I9" s="11"/>
      <c r="J9" s="11"/>
      <c r="L9" s="11"/>
      <c r="M9" s="11"/>
      <c r="N9" s="11"/>
    </row>
  </sheetData>
  <mergeCells count="3">
    <mergeCell ref="F1:I1"/>
    <mergeCell ref="B1:E1"/>
    <mergeCell ref="J1:L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压降分析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方健珉</dc:creator>
  <cp:lastModifiedBy>qhr</cp:lastModifiedBy>
  <dcterms:created xsi:type="dcterms:W3CDTF">2019-03-22T02:59:42Z</dcterms:created>
  <dcterms:modified xsi:type="dcterms:W3CDTF">2019-12-09T06:50:00Z</dcterms:modified>
</cp:coreProperties>
</file>