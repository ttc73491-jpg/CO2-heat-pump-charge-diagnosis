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C:\Users\qhr\OneDrive\哈哈的文件\科研相关\项目相关\东风项目\实验\第二阶段实验20191021\充注量实验\40 ℃\"/>
    </mc:Choice>
  </mc:AlternateContent>
  <xr:revisionPtr revIDLastSave="1216" documentId="114_{1DF1706E-5F94-4485-8455-D63EA265D2B2}" xr6:coauthVersionLast="45" xr6:coauthVersionMax="45" xr10:uidLastSave="{D765F821-C225-4496-86A2-11B5BCB51803}"/>
  <bookViews>
    <workbookView xWindow="-98" yWindow="-98" windowWidth="19396" windowHeight="1039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H52" i="1" l="1"/>
  <c r="BI52" i="1"/>
  <c r="BJ52" i="1"/>
  <c r="BK52" i="1"/>
  <c r="BI55" i="1"/>
  <c r="BH50" i="1"/>
  <c r="BI50" i="1"/>
  <c r="BK51" i="1"/>
  <c r="BH51" i="1"/>
  <c r="BI51" i="1"/>
  <c r="BK55" i="1"/>
  <c r="BH55" i="1"/>
  <c r="BJ50" i="1"/>
  <c r="BJ55" i="1"/>
  <c r="BJ51" i="1"/>
  <c r="BK50" i="1"/>
  <c r="BI54" i="1" l="1"/>
  <c r="BK54" i="1"/>
  <c r="BH54" i="1"/>
  <c r="BJ54" i="1"/>
  <c r="BB42" i="1"/>
  <c r="AN52" i="1"/>
  <c r="AO52" i="1"/>
  <c r="AP52" i="1"/>
  <c r="AQ52" i="1"/>
  <c r="AR52" i="1"/>
  <c r="AS52" i="1"/>
  <c r="AU52" i="1"/>
  <c r="AV52" i="1"/>
  <c r="AW52" i="1"/>
  <c r="AX52" i="1"/>
  <c r="AY52" i="1"/>
  <c r="AZ52" i="1"/>
  <c r="BA52" i="1"/>
  <c r="BB52" i="1"/>
  <c r="BC52" i="1"/>
  <c r="BE52" i="1"/>
  <c r="BF52" i="1"/>
  <c r="BG52" i="1"/>
  <c r="V40" i="1"/>
  <c r="U52" i="1"/>
  <c r="V52" i="1"/>
  <c r="W52" i="1"/>
  <c r="X52" i="1"/>
  <c r="Y52" i="1"/>
  <c r="S42" i="1"/>
  <c r="S40" i="1"/>
  <c r="V55" i="1"/>
  <c r="AV50" i="1"/>
  <c r="BC51" i="1"/>
  <c r="BA55" i="1"/>
  <c r="BB50" i="1"/>
  <c r="BE55" i="1"/>
  <c r="AR51" i="1"/>
  <c r="AW55" i="1"/>
  <c r="W50" i="1"/>
  <c r="AZ50" i="1"/>
  <c r="AX51" i="1"/>
  <c r="BC38" i="1"/>
  <c r="BG50" i="1"/>
  <c r="BJ38" i="1"/>
  <c r="BF51" i="1"/>
  <c r="AU38" i="1"/>
  <c r="BC55" i="1"/>
  <c r="W51" i="1"/>
  <c r="BI38" i="1"/>
  <c r="AJ38" i="1"/>
  <c r="AS51" i="1"/>
  <c r="AU51" i="1"/>
  <c r="X55" i="1"/>
  <c r="AS55" i="1"/>
  <c r="AP38" i="1"/>
  <c r="BF50" i="1"/>
  <c r="U51" i="1"/>
  <c r="AN50" i="1"/>
  <c r="X51" i="1"/>
  <c r="BG55" i="1"/>
  <c r="BB55" i="1"/>
  <c r="AO51" i="1"/>
  <c r="BB51" i="1"/>
  <c r="U55" i="1"/>
  <c r="AY38" i="1"/>
  <c r="AV51" i="1"/>
  <c r="BB38" i="1"/>
  <c r="BE38" i="1"/>
  <c r="AQ38" i="1"/>
  <c r="AU50" i="1"/>
  <c r="V50" i="1"/>
  <c r="AS38" i="1"/>
  <c r="AP51" i="1"/>
  <c r="Y51" i="1"/>
  <c r="AN51" i="1"/>
  <c r="AQ50" i="1"/>
  <c r="AU55" i="1"/>
  <c r="BF55" i="1"/>
  <c r="AX50" i="1"/>
  <c r="AY55" i="1"/>
  <c r="AW50" i="1"/>
  <c r="BK38" i="1"/>
  <c r="AP55" i="1"/>
  <c r="AX38" i="1"/>
  <c r="Y55" i="1"/>
  <c r="BG51" i="1"/>
  <c r="AO55" i="1"/>
  <c r="BA51" i="1"/>
  <c r="V51" i="1"/>
  <c r="AI38" i="1"/>
  <c r="AZ38" i="1"/>
  <c r="AQ55" i="1"/>
  <c r="Y50" i="1"/>
  <c r="AZ55" i="1"/>
  <c r="U50" i="1"/>
  <c r="AY50" i="1"/>
  <c r="AW38" i="1"/>
  <c r="AX55" i="1"/>
  <c r="BF38" i="1"/>
  <c r="BH38" i="1"/>
  <c r="AY51" i="1"/>
  <c r="W55" i="1"/>
  <c r="AW51" i="1"/>
  <c r="BA50" i="1"/>
  <c r="AN55" i="1"/>
  <c r="AS50" i="1"/>
  <c r="AR55" i="1"/>
  <c r="AQ51" i="1"/>
  <c r="AH38" i="1"/>
  <c r="BC50" i="1"/>
  <c r="BG38" i="1"/>
  <c r="U38" i="1"/>
  <c r="BA38" i="1"/>
  <c r="AO50" i="1"/>
  <c r="AV55" i="1"/>
  <c r="BE50" i="1"/>
  <c r="AR38" i="1"/>
  <c r="AZ51" i="1"/>
  <c r="AP50" i="1"/>
  <c r="AR50" i="1"/>
  <c r="BE51" i="1"/>
  <c r="X50" i="1"/>
  <c r="AV38" i="1"/>
  <c r="BK49" i="1" l="1"/>
  <c r="BJ49" i="1"/>
  <c r="BI49" i="1"/>
  <c r="BH49" i="1"/>
  <c r="BG49" i="1"/>
  <c r="BF49" i="1"/>
  <c r="BE49" i="1"/>
  <c r="BC43" i="1"/>
  <c r="BC49" i="1"/>
  <c r="BB43" i="1"/>
  <c r="BA43" i="1"/>
  <c r="AZ43" i="1"/>
  <c r="AY49" i="1"/>
  <c r="BB49" i="1"/>
  <c r="BA49" i="1"/>
  <c r="AZ49" i="1"/>
  <c r="AW49" i="1"/>
  <c r="AX49" i="1"/>
  <c r="AS43" i="1"/>
  <c r="AQ49" i="1"/>
  <c r="AQ43" i="1"/>
  <c r="AP49" i="1"/>
  <c r="AP43" i="1"/>
  <c r="AV49" i="1"/>
  <c r="AS49" i="1"/>
  <c r="AU49" i="1"/>
  <c r="AR49" i="1"/>
  <c r="AR43" i="1"/>
  <c r="BF54" i="1"/>
  <c r="AP54" i="1"/>
  <c r="BA53" i="1"/>
  <c r="AR53" i="1"/>
  <c r="AN54" i="1"/>
  <c r="AZ54" i="1"/>
  <c r="AQ54" i="1"/>
  <c r="AY54" i="1"/>
  <c r="BG54" i="1"/>
  <c r="AX54" i="1"/>
  <c r="AO54" i="1"/>
  <c r="AQ53" i="1"/>
  <c r="BE54" i="1"/>
  <c r="AN53" i="1"/>
  <c r="AW54" i="1"/>
  <c r="AV54" i="1"/>
  <c r="AO53" i="1"/>
  <c r="BC54" i="1"/>
  <c r="AU54" i="1"/>
  <c r="BF53" i="1"/>
  <c r="BB54" i="1"/>
  <c r="AS54" i="1"/>
  <c r="AP53" i="1"/>
  <c r="BA54" i="1"/>
  <c r="AR54" i="1"/>
  <c r="V42" i="1"/>
  <c r="U49" i="1"/>
  <c r="U43" i="1"/>
  <c r="Y54" i="1"/>
  <c r="V53" i="1"/>
  <c r="X54" i="1"/>
  <c r="U53" i="1"/>
  <c r="Y53" i="1"/>
  <c r="W53" i="1"/>
  <c r="W54" i="1"/>
  <c r="V54" i="1"/>
  <c r="U54" i="1"/>
  <c r="X53" i="1"/>
  <c r="AO42" i="1"/>
  <c r="AR42" i="1"/>
  <c r="AU42" i="1"/>
  <c r="AO40" i="1"/>
  <c r="AP40" i="1"/>
  <c r="AP42" i="1" s="1"/>
  <c r="AQ40" i="1"/>
  <c r="AQ42" i="1" s="1"/>
  <c r="AR40" i="1"/>
  <c r="AS40" i="1"/>
  <c r="AS53" i="1" s="1"/>
  <c r="AU40" i="1"/>
  <c r="AU53" i="1" s="1"/>
  <c r="AV40" i="1"/>
  <c r="AV43" i="1" s="1"/>
  <c r="AW40" i="1"/>
  <c r="AW43" i="1" s="1"/>
  <c r="AX40" i="1"/>
  <c r="AX43" i="1" s="1"/>
  <c r="AY40" i="1"/>
  <c r="AY43" i="1" s="1"/>
  <c r="AZ40" i="1"/>
  <c r="AZ53" i="1" s="1"/>
  <c r="BA40" i="1"/>
  <c r="BA42" i="1" s="1"/>
  <c r="BB40" i="1"/>
  <c r="BB53" i="1" s="1"/>
  <c r="BC40" i="1"/>
  <c r="BC42" i="1" s="1"/>
  <c r="BE40" i="1"/>
  <c r="BE42" i="1" s="1"/>
  <c r="BF40" i="1"/>
  <c r="BG40" i="1"/>
  <c r="BH40" i="1"/>
  <c r="BI40" i="1"/>
  <c r="BJ40" i="1"/>
  <c r="BK40" i="1"/>
  <c r="AN40" i="1"/>
  <c r="AN42" i="1" s="1"/>
  <c r="AM40" i="1"/>
  <c r="AM42" i="1" s="1"/>
  <c r="AN38" i="1"/>
  <c r="AO38" i="1"/>
  <c r="Y56" i="1" l="1"/>
  <c r="AN56" i="1"/>
  <c r="BE43" i="1"/>
  <c r="BF42" i="1"/>
  <c r="BF43" i="1"/>
  <c r="BI43" i="1"/>
  <c r="BI42" i="1"/>
  <c r="BI53" i="1"/>
  <c r="BI56" i="1" s="1"/>
  <c r="BH43" i="1"/>
  <c r="BH42" i="1"/>
  <c r="BH53" i="1"/>
  <c r="BH56" i="1" s="1"/>
  <c r="BG43" i="1"/>
  <c r="BG42" i="1"/>
  <c r="BG53" i="1"/>
  <c r="BG56" i="1" s="1"/>
  <c r="BK43" i="1"/>
  <c r="BK42" i="1"/>
  <c r="BK53" i="1"/>
  <c r="BK56" i="1" s="1"/>
  <c r="BE53" i="1"/>
  <c r="BE56" i="1" s="1"/>
  <c r="BJ43" i="1"/>
  <c r="BJ42" i="1"/>
  <c r="BJ53" i="1"/>
  <c r="BJ56" i="1" s="1"/>
  <c r="AN49" i="1"/>
  <c r="AN43" i="1"/>
  <c r="AO56" i="1"/>
  <c r="BF56" i="1"/>
  <c r="BC53" i="1"/>
  <c r="BC56" i="1" s="1"/>
  <c r="AZ56" i="1"/>
  <c r="AZ42" i="1"/>
  <c r="AY42" i="1"/>
  <c r="AY53" i="1"/>
  <c r="AY56" i="1" s="1"/>
  <c r="AU43" i="1"/>
  <c r="AU56" i="1"/>
  <c r="AX42" i="1"/>
  <c r="AX53" i="1"/>
  <c r="AX56" i="1" s="1"/>
  <c r="AW42" i="1"/>
  <c r="AW53" i="1"/>
  <c r="AW56" i="1" s="1"/>
  <c r="AV53" i="1"/>
  <c r="AV56" i="1" s="1"/>
  <c r="AV42" i="1"/>
  <c r="AS42" i="1"/>
  <c r="AQ56" i="1"/>
  <c r="AP56" i="1"/>
  <c r="AO43" i="1"/>
  <c r="AO49" i="1"/>
  <c r="AR56" i="1"/>
  <c r="BA56" i="1"/>
  <c r="AS56" i="1"/>
  <c r="BB56" i="1"/>
  <c r="X56" i="1"/>
  <c r="U56" i="1"/>
  <c r="W56" i="1"/>
  <c r="V56" i="1"/>
  <c r="AB40" i="1"/>
  <c r="AE38" i="1"/>
  <c r="AB42" i="1" l="1"/>
  <c r="K40" i="1" l="1"/>
  <c r="L40" i="1"/>
  <c r="L42" i="1"/>
  <c r="F40" i="1"/>
  <c r="F42" i="1" s="1"/>
  <c r="E52" i="1"/>
  <c r="F52" i="1"/>
  <c r="G52" i="1"/>
  <c r="H52" i="1"/>
  <c r="I52" i="1"/>
  <c r="J52" i="1"/>
  <c r="K52" i="1"/>
  <c r="L52" i="1"/>
  <c r="N52" i="1"/>
  <c r="O52" i="1"/>
  <c r="P52" i="1"/>
  <c r="Q52" i="1"/>
  <c r="R52" i="1"/>
  <c r="S52" i="1"/>
  <c r="T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C52" i="1"/>
  <c r="D52" i="1"/>
  <c r="D40" i="1"/>
  <c r="D42" i="1" s="1"/>
  <c r="D50" i="1"/>
  <c r="AF50" i="1"/>
  <c r="T51" i="1"/>
  <c r="AI50" i="1"/>
  <c r="AG55" i="1"/>
  <c r="AD50" i="1"/>
  <c r="Q51" i="1"/>
  <c r="AE51" i="1"/>
  <c r="O38" i="1"/>
  <c r="L51" i="1"/>
  <c r="G51" i="1"/>
  <c r="AA55" i="1"/>
  <c r="H51" i="1"/>
  <c r="E51" i="1"/>
  <c r="AK55" i="1"/>
  <c r="AK38" i="1"/>
  <c r="P51" i="1"/>
  <c r="W38" i="1"/>
  <c r="AH50" i="1"/>
  <c r="AA38" i="1"/>
  <c r="AM51" i="1"/>
  <c r="Y38" i="1"/>
  <c r="AL50" i="1"/>
  <c r="L55" i="1"/>
  <c r="I50" i="1"/>
  <c r="G55" i="1"/>
  <c r="AM55" i="1"/>
  <c r="AB38" i="1"/>
  <c r="AC55" i="1"/>
  <c r="D51" i="1"/>
  <c r="S51" i="1"/>
  <c r="R55" i="1"/>
  <c r="N51" i="1"/>
  <c r="AE50" i="1"/>
  <c r="J55" i="1"/>
  <c r="N50" i="1"/>
  <c r="C51" i="1"/>
  <c r="AG38" i="1"/>
  <c r="L50" i="1"/>
  <c r="E55" i="1"/>
  <c r="K55" i="1"/>
  <c r="D55" i="1"/>
  <c r="V38" i="1"/>
  <c r="J38" i="1"/>
  <c r="T55" i="1"/>
  <c r="N38" i="1"/>
  <c r="AC50" i="1"/>
  <c r="L38" i="1"/>
  <c r="AI55" i="1"/>
  <c r="AL51" i="1"/>
  <c r="F38" i="1"/>
  <c r="Q50" i="1"/>
  <c r="R50" i="1"/>
  <c r="AD55" i="1"/>
  <c r="AI51" i="1"/>
  <c r="C38" i="1"/>
  <c r="N55" i="1"/>
  <c r="AL38" i="1"/>
  <c r="AC38" i="1"/>
  <c r="AF55" i="1"/>
  <c r="AJ55" i="1"/>
  <c r="R38" i="1"/>
  <c r="P55" i="1"/>
  <c r="AH55" i="1"/>
  <c r="I51" i="1"/>
  <c r="AK51" i="1"/>
  <c r="O51" i="1"/>
  <c r="AA51" i="1"/>
  <c r="S55" i="1"/>
  <c r="AC51" i="1"/>
  <c r="AM38" i="1"/>
  <c r="O55" i="1"/>
  <c r="H50" i="1"/>
  <c r="H55" i="1"/>
  <c r="T50" i="1"/>
  <c r="AB51" i="1"/>
  <c r="AL55" i="1"/>
  <c r="O50" i="1"/>
  <c r="I38" i="1"/>
  <c r="AJ50" i="1"/>
  <c r="AG51" i="1"/>
  <c r="G50" i="1"/>
  <c r="C50" i="1"/>
  <c r="D38" i="1"/>
  <c r="I55" i="1"/>
  <c r="K50" i="1"/>
  <c r="AD51" i="1"/>
  <c r="X38" i="1"/>
  <c r="F51" i="1"/>
  <c r="T38" i="1"/>
  <c r="Q38" i="1"/>
  <c r="AD38" i="1"/>
  <c r="J51" i="1"/>
  <c r="AA50" i="1"/>
  <c r="AG50" i="1"/>
  <c r="H38" i="1"/>
  <c r="S50" i="1"/>
  <c r="R51" i="1"/>
  <c r="AB55" i="1"/>
  <c r="P50" i="1"/>
  <c r="F55" i="1"/>
  <c r="AF51" i="1"/>
  <c r="Q55" i="1"/>
  <c r="AH51" i="1"/>
  <c r="AB50" i="1"/>
  <c r="P38" i="1"/>
  <c r="AE55" i="1"/>
  <c r="E38" i="1"/>
  <c r="AM50" i="1"/>
  <c r="E50" i="1"/>
  <c r="AK50" i="1"/>
  <c r="K38" i="1"/>
  <c r="S38" i="1"/>
  <c r="G38" i="1"/>
  <c r="K51" i="1"/>
  <c r="AJ51" i="1"/>
  <c r="C55" i="1"/>
  <c r="F50" i="1"/>
  <c r="AF38" i="1"/>
  <c r="J50" i="1"/>
  <c r="AM43" i="1" l="1"/>
  <c r="V43" i="1"/>
  <c r="S43" i="1"/>
  <c r="Y49" i="1"/>
  <c r="X49" i="1"/>
  <c r="W49" i="1"/>
  <c r="V49" i="1"/>
  <c r="AB43" i="1"/>
  <c r="K43" i="1"/>
  <c r="K42" i="1"/>
  <c r="L43" i="1"/>
  <c r="AB49" i="1"/>
  <c r="S49" i="1"/>
  <c r="L49" i="1"/>
  <c r="F49" i="1"/>
  <c r="AM49" i="1"/>
  <c r="F43" i="1"/>
  <c r="C49" i="1"/>
  <c r="AB54" i="1"/>
  <c r="AI54" i="1"/>
  <c r="AA54" i="1"/>
  <c r="R54" i="1"/>
  <c r="I54" i="1"/>
  <c r="AB53" i="1"/>
  <c r="S53" i="1"/>
  <c r="AJ54" i="1"/>
  <c r="AH54" i="1"/>
  <c r="Q54" i="1"/>
  <c r="H54" i="1"/>
  <c r="J54" i="1"/>
  <c r="AG54" i="1"/>
  <c r="P54" i="1"/>
  <c r="G54" i="1"/>
  <c r="S54" i="1"/>
  <c r="AF54" i="1"/>
  <c r="O54" i="1"/>
  <c r="F54" i="1"/>
  <c r="AM54" i="1"/>
  <c r="N54" i="1"/>
  <c r="E54" i="1"/>
  <c r="F53" i="1"/>
  <c r="AE54" i="1"/>
  <c r="AL54" i="1"/>
  <c r="AD54" i="1"/>
  <c r="L54" i="1"/>
  <c r="AM53" i="1"/>
  <c r="AK54" i="1"/>
  <c r="AC54" i="1"/>
  <c r="T54" i="1"/>
  <c r="K54" i="1"/>
  <c r="L53" i="1"/>
  <c r="C54" i="1"/>
  <c r="D54" i="1"/>
  <c r="D53" i="1"/>
  <c r="D43" i="1"/>
  <c r="D49" i="1"/>
  <c r="AB56" i="1" l="1"/>
  <c r="AM56" i="1"/>
  <c r="F56" i="1"/>
  <c r="D56" i="1"/>
  <c r="L56" i="1"/>
  <c r="S56" i="1"/>
  <c r="AI40" i="1" l="1"/>
  <c r="AI53" i="1" s="1"/>
  <c r="AI56" i="1" s="1"/>
  <c r="AJ40" i="1"/>
  <c r="AG49" i="1"/>
  <c r="AH49" i="1"/>
  <c r="AI49" i="1"/>
  <c r="AJ49" i="1"/>
  <c r="AF49" i="1"/>
  <c r="AK49" i="1"/>
  <c r="AL49" i="1"/>
  <c r="AJ42" i="1" l="1"/>
  <c r="AJ53" i="1"/>
  <c r="AJ56" i="1" s="1"/>
  <c r="AJ43" i="1"/>
  <c r="AI43" i="1"/>
  <c r="AF40" i="1"/>
  <c r="AL40" i="1"/>
  <c r="AK40" i="1"/>
  <c r="AI42" i="1"/>
  <c r="AC40" i="1"/>
  <c r="AD40" i="1"/>
  <c r="AD53" i="1" s="1"/>
  <c r="AD56" i="1" s="1"/>
  <c r="AE40" i="1"/>
  <c r="AG40" i="1"/>
  <c r="AH40" i="1"/>
  <c r="AE49" i="1"/>
  <c r="AC49" i="1"/>
  <c r="AD49" i="1"/>
  <c r="AL42" i="1" l="1"/>
  <c r="AL53" i="1"/>
  <c r="AL56" i="1" s="1"/>
  <c r="AK42" i="1"/>
  <c r="AK53" i="1"/>
  <c r="AK56" i="1" s="1"/>
  <c r="AE42" i="1"/>
  <c r="AE53" i="1"/>
  <c r="AE56" i="1" s="1"/>
  <c r="AH42" i="1"/>
  <c r="AH53" i="1"/>
  <c r="AH56" i="1" s="1"/>
  <c r="AF42" i="1"/>
  <c r="AF53" i="1"/>
  <c r="AF56" i="1" s="1"/>
  <c r="AG42" i="1"/>
  <c r="AG53" i="1"/>
  <c r="AG56" i="1" s="1"/>
  <c r="AC42" i="1"/>
  <c r="AC53" i="1"/>
  <c r="AC56" i="1" s="1"/>
  <c r="AK43" i="1"/>
  <c r="AF43" i="1"/>
  <c r="AG43" i="1"/>
  <c r="AL43" i="1"/>
  <c r="AH43" i="1"/>
  <c r="AC43" i="1"/>
  <c r="AD43" i="1"/>
  <c r="AE43" i="1"/>
  <c r="AD42" i="1"/>
  <c r="X40" i="1"/>
  <c r="Y40" i="1"/>
  <c r="AA40" i="1"/>
  <c r="AA53" i="1" s="1"/>
  <c r="AA56" i="1" s="1"/>
  <c r="X42" i="1" l="1"/>
  <c r="Y42" i="1"/>
  <c r="AA42" i="1"/>
  <c r="W40" i="1"/>
  <c r="AA49" i="1"/>
  <c r="W42" i="1" l="1"/>
  <c r="AA43" i="1"/>
  <c r="Y43" i="1"/>
  <c r="X43" i="1"/>
  <c r="W43" i="1"/>
  <c r="H40" i="1"/>
  <c r="I40" i="1"/>
  <c r="J40" i="1"/>
  <c r="G40" i="1"/>
  <c r="J49" i="1"/>
  <c r="G49" i="1"/>
  <c r="H49" i="1"/>
  <c r="I49" i="1"/>
  <c r="K49" i="1"/>
  <c r="I42" i="1" l="1"/>
  <c r="I53" i="1"/>
  <c r="I56" i="1" s="1"/>
  <c r="K53" i="1"/>
  <c r="K56" i="1" s="1"/>
  <c r="J42" i="1"/>
  <c r="J53" i="1"/>
  <c r="J56" i="1" s="1"/>
  <c r="H42" i="1"/>
  <c r="H53" i="1"/>
  <c r="H56" i="1" s="1"/>
  <c r="G42" i="1"/>
  <c r="G53" i="1"/>
  <c r="G56" i="1" s="1"/>
  <c r="J43" i="1"/>
  <c r="G43" i="1"/>
  <c r="I43" i="1"/>
  <c r="H43" i="1"/>
  <c r="O40" i="1"/>
  <c r="P40" i="1"/>
  <c r="Q40" i="1"/>
  <c r="Q53" i="1" s="1"/>
  <c r="Q56" i="1" s="1"/>
  <c r="R40" i="1"/>
  <c r="R53" i="1" s="1"/>
  <c r="R56" i="1" s="1"/>
  <c r="R49" i="1"/>
  <c r="O49" i="1"/>
  <c r="P49" i="1"/>
  <c r="Q49" i="1"/>
  <c r="O42" i="1" l="1"/>
  <c r="O53" i="1"/>
  <c r="O56" i="1" s="1"/>
  <c r="P42" i="1"/>
  <c r="P53" i="1"/>
  <c r="P56" i="1" s="1"/>
  <c r="R42" i="1"/>
  <c r="Q42" i="1"/>
  <c r="O43" i="1"/>
  <c r="Q43" i="1"/>
  <c r="P43" i="1"/>
  <c r="R43" i="1"/>
  <c r="N40" i="1"/>
  <c r="T40" i="1"/>
  <c r="U40" i="1"/>
  <c r="E40" i="1"/>
  <c r="E42" i="1" s="1"/>
  <c r="C40" i="1"/>
  <c r="T49" i="1"/>
  <c r="N49" i="1"/>
  <c r="E49" i="1"/>
  <c r="U42" i="1" l="1"/>
  <c r="N42" i="1"/>
  <c r="N53" i="1"/>
  <c r="N56" i="1" s="1"/>
  <c r="T42" i="1"/>
  <c r="T53" i="1"/>
  <c r="T56" i="1" s="1"/>
  <c r="C42" i="1"/>
  <c r="C53" i="1"/>
  <c r="C56" i="1" s="1"/>
  <c r="C43" i="1"/>
  <c r="E53" i="1"/>
  <c r="E56" i="1" s="1"/>
  <c r="N43" i="1"/>
  <c r="E43" i="1"/>
  <c r="T43" i="1"/>
</calcChain>
</file>

<file path=xl/sharedStrings.xml><?xml version="1.0" encoding="utf-8"?>
<sst xmlns="http://schemas.openxmlformats.org/spreadsheetml/2006/main" count="120" uniqueCount="64">
  <si>
    <t>日期</t>
    <phoneticPr fontId="6" type="noConversion"/>
  </si>
  <si>
    <t>类别</t>
    <phoneticPr fontId="6" type="noConversion"/>
  </si>
  <si>
    <t>项目</t>
    <phoneticPr fontId="6" type="noConversion"/>
  </si>
  <si>
    <t>不回热</t>
    <phoneticPr fontId="6" type="noConversion"/>
  </si>
  <si>
    <t>环境参数</t>
    <phoneticPr fontId="6" type="noConversion"/>
  </si>
  <si>
    <t>室内干球</t>
    <phoneticPr fontId="6" type="noConversion"/>
  </si>
  <si>
    <t>室内湿球</t>
    <phoneticPr fontId="6" type="noConversion"/>
  </si>
  <si>
    <t>室外干球</t>
    <phoneticPr fontId="6" type="noConversion"/>
  </si>
  <si>
    <t>室外湿球</t>
    <phoneticPr fontId="6" type="noConversion"/>
  </si>
  <si>
    <t>温度/℃</t>
    <phoneticPr fontId="6" type="noConversion"/>
  </si>
  <si>
    <t>吸气温度</t>
    <phoneticPr fontId="6" type="noConversion"/>
  </si>
  <si>
    <t>排气温度</t>
    <phoneticPr fontId="6" type="noConversion"/>
  </si>
  <si>
    <t>室外换热进口</t>
    <phoneticPr fontId="6" type="noConversion"/>
  </si>
  <si>
    <t>室外换热出口</t>
    <phoneticPr fontId="6" type="noConversion"/>
  </si>
  <si>
    <t>回热器高压进口</t>
    <phoneticPr fontId="6" type="noConversion"/>
  </si>
  <si>
    <t>回热器高压出口</t>
    <phoneticPr fontId="6" type="noConversion"/>
  </si>
  <si>
    <t>阀前温度</t>
    <phoneticPr fontId="6" type="noConversion"/>
  </si>
  <si>
    <t>阀后温度</t>
    <phoneticPr fontId="6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</si>
  <si>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6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</si>
  <si>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6" type="noConversion"/>
  </si>
  <si>
    <t>储液器进口</t>
    <phoneticPr fontId="6" type="noConversion"/>
  </si>
  <si>
    <t>储液器出口</t>
    <phoneticPr fontId="6" type="noConversion"/>
  </si>
  <si>
    <t>回热器低压进口</t>
    <phoneticPr fontId="6" type="noConversion"/>
  </si>
  <si>
    <t>回热器低压出口</t>
    <phoneticPr fontId="6" type="noConversion"/>
  </si>
  <si>
    <t>压力/Mpa</t>
    <phoneticPr fontId="6" type="noConversion"/>
  </si>
  <si>
    <t>吸气压力</t>
    <phoneticPr fontId="6" type="noConversion"/>
  </si>
  <si>
    <t>排气压力</t>
    <phoneticPr fontId="6" type="noConversion"/>
  </si>
  <si>
    <t>气冷进口</t>
    <phoneticPr fontId="6" type="noConversion"/>
  </si>
  <si>
    <t>气冷出口</t>
    <phoneticPr fontId="6" type="noConversion"/>
  </si>
  <si>
    <t>阀前压力</t>
    <phoneticPr fontId="6" type="noConversion"/>
  </si>
  <si>
    <t>主换热器进口</t>
    <phoneticPr fontId="6" type="noConversion"/>
  </si>
  <si>
    <t>主换热器出口</t>
    <phoneticPr fontId="6" type="noConversion"/>
  </si>
  <si>
    <t>性能</t>
    <phoneticPr fontId="6" type="noConversion"/>
  </si>
  <si>
    <t>电压/V</t>
    <phoneticPr fontId="6" type="noConversion"/>
  </si>
  <si>
    <t>电流/A</t>
    <phoneticPr fontId="6" type="noConversion"/>
  </si>
  <si>
    <t>充注量/g</t>
    <phoneticPr fontId="6" type="noConversion"/>
  </si>
  <si>
    <t>压缩机转速/rpm</t>
    <phoneticPr fontId="6" type="noConversion"/>
  </si>
  <si>
    <t>膨胀阀开度</t>
    <phoneticPr fontId="6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</si>
  <si>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6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</si>
  <si>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6" type="noConversion"/>
  </si>
  <si>
    <t>室外侧风量/m3·h-1</t>
    <phoneticPr fontId="6" type="noConversion"/>
  </si>
  <si>
    <t>室内侧换热量//蒸发器/W</t>
    <phoneticPr fontId="6" type="noConversion"/>
  </si>
  <si>
    <t>室内侧换热量/制冷剂/W</t>
    <phoneticPr fontId="6" type="noConversion"/>
  </si>
  <si>
    <t>室外侧换热量//冷凝器/W</t>
    <phoneticPr fontId="6" type="noConversion"/>
  </si>
  <si>
    <t>压缩机功率/W</t>
    <phoneticPr fontId="6" type="noConversion"/>
  </si>
  <si>
    <t>压缩机功率WT500</t>
    <phoneticPr fontId="6" type="noConversion"/>
  </si>
  <si>
    <t>室内侧COP</t>
    <phoneticPr fontId="6" type="noConversion"/>
  </si>
  <si>
    <t>室内侧COP/制冷剂</t>
    <phoneticPr fontId="6" type="noConversion"/>
  </si>
  <si>
    <t>室外侧COP</t>
    <phoneticPr fontId="6" type="noConversion"/>
  </si>
  <si>
    <t>室内出风干球/℃</t>
    <phoneticPr fontId="6" type="noConversion"/>
  </si>
  <si>
    <t>室内出风湿球/℃</t>
    <phoneticPr fontId="6" type="noConversion"/>
  </si>
  <si>
    <t>室外出风干球/℃</t>
    <phoneticPr fontId="6" type="noConversion"/>
  </si>
  <si>
    <t>室外出风湿球/℃</t>
    <phoneticPr fontId="6" type="noConversion"/>
  </si>
  <si>
    <t>a/r</t>
    <phoneticPr fontId="6" type="noConversion"/>
  </si>
  <si>
    <t>压缩功/W</t>
    <phoneticPr fontId="6" type="noConversion"/>
  </si>
  <si>
    <t>等熵压缩功/W</t>
    <phoneticPr fontId="6" type="noConversion"/>
  </si>
  <si>
    <t>压比</t>
    <phoneticPr fontId="6" type="noConversion"/>
  </si>
  <si>
    <t>机械效率</t>
    <phoneticPr fontId="6" type="noConversion"/>
  </si>
  <si>
    <t>等熵效率</t>
    <phoneticPr fontId="6" type="noConversion"/>
  </si>
  <si>
    <t>容积效率</t>
    <phoneticPr fontId="6" type="noConversion"/>
  </si>
  <si>
    <t>总效率</t>
    <phoneticPr fontId="6" type="noConversion"/>
  </si>
  <si>
    <t>冷凝器换热</t>
    <phoneticPr fontId="6" type="noConversion"/>
  </si>
  <si>
    <t>回热</t>
    <phoneticPr fontId="5" type="noConversion"/>
  </si>
  <si>
    <t>回热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</si>
</sst>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vertAlign val="superscript"/>
      <sz val="11"/>
      <color rgb="FF3F3F76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2" applyNumberFormat="0" applyFont="0" applyAlignment="0" applyProtection="0">
      <alignment vertical="center"/>
    </xf>
  </cellStyleXfs>
  <cellXfs count="55">
    <xf numFmtId="0" fontId="0" fillId="0" borderId="0" xfId="0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6" borderId="3" xfId="3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7" borderId="3" xfId="1" applyFill="1" applyBorder="1" applyAlignment="1">
      <alignment horizontal="center" vertical="center"/>
    </xf>
    <xf numFmtId="9" fontId="0" fillId="5" borderId="3" xfId="4" applyNumberFormat="1" applyFont="1" applyBorder="1" applyAlignment="1">
      <alignment horizontal="center" vertical="center"/>
    </xf>
    <xf numFmtId="0" fontId="0" fillId="5" borderId="3" xfId="4" applyNumberFormat="1" applyFont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8" borderId="3" xfId="2" applyFill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5" borderId="4" xfId="4" applyNumberFormat="1" applyFont="1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4" fillId="11" borderId="3" xfId="3" applyFill="1" applyBorder="1" applyAlignment="1">
      <alignment horizontal="center" vertical="center"/>
    </xf>
    <xf numFmtId="0" fontId="2" fillId="11" borderId="3" xfId="1" applyFill="1" applyBorder="1" applyAlignment="1">
      <alignment horizontal="center" vertical="center"/>
    </xf>
    <xf numFmtId="0" fontId="0" fillId="11" borderId="3" xfId="4" applyNumberFormat="1" applyFont="1" applyFill="1" applyBorder="1" applyAlignment="1">
      <alignment horizontal="center" vertical="center"/>
    </xf>
    <xf numFmtId="0" fontId="3" fillId="11" borderId="3" xfId="2" applyFill="1" applyBorder="1" applyAlignment="1">
      <alignment horizontal="center" vertical="center"/>
    </xf>
    <xf numFmtId="0" fontId="0" fillId="11" borderId="0" xfId="0" applyFill="1"/>
    <xf numFmtId="0" fontId="0" fillId="10" borderId="3" xfId="4" applyNumberFormat="1" applyFont="1" applyFill="1" applyBorder="1" applyAlignment="1">
      <alignment horizontal="center" vertical="center"/>
    </xf>
    <xf numFmtId="0" fontId="3" fillId="10" borderId="3" xfId="2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9" fontId="0" fillId="12" borderId="3" xfId="4" applyNumberFormat="1" applyFont="1" applyFill="1" applyBorder="1" applyAlignment="1">
      <alignment horizontal="center" vertical="center"/>
    </xf>
    <xf numFmtId="0" fontId="0" fillId="12" borderId="3" xfId="4" applyNumberFormat="1" applyFont="1" applyFill="1" applyBorder="1" applyAlignment="1">
      <alignment horizontal="center" vertical="center"/>
    </xf>
    <xf numFmtId="0" fontId="0" fillId="12" borderId="0" xfId="0" applyFill="1"/>
    <xf numFmtId="0" fontId="3" fillId="12" borderId="3" xfId="2" applyFill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13" borderId="3" xfId="2" applyFill="1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0" fillId="5" borderId="3" xfId="4" applyFont="1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4" fillId="13" borderId="3" xfId="3" applyFill="1" applyBorder="1" applyAlignment="1">
      <alignment horizontal="center" vertical="center"/>
    </xf>
    <xf numFmtId="0" fontId="2" fillId="13" borderId="3" xfId="1" applyFill="1" applyBorder="1" applyAlignment="1">
      <alignment horizontal="center" vertical="center"/>
    </xf>
    <xf numFmtId="0" fontId="0" fillId="13" borderId="3" xfId="4" applyNumberFormat="1" applyFont="1" applyFill="1" applyBorder="1" applyAlignment="1">
      <alignment horizontal="center" vertical="center"/>
    </xf>
    <xf numFmtId="0" fontId="0" fillId="13" borderId="0" xfId="0" applyFill="1"/>
  </cellXfs>
  <cellStyles count="5">
    <cellStyle name="常规" xfId="0" builtinId="0"/>
    <cellStyle name="计算" xfId="3" builtinId="22"/>
    <cellStyle name="适中" xfId="1" builtinId="28"/>
    <cellStyle name="输入" xfId="2" builtinId="20"/>
    <cellStyle name="注释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hr\AppData\Roaming\Microsoft\AddIns\REFPROP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</sheetNames>
    <definedNames>
      <definedName name="Density"/>
      <definedName name="Enthalpy"/>
      <definedName name="Entropy"/>
    </defined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69"/>
  <sheetViews>
    <sheetView tabSelected="1" topLeftCell="A13" zoomScaleNormal="100" workbookViewId="0">
      <pane xSplit="2" topLeftCell="C1" activePane="topRight" state="frozen"/>
      <selection activeCell="A16" sqref="A16"/>
      <selection pane="topRight" activeCell="L23" sqref="L23"/>
    </sheetView>
  </sheetViews>
  <sheetFormatPr defaultRowHeight="13.9" x14ac:dyDescent="0.4"/>
  <cols>
    <col min="1" max="1" width="14.53125" customWidth="1"/>
    <col min="2" max="2" width="22.796875" customWidth="1"/>
    <col min="3" max="3" width="11.53125" customWidth="1"/>
    <col min="4" max="4" width="11.1328125" customWidth="1"/>
    <col min="5" max="8" width="10.86328125" style="54" customWidth="1"/>
    <col min="9" max="9" width="10.86328125" customWidth="1"/>
    <col min="10" max="10" width="10.86328125" style="25" customWidth="1"/>
    <col min="11" max="19" width="10.86328125" customWidth="1"/>
    <col min="20" max="21" width="11.33203125" style="25" customWidth="1"/>
    <col min="22" max="22" width="10.796875" bestFit="1" customWidth="1"/>
    <col min="23" max="23" width="9.86328125" bestFit="1" customWidth="1"/>
    <col min="24" max="25" width="10.796875" bestFit="1" customWidth="1"/>
    <col min="26" max="26" width="10.796875" customWidth="1"/>
    <col min="27" max="27" width="10.796875" bestFit="1" customWidth="1"/>
    <col min="29" max="29" width="9.86328125" bestFit="1" customWidth="1"/>
    <col min="30" max="31" width="9.6640625" bestFit="1" customWidth="1"/>
    <col min="32" max="32" width="9.6640625" customWidth="1"/>
    <col min="33" max="33" width="9.6640625" bestFit="1" customWidth="1"/>
    <col min="34" max="34" width="9.796875" bestFit="1" customWidth="1"/>
  </cols>
  <sheetData>
    <row r="1" spans="1:78" x14ac:dyDescent="0.4">
      <c r="A1" s="1"/>
      <c r="B1" s="2" t="s">
        <v>0</v>
      </c>
      <c r="C1" s="2">
        <v>111902</v>
      </c>
      <c r="D1" s="2">
        <v>111903</v>
      </c>
      <c r="E1" s="50">
        <v>111904</v>
      </c>
      <c r="F1" s="50">
        <v>111905</v>
      </c>
      <c r="G1" s="50">
        <v>111906</v>
      </c>
      <c r="H1" s="50"/>
      <c r="I1" s="2"/>
      <c r="J1" s="20"/>
      <c r="K1" s="2"/>
      <c r="L1" s="2"/>
      <c r="M1" s="2"/>
      <c r="N1" s="3">
        <v>112001</v>
      </c>
      <c r="O1" s="3">
        <v>112002</v>
      </c>
      <c r="P1" s="3">
        <v>112003</v>
      </c>
      <c r="Q1" s="3">
        <v>112004</v>
      </c>
      <c r="R1" s="3">
        <v>112005</v>
      </c>
      <c r="S1" s="3">
        <v>112006</v>
      </c>
      <c r="T1" s="3">
        <v>112007</v>
      </c>
      <c r="U1" s="3">
        <v>112008</v>
      </c>
      <c r="V1" s="3">
        <v>112009</v>
      </c>
      <c r="W1" s="3">
        <v>112010</v>
      </c>
      <c r="X1" s="3">
        <v>112011</v>
      </c>
      <c r="Y1" s="3">
        <v>112012</v>
      </c>
      <c r="Z1" s="3"/>
      <c r="AA1" s="3">
        <v>112013</v>
      </c>
      <c r="AB1" s="3">
        <v>112014</v>
      </c>
      <c r="AC1" s="3">
        <v>112015</v>
      </c>
      <c r="AD1" s="3">
        <v>112016</v>
      </c>
      <c r="AE1" s="3">
        <v>112017</v>
      </c>
      <c r="AF1" s="31">
        <v>112101</v>
      </c>
      <c r="AG1" s="31">
        <v>112102</v>
      </c>
      <c r="AH1" s="31">
        <v>112103</v>
      </c>
      <c r="AI1" s="31">
        <v>112104</v>
      </c>
      <c r="AJ1" s="31">
        <v>112105</v>
      </c>
      <c r="AK1" s="31">
        <v>112106</v>
      </c>
      <c r="AL1" s="31">
        <v>112107</v>
      </c>
      <c r="AM1" s="31">
        <v>112108</v>
      </c>
      <c r="AN1" s="31">
        <v>112109</v>
      </c>
      <c r="AO1" s="31">
        <v>112110</v>
      </c>
      <c r="AP1" s="31">
        <v>112111</v>
      </c>
      <c r="AQ1" s="31">
        <v>112112</v>
      </c>
      <c r="AR1" s="31">
        <v>112113</v>
      </c>
      <c r="AS1" s="31">
        <v>112201</v>
      </c>
      <c r="AT1" s="31"/>
      <c r="AU1" s="31">
        <v>112202</v>
      </c>
      <c r="AV1" s="31">
        <v>112203</v>
      </c>
      <c r="AW1" s="31">
        <v>112204</v>
      </c>
      <c r="AX1" s="31">
        <v>112205</v>
      </c>
      <c r="AY1" s="31">
        <v>112206</v>
      </c>
      <c r="AZ1" s="31">
        <v>112207</v>
      </c>
      <c r="BA1" s="31">
        <v>112208</v>
      </c>
      <c r="BB1" s="31">
        <v>112209</v>
      </c>
      <c r="BC1" s="31">
        <v>112210</v>
      </c>
      <c r="BD1" s="31"/>
      <c r="BE1" s="31"/>
    </row>
    <row r="2" spans="1:78" x14ac:dyDescent="0.4">
      <c r="A2" s="1" t="s">
        <v>1</v>
      </c>
      <c r="B2" s="2" t="s">
        <v>2</v>
      </c>
      <c r="C2" s="4" t="s">
        <v>63</v>
      </c>
      <c r="D2" s="4" t="s">
        <v>63</v>
      </c>
      <c r="E2" s="50" t="s">
        <v>63</v>
      </c>
      <c r="F2" s="50" t="s">
        <v>63</v>
      </c>
      <c r="G2" s="50" t="s">
        <v>63</v>
      </c>
      <c r="H2" s="50" t="s">
        <v>63</v>
      </c>
      <c r="I2" s="4" t="s">
        <v>63</v>
      </c>
      <c r="J2" s="4" t="s">
        <v>63</v>
      </c>
      <c r="K2" s="4" t="s">
        <v>63</v>
      </c>
      <c r="L2" s="4" t="s">
        <v>63</v>
      </c>
      <c r="M2" s="4"/>
      <c r="N2" s="4" t="s">
        <v>3</v>
      </c>
      <c r="O2" s="4" t="s">
        <v>3</v>
      </c>
      <c r="P2" s="4" t="s">
        <v>3</v>
      </c>
      <c r="Q2" s="4" t="s">
        <v>3</v>
      </c>
      <c r="R2" s="4" t="s">
        <v>3</v>
      </c>
      <c r="S2" s="4" t="s">
        <v>3</v>
      </c>
      <c r="T2" s="4" t="s">
        <v>3</v>
      </c>
      <c r="U2" s="4" t="s">
        <v>3</v>
      </c>
      <c r="V2" s="4" t="s">
        <v>3</v>
      </c>
      <c r="W2" s="4" t="s">
        <v>3</v>
      </c>
      <c r="X2" s="4" t="s">
        <v>3</v>
      </c>
      <c r="Y2" s="4" t="s">
        <v>3</v>
      </c>
      <c r="Z2" s="4"/>
      <c r="AA2" s="4" t="s">
        <v>62</v>
      </c>
      <c r="AB2" s="4" t="s">
        <v>62</v>
      </c>
      <c r="AC2" s="4" t="s">
        <v>62</v>
      </c>
      <c r="AD2" s="4" t="s">
        <v>62</v>
      </c>
      <c r="AE2" s="4" t="s">
        <v>62</v>
      </c>
      <c r="AF2" s="4" t="s">
        <v>62</v>
      </c>
      <c r="AG2" s="4" t="s">
        <v>62</v>
      </c>
      <c r="AH2" s="4" t="s">
        <v>62</v>
      </c>
      <c r="AI2" s="4" t="s">
        <v>62</v>
      </c>
      <c r="AJ2" s="4" t="s">
        <v>62</v>
      </c>
      <c r="AK2" s="4" t="s">
        <v>62</v>
      </c>
      <c r="AL2" s="4" t="s">
        <v>62</v>
      </c>
      <c r="AM2" s="4" t="s">
        <v>62</v>
      </c>
      <c r="AN2" s="4" t="s">
        <v>62</v>
      </c>
      <c r="AO2" s="4" t="s">
        <v>62</v>
      </c>
      <c r="AP2" s="4" t="s">
        <v>62</v>
      </c>
      <c r="AQ2" s="4" t="s">
        <v>62</v>
      </c>
      <c r="AR2" s="4" t="s">
        <v>62</v>
      </c>
      <c r="AS2" s="4" t="s">
        <v>62</v>
      </c>
      <c r="AT2" s="4"/>
      <c r="AU2" s="4" t="s">
        <v>62</v>
      </c>
      <c r="AV2" s="4" t="s">
        <v>62</v>
      </c>
      <c r="AW2" s="4" t="s">
        <v>62</v>
      </c>
      <c r="AX2" s="4" t="s">
        <v>62</v>
      </c>
      <c r="AY2" s="4" t="s">
        <v>62</v>
      </c>
      <c r="AZ2" s="4" t="s">
        <v>62</v>
      </c>
      <c r="BA2" s="4" t="s">
        <v>62</v>
      </c>
      <c r="BB2" s="4" t="s">
        <v>62</v>
      </c>
      <c r="BC2" s="4" t="s">
        <v>62</v>
      </c>
      <c r="BD2" s="4"/>
      <c r="BE2" s="4" t="s">
        <v>62</v>
      </c>
      <c r="BF2" s="4" t="s">
        <v>62</v>
      </c>
      <c r="BG2" s="4" t="s">
        <v>62</v>
      </c>
      <c r="BH2" s="4" t="s">
        <v>62</v>
      </c>
      <c r="BI2" s="4" t="s">
        <v>62</v>
      </c>
      <c r="BJ2" s="4" t="s">
        <v>62</v>
      </c>
      <c r="BK2" s="4" t="s">
        <v>62</v>
      </c>
      <c r="BL2" s="4" t="s">
        <v>62</v>
      </c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</row>
    <row r="3" spans="1:78" x14ac:dyDescent="0.4">
      <c r="A3" s="46" t="s">
        <v>4</v>
      </c>
      <c r="B3" s="5" t="s">
        <v>5</v>
      </c>
      <c r="C3" s="6">
        <v>27</v>
      </c>
      <c r="D3" s="6">
        <v>27</v>
      </c>
      <c r="E3" s="51">
        <v>27</v>
      </c>
      <c r="F3" s="51">
        <v>27</v>
      </c>
      <c r="G3" s="51">
        <v>27</v>
      </c>
      <c r="H3" s="51">
        <v>27</v>
      </c>
      <c r="I3" s="6">
        <v>27</v>
      </c>
      <c r="J3" s="21">
        <v>27</v>
      </c>
      <c r="K3" s="6">
        <v>27</v>
      </c>
      <c r="L3" s="6">
        <v>27</v>
      </c>
      <c r="M3" s="6"/>
      <c r="N3" s="6">
        <v>27</v>
      </c>
      <c r="O3" s="6">
        <v>27</v>
      </c>
      <c r="P3" s="6">
        <v>27</v>
      </c>
      <c r="Q3" s="6">
        <v>27</v>
      </c>
      <c r="R3" s="6">
        <v>27</v>
      </c>
      <c r="S3" s="6">
        <v>27</v>
      </c>
      <c r="T3" s="6">
        <v>27</v>
      </c>
      <c r="U3" s="6">
        <v>27</v>
      </c>
      <c r="V3" s="6">
        <v>27</v>
      </c>
      <c r="W3" s="6">
        <v>27</v>
      </c>
      <c r="X3" s="6">
        <v>27</v>
      </c>
      <c r="Y3" s="6">
        <v>27</v>
      </c>
      <c r="Z3" s="6"/>
      <c r="AA3" s="6">
        <v>27</v>
      </c>
      <c r="AB3" s="6">
        <v>27</v>
      </c>
      <c r="AC3" s="6">
        <v>27</v>
      </c>
      <c r="AD3" s="6">
        <v>27</v>
      </c>
      <c r="AE3" s="6">
        <v>27</v>
      </c>
      <c r="AF3" s="6">
        <v>27</v>
      </c>
      <c r="AG3" s="6">
        <v>27</v>
      </c>
      <c r="AH3" s="6">
        <v>27</v>
      </c>
      <c r="AI3" s="6">
        <v>27</v>
      </c>
      <c r="AJ3" s="6">
        <v>27</v>
      </c>
      <c r="AK3" s="6">
        <v>27</v>
      </c>
      <c r="AL3" s="6">
        <v>27</v>
      </c>
      <c r="AM3" s="6">
        <v>27</v>
      </c>
      <c r="AN3" s="6">
        <v>27</v>
      </c>
      <c r="AO3" s="6">
        <v>27</v>
      </c>
      <c r="AP3" s="6">
        <v>27</v>
      </c>
      <c r="AQ3" s="6">
        <v>27</v>
      </c>
      <c r="AR3" s="6">
        <v>27</v>
      </c>
      <c r="AS3" s="6">
        <v>27</v>
      </c>
      <c r="AT3" s="6"/>
      <c r="AU3" s="6">
        <v>27</v>
      </c>
      <c r="AV3" s="6">
        <v>27</v>
      </c>
      <c r="AW3" s="6">
        <v>27</v>
      </c>
      <c r="AX3" s="6">
        <v>27</v>
      </c>
      <c r="AY3" s="6">
        <v>27</v>
      </c>
      <c r="AZ3" s="6">
        <v>27</v>
      </c>
      <c r="BA3" s="6">
        <v>27</v>
      </c>
      <c r="BB3" s="6">
        <v>27</v>
      </c>
      <c r="BC3" s="6">
        <v>27</v>
      </c>
      <c r="BD3" s="6"/>
      <c r="BE3" s="6">
        <v>27</v>
      </c>
      <c r="BF3" s="6">
        <v>27</v>
      </c>
      <c r="BG3" s="6">
        <v>27</v>
      </c>
      <c r="BH3" s="6">
        <v>27</v>
      </c>
      <c r="BI3" s="6">
        <v>27</v>
      </c>
      <c r="BJ3" s="6">
        <v>27</v>
      </c>
      <c r="BK3" s="6">
        <v>27</v>
      </c>
      <c r="BL3" s="6">
        <v>27</v>
      </c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</row>
    <row r="4" spans="1:78" x14ac:dyDescent="0.4">
      <c r="A4" s="46"/>
      <c r="B4" s="5" t="s">
        <v>6</v>
      </c>
      <c r="C4" s="6">
        <v>19.600000000000001</v>
      </c>
      <c r="D4" s="6">
        <v>19.5</v>
      </c>
      <c r="E4" s="51">
        <v>19.5</v>
      </c>
      <c r="F4" s="51">
        <v>19.5</v>
      </c>
      <c r="G4" s="51">
        <v>19.5</v>
      </c>
      <c r="H4" s="51">
        <v>19.5</v>
      </c>
      <c r="I4" s="6">
        <v>19.5</v>
      </c>
      <c r="J4" s="21">
        <v>19.5</v>
      </c>
      <c r="K4" s="6">
        <v>19.5</v>
      </c>
      <c r="L4" s="6">
        <v>19.5</v>
      </c>
      <c r="M4" s="6"/>
      <c r="N4" s="6">
        <v>19.5</v>
      </c>
      <c r="O4" s="6">
        <v>19.5</v>
      </c>
      <c r="P4" s="6">
        <v>19.5</v>
      </c>
      <c r="Q4" s="6">
        <v>19.5</v>
      </c>
      <c r="R4" s="6">
        <v>19.5</v>
      </c>
      <c r="S4" s="6">
        <v>19.5</v>
      </c>
      <c r="T4" s="6">
        <v>19.5</v>
      </c>
      <c r="U4" s="6">
        <v>19.5</v>
      </c>
      <c r="V4" s="6">
        <v>19.5</v>
      </c>
      <c r="W4" s="6">
        <v>19.5</v>
      </c>
      <c r="X4" s="6">
        <v>19.5</v>
      </c>
      <c r="Y4" s="6">
        <v>19.5</v>
      </c>
      <c r="Z4" s="6"/>
      <c r="AA4" s="6">
        <v>19.5</v>
      </c>
      <c r="AB4" s="6">
        <v>19.5</v>
      </c>
      <c r="AC4" s="6">
        <v>19.5</v>
      </c>
      <c r="AD4" s="6">
        <v>19.5</v>
      </c>
      <c r="AE4" s="6">
        <v>19.5</v>
      </c>
      <c r="AF4" s="6">
        <v>19.5</v>
      </c>
      <c r="AG4" s="6">
        <v>19.5</v>
      </c>
      <c r="AH4" s="6">
        <v>19.5</v>
      </c>
      <c r="AI4" s="6">
        <v>19.5</v>
      </c>
      <c r="AJ4" s="6">
        <v>19.5</v>
      </c>
      <c r="AK4" s="6">
        <v>19.5</v>
      </c>
      <c r="AL4" s="6">
        <v>19.5</v>
      </c>
      <c r="AM4" s="6">
        <v>19.5</v>
      </c>
      <c r="AN4" s="6">
        <v>19.5</v>
      </c>
      <c r="AO4" s="6">
        <v>19.5</v>
      </c>
      <c r="AP4" s="6">
        <v>19.5</v>
      </c>
      <c r="AQ4" s="6">
        <v>19.5</v>
      </c>
      <c r="AR4" s="6">
        <v>19.5</v>
      </c>
      <c r="AS4" s="6">
        <v>19.5</v>
      </c>
      <c r="AT4" s="6"/>
      <c r="AU4" s="6">
        <v>19.5</v>
      </c>
      <c r="AV4" s="6">
        <v>19.5</v>
      </c>
      <c r="AW4" s="6">
        <v>19.5</v>
      </c>
      <c r="AX4" s="6">
        <v>19.5</v>
      </c>
      <c r="AY4" s="6">
        <v>19.5</v>
      </c>
      <c r="AZ4" s="6">
        <v>19.5</v>
      </c>
      <c r="BA4" s="6">
        <v>19.5</v>
      </c>
      <c r="BB4" s="6">
        <v>19.5</v>
      </c>
      <c r="BC4" s="6">
        <v>19.5</v>
      </c>
      <c r="BD4" s="6"/>
      <c r="BE4" s="6">
        <v>19.5</v>
      </c>
      <c r="BF4" s="6">
        <v>19.5</v>
      </c>
      <c r="BG4" s="6">
        <v>19.5</v>
      </c>
      <c r="BH4" s="6">
        <v>19.5</v>
      </c>
      <c r="BI4" s="6">
        <v>19.5</v>
      </c>
      <c r="BJ4" s="6">
        <v>19.5</v>
      </c>
      <c r="BK4" s="6">
        <v>19.5</v>
      </c>
      <c r="BL4" s="6">
        <v>19.5</v>
      </c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</row>
    <row r="5" spans="1:78" x14ac:dyDescent="0.4">
      <c r="A5" s="46"/>
      <c r="B5" s="5" t="s">
        <v>7</v>
      </c>
      <c r="C5" s="6">
        <v>40</v>
      </c>
      <c r="D5" s="6">
        <v>40</v>
      </c>
      <c r="E5" s="51">
        <v>40</v>
      </c>
      <c r="F5" s="51">
        <v>40</v>
      </c>
      <c r="G5" s="51">
        <v>40</v>
      </c>
      <c r="H5" s="51">
        <v>40</v>
      </c>
      <c r="I5" s="6">
        <v>40</v>
      </c>
      <c r="J5" s="21">
        <v>40</v>
      </c>
      <c r="K5" s="6">
        <v>40</v>
      </c>
      <c r="L5" s="6">
        <v>40</v>
      </c>
      <c r="M5" s="6"/>
      <c r="N5" s="6">
        <v>40</v>
      </c>
      <c r="O5" s="6">
        <v>40</v>
      </c>
      <c r="P5" s="6">
        <v>40</v>
      </c>
      <c r="Q5" s="6">
        <v>40</v>
      </c>
      <c r="R5" s="6">
        <v>40</v>
      </c>
      <c r="S5" s="6">
        <v>40</v>
      </c>
      <c r="T5" s="6">
        <v>40</v>
      </c>
      <c r="U5" s="6">
        <v>40</v>
      </c>
      <c r="V5" s="6">
        <v>40</v>
      </c>
      <c r="W5" s="6">
        <v>40</v>
      </c>
      <c r="X5" s="6">
        <v>40</v>
      </c>
      <c r="Y5" s="6">
        <v>40</v>
      </c>
      <c r="Z5" s="6"/>
      <c r="AA5" s="6">
        <v>40</v>
      </c>
      <c r="AB5" s="6">
        <v>40</v>
      </c>
      <c r="AC5" s="6">
        <v>40</v>
      </c>
      <c r="AD5" s="6">
        <v>40</v>
      </c>
      <c r="AE5" s="6">
        <v>40</v>
      </c>
      <c r="AF5" s="6">
        <v>40</v>
      </c>
      <c r="AG5" s="6">
        <v>40</v>
      </c>
      <c r="AH5" s="6">
        <v>40</v>
      </c>
      <c r="AI5" s="6">
        <v>40</v>
      </c>
      <c r="AJ5" s="6">
        <v>40</v>
      </c>
      <c r="AK5" s="6">
        <v>40</v>
      </c>
      <c r="AL5" s="6">
        <v>40</v>
      </c>
      <c r="AM5" s="6">
        <v>40</v>
      </c>
      <c r="AN5" s="6">
        <v>40</v>
      </c>
      <c r="AO5" s="6">
        <v>40</v>
      </c>
      <c r="AP5" s="6">
        <v>40</v>
      </c>
      <c r="AQ5" s="6">
        <v>40</v>
      </c>
      <c r="AR5" s="6">
        <v>40</v>
      </c>
      <c r="AS5" s="6">
        <v>40</v>
      </c>
      <c r="AT5" s="6"/>
      <c r="AU5" s="6">
        <v>40</v>
      </c>
      <c r="AV5" s="6">
        <v>40</v>
      </c>
      <c r="AW5" s="6">
        <v>40</v>
      </c>
      <c r="AX5" s="6">
        <v>40</v>
      </c>
      <c r="AY5" s="6">
        <v>40</v>
      </c>
      <c r="AZ5" s="6">
        <v>40</v>
      </c>
      <c r="BA5" s="6">
        <v>40</v>
      </c>
      <c r="BB5" s="6">
        <v>40</v>
      </c>
      <c r="BC5" s="6">
        <v>40</v>
      </c>
      <c r="BD5" s="6"/>
      <c r="BE5" s="6">
        <v>40</v>
      </c>
      <c r="BF5" s="6">
        <v>40</v>
      </c>
      <c r="BG5" s="6">
        <v>40</v>
      </c>
      <c r="BH5" s="6">
        <v>40</v>
      </c>
      <c r="BI5" s="6">
        <v>40</v>
      </c>
      <c r="BJ5" s="6">
        <v>40</v>
      </c>
      <c r="BK5" s="6">
        <v>40</v>
      </c>
      <c r="BL5" s="6">
        <v>40</v>
      </c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</row>
    <row r="6" spans="1:78" x14ac:dyDescent="0.4">
      <c r="A6" s="46"/>
      <c r="B6" s="5" t="s">
        <v>8</v>
      </c>
      <c r="C6" s="6">
        <v>30.2</v>
      </c>
      <c r="D6" s="6">
        <v>30.2</v>
      </c>
      <c r="E6" s="51">
        <v>30.2</v>
      </c>
      <c r="F6" s="51">
        <v>30.2</v>
      </c>
      <c r="G6" s="51">
        <v>30.2</v>
      </c>
      <c r="H6" s="51">
        <v>30.2</v>
      </c>
      <c r="I6" s="6">
        <v>30.2</v>
      </c>
      <c r="J6" s="21">
        <v>30.2</v>
      </c>
      <c r="K6" s="6">
        <v>30.2</v>
      </c>
      <c r="L6" s="6">
        <v>30.2</v>
      </c>
      <c r="M6" s="6"/>
      <c r="N6" s="6">
        <v>30.2</v>
      </c>
      <c r="O6" s="6">
        <v>30.2</v>
      </c>
      <c r="P6" s="6">
        <v>30.2</v>
      </c>
      <c r="Q6" s="6">
        <v>30.2</v>
      </c>
      <c r="R6" s="6">
        <v>30.2</v>
      </c>
      <c r="S6" s="6">
        <v>30.2</v>
      </c>
      <c r="T6" s="6">
        <v>30.2</v>
      </c>
      <c r="U6" s="6">
        <v>30.2</v>
      </c>
      <c r="V6" s="6">
        <v>30.2</v>
      </c>
      <c r="W6" s="6">
        <v>30.2</v>
      </c>
      <c r="X6" s="6">
        <v>30.2</v>
      </c>
      <c r="Y6" s="6">
        <v>30.2</v>
      </c>
      <c r="Z6" s="6"/>
      <c r="AA6" s="6">
        <v>30.2</v>
      </c>
      <c r="AB6" s="6">
        <v>30.2</v>
      </c>
      <c r="AC6" s="6">
        <v>30.2</v>
      </c>
      <c r="AD6" s="6">
        <v>30.2</v>
      </c>
      <c r="AE6" s="6">
        <v>30.2</v>
      </c>
      <c r="AF6" s="6">
        <v>30.2</v>
      </c>
      <c r="AG6" s="6">
        <v>30.2</v>
      </c>
      <c r="AH6" s="6">
        <v>30.2</v>
      </c>
      <c r="AI6" s="6">
        <v>30.2</v>
      </c>
      <c r="AJ6" s="6">
        <v>30.2</v>
      </c>
      <c r="AK6" s="6">
        <v>30.2</v>
      </c>
      <c r="AL6" s="6">
        <v>30.2</v>
      </c>
      <c r="AM6" s="6">
        <v>30.2</v>
      </c>
      <c r="AN6" s="6">
        <v>30.2</v>
      </c>
      <c r="AO6" s="6">
        <v>30.2</v>
      </c>
      <c r="AP6" s="6">
        <v>30.2</v>
      </c>
      <c r="AQ6" s="6">
        <v>30.2</v>
      </c>
      <c r="AR6" s="6">
        <v>30.2</v>
      </c>
      <c r="AS6" s="6">
        <v>30.2</v>
      </c>
      <c r="AT6" s="6"/>
      <c r="AU6" s="6">
        <v>30.2</v>
      </c>
      <c r="AV6" s="6">
        <v>30.2</v>
      </c>
      <c r="AW6" s="6">
        <v>30.2</v>
      </c>
      <c r="AX6" s="6">
        <v>30.2</v>
      </c>
      <c r="AY6" s="6">
        <v>30.2</v>
      </c>
      <c r="AZ6" s="6">
        <v>30.2</v>
      </c>
      <c r="BA6" s="6">
        <v>30.2</v>
      </c>
      <c r="BB6" s="6">
        <v>30.2</v>
      </c>
      <c r="BC6" s="6">
        <v>30.2</v>
      </c>
      <c r="BD6" s="6"/>
      <c r="BE6" s="6">
        <v>30.2</v>
      </c>
      <c r="BF6" s="6">
        <v>30.2</v>
      </c>
      <c r="BG6" s="6">
        <v>30.2</v>
      </c>
      <c r="BH6" s="6">
        <v>30.2</v>
      </c>
      <c r="BI6" s="6">
        <v>30.2</v>
      </c>
      <c r="BJ6" s="6">
        <v>30.2</v>
      </c>
      <c r="BK6" s="6">
        <v>30.2</v>
      </c>
      <c r="BL6" s="6">
        <v>30.2</v>
      </c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</row>
    <row r="7" spans="1:78" x14ac:dyDescent="0.4">
      <c r="A7" s="47" t="s">
        <v>9</v>
      </c>
      <c r="B7" s="7" t="s">
        <v>10</v>
      </c>
      <c r="C7" s="7">
        <v>34.25</v>
      </c>
      <c r="D7" s="7">
        <v>33.94</v>
      </c>
      <c r="E7" s="52">
        <v>35.1</v>
      </c>
      <c r="F7" s="52">
        <v>35</v>
      </c>
      <c r="G7" s="52">
        <v>33.94</v>
      </c>
      <c r="H7" s="52">
        <v>34.68</v>
      </c>
      <c r="I7" s="18">
        <v>34.340000000000003</v>
      </c>
      <c r="J7" s="22">
        <v>35.5</v>
      </c>
      <c r="K7" s="14">
        <v>35.28</v>
      </c>
      <c r="L7" s="7">
        <v>34.04</v>
      </c>
      <c r="M7" s="33"/>
      <c r="N7" s="7">
        <v>4.47</v>
      </c>
      <c r="O7" s="7">
        <v>4.2</v>
      </c>
      <c r="P7" s="7">
        <v>4.33</v>
      </c>
      <c r="Q7" s="7">
        <v>4.42</v>
      </c>
      <c r="R7" s="7">
        <v>5.56</v>
      </c>
      <c r="S7" s="7">
        <v>1.04</v>
      </c>
      <c r="T7" s="41">
        <v>0.63</v>
      </c>
      <c r="U7" s="41">
        <v>0.52</v>
      </c>
      <c r="V7" s="7">
        <v>0.68</v>
      </c>
      <c r="W7" s="18">
        <v>-2.0299999999999998</v>
      </c>
      <c r="X7" s="7">
        <v>-2.39</v>
      </c>
      <c r="Y7" s="7">
        <v>-2.4700000000000002</v>
      </c>
      <c r="Z7" s="33"/>
      <c r="AA7" s="7">
        <v>34.65</v>
      </c>
      <c r="AB7" s="7">
        <v>35.64</v>
      </c>
      <c r="AC7" s="7">
        <v>35.96</v>
      </c>
      <c r="AD7" s="7">
        <v>35.22</v>
      </c>
      <c r="AE7" s="7">
        <v>35.799999999999997</v>
      </c>
      <c r="AF7" s="28">
        <v>35.54</v>
      </c>
      <c r="AG7" s="7">
        <v>35.46</v>
      </c>
      <c r="AH7" s="7">
        <v>34.340000000000003</v>
      </c>
      <c r="AI7" s="7">
        <v>34.17</v>
      </c>
      <c r="AJ7" s="28">
        <v>34.68</v>
      </c>
      <c r="AK7" s="7">
        <v>34.42</v>
      </c>
      <c r="AL7" s="7">
        <v>35.07</v>
      </c>
      <c r="AM7" s="7">
        <v>35.54</v>
      </c>
      <c r="AN7" s="35">
        <v>34.74</v>
      </c>
      <c r="AO7" s="35">
        <v>35.15</v>
      </c>
      <c r="AP7" s="35">
        <v>35.1</v>
      </c>
      <c r="AQ7" s="35">
        <v>34.159999999999997</v>
      </c>
      <c r="AR7" s="35">
        <v>34.22</v>
      </c>
      <c r="AS7" s="35">
        <v>34.869999999999997</v>
      </c>
      <c r="AT7" s="41"/>
      <c r="AU7" s="35">
        <v>34.270000000000003</v>
      </c>
      <c r="AV7" s="35">
        <v>34.85</v>
      </c>
      <c r="AW7" s="35">
        <v>35.340000000000003</v>
      </c>
      <c r="AX7" s="35">
        <v>34.72</v>
      </c>
      <c r="AY7" s="35">
        <v>35.07</v>
      </c>
      <c r="AZ7" s="35">
        <v>35.24</v>
      </c>
      <c r="BA7" s="35">
        <v>32.89</v>
      </c>
      <c r="BB7" s="35">
        <v>32.119999999999997</v>
      </c>
      <c r="BC7" s="35">
        <v>33.909999999999997</v>
      </c>
      <c r="BD7" s="43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</row>
    <row r="8" spans="1:78" x14ac:dyDescent="0.4">
      <c r="A8" s="47"/>
      <c r="B8" s="7" t="s">
        <v>11</v>
      </c>
      <c r="C8" s="7">
        <v>135.71</v>
      </c>
      <c r="D8" s="7">
        <v>132.66</v>
      </c>
      <c r="E8" s="52">
        <v>134.69999999999999</v>
      </c>
      <c r="F8" s="52">
        <v>131.31</v>
      </c>
      <c r="G8" s="52">
        <v>119.04</v>
      </c>
      <c r="H8" s="52">
        <v>135.03</v>
      </c>
      <c r="I8" s="18">
        <v>134.38999999999999</v>
      </c>
      <c r="J8" s="22">
        <v>123.84</v>
      </c>
      <c r="K8" s="14">
        <v>115.15</v>
      </c>
      <c r="L8" s="7">
        <v>104.41</v>
      </c>
      <c r="M8" s="33"/>
      <c r="N8" s="7">
        <v>103.91</v>
      </c>
      <c r="O8" s="7">
        <v>99.27</v>
      </c>
      <c r="P8" s="7">
        <v>94.87</v>
      </c>
      <c r="Q8" s="7">
        <v>89.46</v>
      </c>
      <c r="R8" s="7">
        <v>82.22</v>
      </c>
      <c r="S8" s="7">
        <v>91.8</v>
      </c>
      <c r="T8" s="41">
        <v>97.23</v>
      </c>
      <c r="U8" s="41">
        <v>102.19</v>
      </c>
      <c r="V8" s="7">
        <v>107.34</v>
      </c>
      <c r="W8" s="18">
        <v>100.09</v>
      </c>
      <c r="X8" s="7">
        <v>105.44</v>
      </c>
      <c r="Y8" s="7">
        <v>110.32</v>
      </c>
      <c r="Z8" s="33"/>
      <c r="AA8" s="7">
        <v>134.38999999999999</v>
      </c>
      <c r="AB8" s="7">
        <v>128.75</v>
      </c>
      <c r="AC8" s="7">
        <v>123.77</v>
      </c>
      <c r="AD8" s="7">
        <v>110.9</v>
      </c>
      <c r="AE8" s="7">
        <v>126.31</v>
      </c>
      <c r="AF8" s="28">
        <v>135.02000000000001</v>
      </c>
      <c r="AG8" s="7">
        <v>131.74</v>
      </c>
      <c r="AH8" s="7">
        <v>119.04</v>
      </c>
      <c r="AI8" s="7">
        <v>132.22</v>
      </c>
      <c r="AJ8" s="28">
        <v>137.68</v>
      </c>
      <c r="AK8" s="7">
        <v>133.30000000000001</v>
      </c>
      <c r="AL8" s="7">
        <v>129.08000000000001</v>
      </c>
      <c r="AM8" s="7">
        <v>123.44</v>
      </c>
      <c r="AN8" s="35">
        <v>109.22</v>
      </c>
      <c r="AO8" s="35">
        <v>135.19999999999999</v>
      </c>
      <c r="AP8" s="35">
        <v>131.44</v>
      </c>
      <c r="AQ8" s="35">
        <v>118.09</v>
      </c>
      <c r="AR8" s="35">
        <v>132.04</v>
      </c>
      <c r="AS8" s="35">
        <v>136.30000000000001</v>
      </c>
      <c r="AT8" s="41"/>
      <c r="AU8" s="35">
        <v>136.27000000000001</v>
      </c>
      <c r="AV8" s="35">
        <v>130.6</v>
      </c>
      <c r="AW8" s="35">
        <v>122.34</v>
      </c>
      <c r="AX8" s="35">
        <v>108.45</v>
      </c>
      <c r="AY8" s="35">
        <v>135.97999999999999</v>
      </c>
      <c r="AZ8" s="35">
        <v>131.12</v>
      </c>
      <c r="BA8" s="35">
        <v>115.93</v>
      </c>
      <c r="BB8" s="35">
        <v>127.46</v>
      </c>
      <c r="BC8" s="35">
        <v>136.93</v>
      </c>
      <c r="BD8" s="43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</row>
    <row r="9" spans="1:78" x14ac:dyDescent="0.4">
      <c r="A9" s="47"/>
      <c r="B9" s="7" t="s">
        <v>12</v>
      </c>
      <c r="C9" s="7">
        <v>130.68</v>
      </c>
      <c r="D9" s="7">
        <v>127.92</v>
      </c>
      <c r="E9" s="52">
        <v>129.68</v>
      </c>
      <c r="F9" s="52">
        <v>126.32</v>
      </c>
      <c r="G9" s="52">
        <v>114.84</v>
      </c>
      <c r="H9" s="52">
        <v>120.49</v>
      </c>
      <c r="I9" s="18">
        <v>128.9</v>
      </c>
      <c r="J9" s="22">
        <v>119.05</v>
      </c>
      <c r="K9" s="14">
        <v>110.91</v>
      </c>
      <c r="L9" s="7">
        <v>100.86</v>
      </c>
      <c r="M9" s="33"/>
      <c r="N9" s="7">
        <v>100.74</v>
      </c>
      <c r="O9" s="7">
        <v>96.31</v>
      </c>
      <c r="P9" s="7">
        <v>92.11</v>
      </c>
      <c r="Q9" s="7">
        <v>87</v>
      </c>
      <c r="R9" s="7">
        <v>79.98</v>
      </c>
      <c r="S9" s="7">
        <v>89.31</v>
      </c>
      <c r="T9" s="41">
        <v>94.52</v>
      </c>
      <c r="U9" s="41">
        <v>99.17</v>
      </c>
      <c r="V9" s="7">
        <v>104.2</v>
      </c>
      <c r="W9" s="18">
        <v>97.22</v>
      </c>
      <c r="X9" s="7">
        <v>102.22</v>
      </c>
      <c r="Y9" s="7">
        <v>106.94</v>
      </c>
      <c r="Z9" s="33"/>
      <c r="AA9" s="7">
        <v>129.38999999999999</v>
      </c>
      <c r="AB9" s="7">
        <v>123.75</v>
      </c>
      <c r="AC9" s="7">
        <v>118.77</v>
      </c>
      <c r="AD9" s="7">
        <v>106.55</v>
      </c>
      <c r="AE9" s="7">
        <v>120.88</v>
      </c>
      <c r="AF9" s="28">
        <v>129.57</v>
      </c>
      <c r="AG9" s="7">
        <v>126.38</v>
      </c>
      <c r="AH9" s="7">
        <v>114.37</v>
      </c>
      <c r="AI9" s="7">
        <v>127.04</v>
      </c>
      <c r="AJ9" s="28">
        <v>132.06</v>
      </c>
      <c r="AK9" s="7">
        <v>127.53</v>
      </c>
      <c r="AL9" s="7">
        <v>123.68</v>
      </c>
      <c r="AM9" s="7">
        <v>118.4</v>
      </c>
      <c r="AN9" s="35">
        <v>105.24</v>
      </c>
      <c r="AO9" s="35">
        <v>129.83000000000001</v>
      </c>
      <c r="AP9" s="35">
        <v>126.38</v>
      </c>
      <c r="AQ9" s="35">
        <v>113.74</v>
      </c>
      <c r="AR9" s="35">
        <v>127.01</v>
      </c>
      <c r="AS9" s="35">
        <v>131.13</v>
      </c>
      <c r="AT9" s="41"/>
      <c r="AU9" s="35">
        <v>130.46</v>
      </c>
      <c r="AV9" s="35">
        <v>125.17</v>
      </c>
      <c r="AW9" s="35">
        <v>117.54</v>
      </c>
      <c r="AX9" s="35">
        <v>104.5</v>
      </c>
      <c r="AY9" s="35">
        <v>130.6</v>
      </c>
      <c r="AZ9" s="35">
        <v>126.06</v>
      </c>
      <c r="BA9" s="35">
        <v>111.8</v>
      </c>
      <c r="BB9" s="35">
        <v>122.73</v>
      </c>
      <c r="BC9" s="35">
        <v>131.72</v>
      </c>
      <c r="BD9" s="43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</row>
    <row r="10" spans="1:78" x14ac:dyDescent="0.4">
      <c r="A10" s="47"/>
      <c r="B10" s="7" t="s">
        <v>13</v>
      </c>
      <c r="C10" s="7">
        <v>42.7</v>
      </c>
      <c r="D10" s="7">
        <v>42.55</v>
      </c>
      <c r="E10" s="52">
        <v>42.74</v>
      </c>
      <c r="F10" s="52">
        <v>42.58</v>
      </c>
      <c r="G10" s="52">
        <v>41.91</v>
      </c>
      <c r="H10" s="52">
        <v>42.32</v>
      </c>
      <c r="I10" s="18">
        <v>41.99</v>
      </c>
      <c r="J10" s="22">
        <v>42.24</v>
      </c>
      <c r="K10" s="14">
        <v>42.04</v>
      </c>
      <c r="L10" s="7">
        <v>41.47</v>
      </c>
      <c r="M10" s="33"/>
      <c r="N10" s="7">
        <v>42.14</v>
      </c>
      <c r="O10" s="7">
        <v>42.26</v>
      </c>
      <c r="P10" s="7">
        <v>42.59</v>
      </c>
      <c r="Q10" s="7">
        <v>42.82</v>
      </c>
      <c r="R10" s="7">
        <v>43.01</v>
      </c>
      <c r="S10" s="7">
        <v>43.54</v>
      </c>
      <c r="T10" s="41">
        <v>43.24</v>
      </c>
      <c r="U10" s="41">
        <v>42.81</v>
      </c>
      <c r="V10" s="7">
        <v>42.79</v>
      </c>
      <c r="W10" s="18">
        <v>43.87</v>
      </c>
      <c r="X10" s="7">
        <v>43.45</v>
      </c>
      <c r="Y10" s="7">
        <v>43.27</v>
      </c>
      <c r="Z10" s="33"/>
      <c r="AA10" s="7">
        <v>41.98</v>
      </c>
      <c r="AB10" s="7">
        <v>42.21</v>
      </c>
      <c r="AC10" s="7">
        <v>42.29</v>
      </c>
      <c r="AD10" s="7">
        <v>41.66</v>
      </c>
      <c r="AE10" s="7">
        <v>42.3</v>
      </c>
      <c r="AF10" s="28">
        <v>43.13</v>
      </c>
      <c r="AG10" s="7">
        <v>42.95</v>
      </c>
      <c r="AH10" s="7">
        <v>42.22</v>
      </c>
      <c r="AI10" s="7">
        <v>42.69</v>
      </c>
      <c r="AJ10" s="28">
        <v>42.94</v>
      </c>
      <c r="AK10" s="7">
        <v>42.15</v>
      </c>
      <c r="AL10" s="7">
        <v>42.27</v>
      </c>
      <c r="AM10" s="7">
        <v>42.21</v>
      </c>
      <c r="AN10" s="35">
        <v>41.74</v>
      </c>
      <c r="AO10" s="35">
        <v>42.71</v>
      </c>
      <c r="AP10" s="35">
        <v>42.58</v>
      </c>
      <c r="AQ10" s="35">
        <v>41.93</v>
      </c>
      <c r="AR10" s="35">
        <v>42.53</v>
      </c>
      <c r="AS10" s="35">
        <v>43.07</v>
      </c>
      <c r="AT10" s="41"/>
      <c r="AU10" s="35">
        <v>42.26</v>
      </c>
      <c r="AV10" s="35">
        <v>42.37</v>
      </c>
      <c r="AW10" s="35">
        <v>42.42</v>
      </c>
      <c r="AX10" s="35">
        <v>41.83</v>
      </c>
      <c r="AY10" s="35">
        <v>42.71</v>
      </c>
      <c r="AZ10" s="35">
        <v>42.63</v>
      </c>
      <c r="BA10" s="35">
        <v>41.97</v>
      </c>
      <c r="BB10" s="35">
        <v>42.49</v>
      </c>
      <c r="BC10" s="35">
        <v>42.87</v>
      </c>
      <c r="BD10" s="43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</row>
    <row r="11" spans="1:78" x14ac:dyDescent="0.4">
      <c r="A11" s="47"/>
      <c r="B11" s="7" t="s">
        <v>14</v>
      </c>
      <c r="C11" s="7">
        <v>42.47</v>
      </c>
      <c r="D11" s="7">
        <v>42.28</v>
      </c>
      <c r="E11" s="52">
        <v>42.63</v>
      </c>
      <c r="F11" s="52">
        <v>42.44</v>
      </c>
      <c r="G11" s="52">
        <v>41.64</v>
      </c>
      <c r="H11" s="52">
        <v>42.09</v>
      </c>
      <c r="I11" s="18">
        <v>41.94</v>
      </c>
      <c r="J11" s="22">
        <v>42.14</v>
      </c>
      <c r="K11" s="14">
        <v>41.91</v>
      </c>
      <c r="L11" s="7">
        <v>41.22</v>
      </c>
      <c r="M11" s="33"/>
      <c r="N11" s="7">
        <v>42.19</v>
      </c>
      <c r="O11" s="7">
        <v>42.29</v>
      </c>
      <c r="P11" s="7">
        <v>42.6</v>
      </c>
      <c r="Q11" s="7">
        <v>42.8</v>
      </c>
      <c r="R11" s="7">
        <v>42.91</v>
      </c>
      <c r="S11" s="7">
        <v>43.4</v>
      </c>
      <c r="T11" s="41">
        <v>43.17</v>
      </c>
      <c r="U11" s="41">
        <v>42.77</v>
      </c>
      <c r="V11" s="7">
        <v>42.75</v>
      </c>
      <c r="W11" s="18">
        <v>43.73</v>
      </c>
      <c r="X11" s="7">
        <v>43.35</v>
      </c>
      <c r="Y11" s="7">
        <v>43.23</v>
      </c>
      <c r="Z11" s="33"/>
      <c r="AA11" s="7">
        <v>41.96</v>
      </c>
      <c r="AB11" s="7">
        <v>42.15</v>
      </c>
      <c r="AC11" s="7">
        <v>42.14</v>
      </c>
      <c r="AD11" s="7">
        <v>41.52</v>
      </c>
      <c r="AE11" s="7">
        <v>42.24</v>
      </c>
      <c r="AF11" s="28">
        <v>43.03</v>
      </c>
      <c r="AG11" s="7">
        <v>42.84</v>
      </c>
      <c r="AH11" s="7">
        <v>42.01</v>
      </c>
      <c r="AI11" s="7">
        <v>42.43</v>
      </c>
      <c r="AJ11" s="28">
        <v>42.73</v>
      </c>
      <c r="AK11" s="7">
        <v>42.11</v>
      </c>
      <c r="AL11" s="7">
        <v>42.22</v>
      </c>
      <c r="AM11" s="7">
        <v>42.16</v>
      </c>
      <c r="AN11" s="35">
        <v>41.56</v>
      </c>
      <c r="AO11" s="35">
        <v>42.59</v>
      </c>
      <c r="AP11" s="35">
        <v>42.42</v>
      </c>
      <c r="AQ11" s="35">
        <v>41.69</v>
      </c>
      <c r="AR11" s="35">
        <v>42.23</v>
      </c>
      <c r="AS11" s="35">
        <v>42.87</v>
      </c>
      <c r="AT11" s="41"/>
      <c r="AU11" s="35">
        <v>42.23</v>
      </c>
      <c r="AV11" s="35">
        <v>42.32</v>
      </c>
      <c r="AW11" s="35">
        <v>42.34</v>
      </c>
      <c r="AX11" s="35">
        <v>41.64</v>
      </c>
      <c r="AY11" s="35">
        <v>42.61</v>
      </c>
      <c r="AZ11" s="35">
        <v>42.49</v>
      </c>
      <c r="BA11" s="35">
        <v>41.72</v>
      </c>
      <c r="BB11" s="35">
        <v>42.21</v>
      </c>
      <c r="BC11" s="35">
        <v>42.65</v>
      </c>
      <c r="BD11" s="43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</row>
    <row r="12" spans="1:78" x14ac:dyDescent="0.4">
      <c r="A12" s="47"/>
      <c r="B12" s="7" t="s">
        <v>15</v>
      </c>
      <c r="C12" s="8">
        <v>35.840000000000003</v>
      </c>
      <c r="D12" s="7">
        <v>36.14</v>
      </c>
      <c r="E12" s="52">
        <v>33.57</v>
      </c>
      <c r="F12" s="52">
        <v>34.549999999999997</v>
      </c>
      <c r="G12" s="52">
        <v>36.270000000000003</v>
      </c>
      <c r="H12" s="52">
        <v>35.950000000000003</v>
      </c>
      <c r="I12" s="18">
        <v>29.27</v>
      </c>
      <c r="J12" s="22">
        <v>33.56</v>
      </c>
      <c r="K12" s="14">
        <v>35.97</v>
      </c>
      <c r="L12" s="7">
        <v>36.31</v>
      </c>
      <c r="M12" s="33"/>
      <c r="N12" s="7">
        <v>41.91</v>
      </c>
      <c r="O12" s="7">
        <v>42.01</v>
      </c>
      <c r="P12" s="7">
        <v>42.24</v>
      </c>
      <c r="Q12" s="7">
        <v>42.34</v>
      </c>
      <c r="R12" s="7">
        <v>42.23</v>
      </c>
      <c r="S12" s="7">
        <v>42.72</v>
      </c>
      <c r="T12" s="41">
        <v>42.65</v>
      </c>
      <c r="U12" s="41">
        <v>42.35</v>
      </c>
      <c r="V12" s="7">
        <v>42.38</v>
      </c>
      <c r="W12" s="18">
        <v>43.08</v>
      </c>
      <c r="X12" s="7">
        <v>42.82</v>
      </c>
      <c r="Y12" s="7">
        <v>42.8</v>
      </c>
      <c r="Z12" s="33"/>
      <c r="AA12" s="7">
        <v>28.67</v>
      </c>
      <c r="AB12" s="7">
        <v>31</v>
      </c>
      <c r="AC12" s="7">
        <v>33.25</v>
      </c>
      <c r="AD12" s="7">
        <v>36.25</v>
      </c>
      <c r="AE12" s="7">
        <v>32</v>
      </c>
      <c r="AF12" s="28">
        <v>33.6</v>
      </c>
      <c r="AG12" s="7">
        <v>34.56</v>
      </c>
      <c r="AH12" s="7">
        <v>36.46</v>
      </c>
      <c r="AI12" s="7">
        <v>36.03</v>
      </c>
      <c r="AJ12" s="28">
        <v>35.24</v>
      </c>
      <c r="AK12" s="7">
        <v>29.76</v>
      </c>
      <c r="AL12" s="7">
        <v>30.84</v>
      </c>
      <c r="AM12" s="7">
        <v>33.130000000000003</v>
      </c>
      <c r="AN12" s="35">
        <v>36.18</v>
      </c>
      <c r="AO12" s="35">
        <v>32.520000000000003</v>
      </c>
      <c r="AP12" s="35">
        <v>33.630000000000003</v>
      </c>
      <c r="AQ12" s="35">
        <v>36.090000000000003</v>
      </c>
      <c r="AR12" s="35">
        <v>35.83</v>
      </c>
      <c r="AS12" s="35">
        <v>35.58</v>
      </c>
      <c r="AT12" s="41"/>
      <c r="AU12" s="35">
        <v>28.21</v>
      </c>
      <c r="AV12" s="35">
        <v>29.93</v>
      </c>
      <c r="AW12" s="35">
        <v>32.78</v>
      </c>
      <c r="AX12" s="35">
        <v>36.24</v>
      </c>
      <c r="AY12" s="35">
        <v>31.99</v>
      </c>
      <c r="AZ12" s="35">
        <v>33.799999999999997</v>
      </c>
      <c r="BA12" s="35">
        <v>35.369999999999997</v>
      </c>
      <c r="BB12" s="35">
        <v>34.090000000000003</v>
      </c>
      <c r="BC12" s="35">
        <v>33.81</v>
      </c>
      <c r="BD12" s="43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</row>
    <row r="13" spans="1:78" x14ac:dyDescent="0.4">
      <c r="A13" s="47"/>
      <c r="B13" s="8" t="s">
        <v>16</v>
      </c>
      <c r="C13" s="7">
        <v>35.61</v>
      </c>
      <c r="D13" s="8">
        <v>35.9</v>
      </c>
      <c r="E13" s="52">
        <v>33.29</v>
      </c>
      <c r="F13" s="52">
        <v>34.200000000000003</v>
      </c>
      <c r="G13" s="52">
        <v>35.979999999999997</v>
      </c>
      <c r="H13" s="52">
        <v>35.69</v>
      </c>
      <c r="I13" s="18">
        <v>28.59</v>
      </c>
      <c r="J13" s="22">
        <v>33.200000000000003</v>
      </c>
      <c r="K13" s="14">
        <v>35.630000000000003</v>
      </c>
      <c r="L13" s="7">
        <v>36.01</v>
      </c>
      <c r="M13" s="33"/>
      <c r="N13" s="7">
        <v>41.21</v>
      </c>
      <c r="O13" s="7">
        <v>41.35</v>
      </c>
      <c r="P13" s="7">
        <v>41.52</v>
      </c>
      <c r="Q13" s="7">
        <v>41.74</v>
      </c>
      <c r="R13" s="7">
        <v>41.74</v>
      </c>
      <c r="S13" s="7">
        <v>42.2</v>
      </c>
      <c r="T13" s="41">
        <v>42.08</v>
      </c>
      <c r="U13" s="41">
        <v>41.72</v>
      </c>
      <c r="V13" s="7">
        <v>41.7</v>
      </c>
      <c r="W13" s="18">
        <v>42.53</v>
      </c>
      <c r="X13" s="7">
        <v>42.27</v>
      </c>
      <c r="Y13" s="7">
        <v>42.13</v>
      </c>
      <c r="Z13" s="33"/>
      <c r="AA13" s="7">
        <v>28.42</v>
      </c>
      <c r="AB13" s="7">
        <v>30.67</v>
      </c>
      <c r="AC13" s="7">
        <v>32.950000000000003</v>
      </c>
      <c r="AD13" s="7">
        <v>35.979999999999997</v>
      </c>
      <c r="AE13" s="7">
        <v>32.14</v>
      </c>
      <c r="AF13" s="28">
        <v>33.42</v>
      </c>
      <c r="AG13" s="7">
        <v>34.4</v>
      </c>
      <c r="AH13" s="7">
        <v>36.28</v>
      </c>
      <c r="AI13" s="7">
        <v>35.86</v>
      </c>
      <c r="AJ13" s="28">
        <v>35.11</v>
      </c>
      <c r="AK13" s="7">
        <v>28.62</v>
      </c>
      <c r="AL13" s="7">
        <v>30.47</v>
      </c>
      <c r="AM13" s="7">
        <v>32.869999999999997</v>
      </c>
      <c r="AN13" s="35">
        <v>35.840000000000003</v>
      </c>
      <c r="AO13" s="35">
        <v>32.29</v>
      </c>
      <c r="AP13" s="35">
        <v>33.4</v>
      </c>
      <c r="AQ13" s="35">
        <v>35.78</v>
      </c>
      <c r="AR13" s="35">
        <v>35.520000000000003</v>
      </c>
      <c r="AS13" s="35">
        <v>35.47</v>
      </c>
      <c r="AT13" s="41"/>
      <c r="AU13" s="35">
        <v>28.03</v>
      </c>
      <c r="AV13" s="35">
        <v>29.78</v>
      </c>
      <c r="AW13" s="35">
        <v>32.630000000000003</v>
      </c>
      <c r="AX13" s="35">
        <v>36.01</v>
      </c>
      <c r="AY13" s="35">
        <v>31.82</v>
      </c>
      <c r="AZ13" s="35">
        <v>33.61</v>
      </c>
      <c r="BA13" s="35">
        <v>35.26</v>
      </c>
      <c r="BB13" s="35">
        <v>34.479999999999997</v>
      </c>
      <c r="BC13" s="35">
        <v>33.69</v>
      </c>
      <c r="BD13" s="43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</row>
    <row r="14" spans="1:78" x14ac:dyDescent="0.4">
      <c r="A14" s="47"/>
      <c r="B14" s="7" t="s">
        <v>17</v>
      </c>
      <c r="C14" s="7">
        <v>8.0299999999999994</v>
      </c>
      <c r="D14" s="7">
        <v>8.61</v>
      </c>
      <c r="E14" s="52">
        <v>7.28</v>
      </c>
      <c r="F14" s="52">
        <v>7.7</v>
      </c>
      <c r="G14" s="52">
        <v>9.9600000000000009</v>
      </c>
      <c r="H14" s="52">
        <v>8.9</v>
      </c>
      <c r="I14" s="18">
        <v>6.93</v>
      </c>
      <c r="J14" s="22">
        <v>8.44</v>
      </c>
      <c r="K14" s="14">
        <v>10.029999999999999</v>
      </c>
      <c r="L14" s="7">
        <v>12.16</v>
      </c>
      <c r="M14" s="33"/>
      <c r="N14" s="7">
        <v>9.41</v>
      </c>
      <c r="O14" s="7">
        <v>9.75</v>
      </c>
      <c r="P14" s="7">
        <v>10.039999999999999</v>
      </c>
      <c r="Q14" s="7">
        <v>10.63</v>
      </c>
      <c r="R14" s="7">
        <v>12.19</v>
      </c>
      <c r="S14" s="7">
        <v>10.52</v>
      </c>
      <c r="T14" s="41">
        <v>9.56</v>
      </c>
      <c r="U14" s="41">
        <v>8.84</v>
      </c>
      <c r="V14" s="7">
        <v>8.5299999999999994</v>
      </c>
      <c r="W14" s="18">
        <v>9.58</v>
      </c>
      <c r="X14" s="7">
        <v>8.6199999999999992</v>
      </c>
      <c r="Y14" s="7">
        <v>8.1</v>
      </c>
      <c r="Z14" s="33"/>
      <c r="AA14" s="7">
        <v>7.18</v>
      </c>
      <c r="AB14" s="7">
        <v>7.79</v>
      </c>
      <c r="AC14" s="7">
        <v>8.66</v>
      </c>
      <c r="AD14" s="7">
        <v>10.92</v>
      </c>
      <c r="AE14" s="7">
        <v>8.35</v>
      </c>
      <c r="AF14" s="28">
        <v>7.79</v>
      </c>
      <c r="AG14" s="7">
        <v>8.31</v>
      </c>
      <c r="AH14" s="7">
        <v>10.56</v>
      </c>
      <c r="AI14" s="7">
        <v>9</v>
      </c>
      <c r="AJ14" s="28">
        <v>7.95</v>
      </c>
      <c r="AK14" s="7">
        <v>7.49</v>
      </c>
      <c r="AL14" s="7">
        <v>8.06</v>
      </c>
      <c r="AM14" s="7">
        <v>8.84</v>
      </c>
      <c r="AN14" s="35">
        <v>11.26</v>
      </c>
      <c r="AO14" s="35">
        <v>7.24</v>
      </c>
      <c r="AP14" s="35">
        <v>7.83</v>
      </c>
      <c r="AQ14" s="35">
        <v>10.39</v>
      </c>
      <c r="AR14" s="35">
        <v>8.75</v>
      </c>
      <c r="AS14" s="35">
        <v>8.4600000000000009</v>
      </c>
      <c r="AT14" s="41"/>
      <c r="AU14" s="35">
        <v>7.54</v>
      </c>
      <c r="AV14" s="35">
        <v>8.02</v>
      </c>
      <c r="AW14" s="35">
        <v>9.2100000000000009</v>
      </c>
      <c r="AX14" s="35">
        <v>11.59</v>
      </c>
      <c r="AY14" s="35">
        <v>7.21</v>
      </c>
      <c r="AZ14" s="35">
        <v>8.01</v>
      </c>
      <c r="BA14" s="35">
        <v>10.54</v>
      </c>
      <c r="BB14" s="35">
        <v>9</v>
      </c>
      <c r="BC14" s="35">
        <v>7.65</v>
      </c>
      <c r="BD14" s="43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Z14" s="4"/>
    </row>
    <row r="15" spans="1:78" x14ac:dyDescent="0.4">
      <c r="A15" s="47"/>
      <c r="B15" s="7" t="s">
        <v>18</v>
      </c>
      <c r="C15" s="7">
        <v>7.82</v>
      </c>
      <c r="D15" s="7">
        <v>8.36</v>
      </c>
      <c r="E15" s="52">
        <v>7.18</v>
      </c>
      <c r="F15" s="52">
        <v>7.66</v>
      </c>
      <c r="G15" s="52">
        <v>9.86</v>
      </c>
      <c r="H15" s="52">
        <v>8.84</v>
      </c>
      <c r="I15" s="18">
        <v>7.1</v>
      </c>
      <c r="J15" s="22">
        <v>8.5</v>
      </c>
      <c r="K15" s="14">
        <v>10.039999999999999</v>
      </c>
      <c r="L15" s="7">
        <v>12.04</v>
      </c>
      <c r="M15" s="33"/>
      <c r="N15" s="7">
        <v>9.16</v>
      </c>
      <c r="O15" s="18">
        <v>9.51</v>
      </c>
      <c r="P15" s="7">
        <v>9.85</v>
      </c>
      <c r="Q15" s="7">
        <v>10.43</v>
      </c>
      <c r="R15" s="7">
        <v>11.89</v>
      </c>
      <c r="S15" s="7">
        <v>10.18</v>
      </c>
      <c r="T15" s="41">
        <v>9.27</v>
      </c>
      <c r="U15" s="41">
        <v>8.68</v>
      </c>
      <c r="V15" s="7">
        <v>8.36</v>
      </c>
      <c r="W15" s="18">
        <v>9.2100000000000009</v>
      </c>
      <c r="X15" s="7">
        <v>8.27</v>
      </c>
      <c r="Y15" s="7">
        <v>7.78</v>
      </c>
      <c r="Z15" s="33"/>
      <c r="AA15" s="7">
        <v>7.24</v>
      </c>
      <c r="AB15" s="7">
        <v>7.86</v>
      </c>
      <c r="AC15" s="7">
        <v>8.68</v>
      </c>
      <c r="AD15" s="7">
        <v>10.91</v>
      </c>
      <c r="AE15" s="7">
        <v>8.42</v>
      </c>
      <c r="AF15" s="28">
        <v>7.53</v>
      </c>
      <c r="AG15" s="7">
        <v>8.0299999999999994</v>
      </c>
      <c r="AH15" s="7">
        <v>10.24</v>
      </c>
      <c r="AI15" s="7">
        <v>8.66</v>
      </c>
      <c r="AJ15" s="28">
        <v>7.71</v>
      </c>
      <c r="AK15" s="7">
        <v>7.53</v>
      </c>
      <c r="AL15" s="7">
        <v>8.1199999999999992</v>
      </c>
      <c r="AM15" s="7">
        <v>8.91</v>
      </c>
      <c r="AN15" s="35">
        <v>11.26</v>
      </c>
      <c r="AO15" s="35">
        <v>7.28</v>
      </c>
      <c r="AP15" s="35">
        <v>7.77</v>
      </c>
      <c r="AQ15" s="35">
        <v>10.210000000000001</v>
      </c>
      <c r="AR15" s="35">
        <v>8.57</v>
      </c>
      <c r="AS15" s="35">
        <v>7.92</v>
      </c>
      <c r="AT15" s="41"/>
      <c r="AU15" s="35">
        <v>7.39</v>
      </c>
      <c r="AV15" s="35">
        <v>7.86</v>
      </c>
      <c r="AW15" s="35">
        <v>9.0299999999999994</v>
      </c>
      <c r="AX15" s="35">
        <v>11.44</v>
      </c>
      <c r="AY15" s="35">
        <v>7.17</v>
      </c>
      <c r="AZ15" s="35">
        <v>7.89</v>
      </c>
      <c r="BA15" s="35">
        <v>10.34</v>
      </c>
      <c r="BB15" s="35">
        <v>8.8000000000000007</v>
      </c>
      <c r="BC15" s="35">
        <v>7.52</v>
      </c>
      <c r="BD15" s="43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Z15" s="6"/>
    </row>
    <row r="16" spans="1:78" x14ac:dyDescent="0.4">
      <c r="A16" s="47"/>
      <c r="B16" s="7" t="s">
        <v>19</v>
      </c>
      <c r="C16" s="7">
        <v>4.32</v>
      </c>
      <c r="D16" s="7">
        <v>4.7</v>
      </c>
      <c r="E16" s="52">
        <v>4.71</v>
      </c>
      <c r="F16" s="52">
        <v>5.1100000000000003</v>
      </c>
      <c r="G16" s="52">
        <v>6.86</v>
      </c>
      <c r="H16" s="52">
        <v>6.08</v>
      </c>
      <c r="I16" s="18">
        <v>5.64</v>
      </c>
      <c r="J16" s="22">
        <v>6.78</v>
      </c>
      <c r="K16" s="14">
        <v>8.06</v>
      </c>
      <c r="L16" s="7">
        <v>9.8000000000000007</v>
      </c>
      <c r="M16" s="33"/>
      <c r="N16" s="7">
        <v>6.35</v>
      </c>
      <c r="O16" s="18">
        <v>6.6</v>
      </c>
      <c r="P16" s="7">
        <v>6.88</v>
      </c>
      <c r="Q16" s="7">
        <v>7.21</v>
      </c>
      <c r="R16" s="7">
        <v>8.34</v>
      </c>
      <c r="S16" s="7">
        <v>5.54</v>
      </c>
      <c r="T16" s="41">
        <v>4.93</v>
      </c>
      <c r="U16" s="41">
        <v>4.58</v>
      </c>
      <c r="V16" s="7">
        <v>4.54</v>
      </c>
      <c r="W16" s="18">
        <v>3.63</v>
      </c>
      <c r="X16" s="7">
        <v>2.98</v>
      </c>
      <c r="Y16" s="7">
        <v>2.69</v>
      </c>
      <c r="Z16" s="33"/>
      <c r="AA16" s="7">
        <v>5.92</v>
      </c>
      <c r="AB16" s="7">
        <v>6.38</v>
      </c>
      <c r="AC16" s="7">
        <v>7.08</v>
      </c>
      <c r="AD16" s="7">
        <v>8.8800000000000008</v>
      </c>
      <c r="AE16" s="7">
        <v>6.86</v>
      </c>
      <c r="AF16" s="28">
        <v>5.12</v>
      </c>
      <c r="AG16" s="7">
        <v>5.54</v>
      </c>
      <c r="AH16" s="7">
        <v>7.36</v>
      </c>
      <c r="AI16" s="7">
        <v>5.17</v>
      </c>
      <c r="AJ16" s="28">
        <v>4.4000000000000004</v>
      </c>
      <c r="AK16" s="7">
        <v>6.24</v>
      </c>
      <c r="AL16" s="7">
        <v>6.73</v>
      </c>
      <c r="AM16" s="7">
        <v>7.34</v>
      </c>
      <c r="AN16" s="35">
        <v>9.2799999999999994</v>
      </c>
      <c r="AO16" s="35">
        <v>5.04</v>
      </c>
      <c r="AP16" s="35">
        <v>5.45</v>
      </c>
      <c r="AQ16" s="35">
        <v>7.42</v>
      </c>
      <c r="AR16" s="35">
        <v>5.18</v>
      </c>
      <c r="AS16" s="35">
        <v>4.72</v>
      </c>
      <c r="AT16" s="41"/>
      <c r="AU16" s="35">
        <v>6.19</v>
      </c>
      <c r="AV16" s="35">
        <v>6.55</v>
      </c>
      <c r="AW16" s="35">
        <v>7.56</v>
      </c>
      <c r="AX16" s="35">
        <v>9.52</v>
      </c>
      <c r="AY16" s="35">
        <v>5.03</v>
      </c>
      <c r="AZ16" s="35">
        <v>5.6</v>
      </c>
      <c r="BA16" s="35">
        <v>7.68</v>
      </c>
      <c r="BB16" s="35">
        <v>5.57</v>
      </c>
      <c r="BC16" s="35">
        <v>4.49</v>
      </c>
      <c r="BD16" s="43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Z16" s="6"/>
    </row>
    <row r="17" spans="1:78" x14ac:dyDescent="0.4">
      <c r="A17" s="47"/>
      <c r="B17" s="7" t="s">
        <v>20</v>
      </c>
      <c r="C17" s="7">
        <v>3.42</v>
      </c>
      <c r="D17" s="7">
        <v>3.81</v>
      </c>
      <c r="E17" s="52">
        <v>4.07</v>
      </c>
      <c r="F17" s="52">
        <v>4.3499999999999996</v>
      </c>
      <c r="G17" s="52">
        <v>5.96</v>
      </c>
      <c r="H17" s="52">
        <v>5.24</v>
      </c>
      <c r="I17" s="18">
        <v>5.13</v>
      </c>
      <c r="J17" s="22">
        <v>6.21</v>
      </c>
      <c r="K17" s="14">
        <v>7.43</v>
      </c>
      <c r="L17" s="7">
        <v>9.06</v>
      </c>
      <c r="M17" s="33"/>
      <c r="N17" s="7">
        <v>5.94</v>
      </c>
      <c r="O17" s="18">
        <v>6.09</v>
      </c>
      <c r="P17" s="7">
        <v>6.33</v>
      </c>
      <c r="Q17" s="7">
        <v>6.51</v>
      </c>
      <c r="R17" s="7">
        <v>7.51</v>
      </c>
      <c r="S17" s="7">
        <v>4.3899999999999997</v>
      </c>
      <c r="T17" s="41">
        <v>3.81</v>
      </c>
      <c r="U17" s="41">
        <v>3.55</v>
      </c>
      <c r="V17" s="7">
        <v>3.53</v>
      </c>
      <c r="W17" s="18">
        <v>2.14</v>
      </c>
      <c r="X17" s="7">
        <v>1.58</v>
      </c>
      <c r="Y17" s="7">
        <v>1.36</v>
      </c>
      <c r="Z17" s="33"/>
      <c r="AA17" s="7">
        <v>5.52</v>
      </c>
      <c r="AB17" s="7">
        <v>5.96</v>
      </c>
      <c r="AC17" s="7">
        <v>6.6</v>
      </c>
      <c r="AD17" s="7">
        <v>8.2799999999999994</v>
      </c>
      <c r="AE17" s="7">
        <v>6.36</v>
      </c>
      <c r="AF17" s="28">
        <v>4.8600000000000003</v>
      </c>
      <c r="AG17" s="7">
        <v>5.17</v>
      </c>
      <c r="AH17" s="7">
        <v>6.76</v>
      </c>
      <c r="AI17" s="7">
        <v>4.3899999999999997</v>
      </c>
      <c r="AJ17" s="28">
        <v>3.66</v>
      </c>
      <c r="AK17" s="7">
        <v>5.88</v>
      </c>
      <c r="AL17" s="7">
        <v>6.37</v>
      </c>
      <c r="AM17" s="7">
        <v>6.91</v>
      </c>
      <c r="AN17" s="35">
        <v>8.7799999999999994</v>
      </c>
      <c r="AO17" s="35">
        <v>4.42</v>
      </c>
      <c r="AP17" s="35">
        <v>4.7699999999999996</v>
      </c>
      <c r="AQ17" s="35">
        <v>6.69</v>
      </c>
      <c r="AR17" s="35">
        <v>4.2699999999999996</v>
      </c>
      <c r="AS17" s="35">
        <v>4.22</v>
      </c>
      <c r="AT17" s="41"/>
      <c r="AU17" s="35">
        <v>6.11</v>
      </c>
      <c r="AV17" s="35">
        <v>6.36</v>
      </c>
      <c r="AW17" s="35">
        <v>7.32</v>
      </c>
      <c r="AX17" s="35">
        <v>9.01</v>
      </c>
      <c r="AY17" s="35">
        <v>4.4400000000000004</v>
      </c>
      <c r="AZ17" s="35">
        <v>5.01</v>
      </c>
      <c r="BA17" s="35">
        <v>6.9</v>
      </c>
      <c r="BB17" s="35">
        <v>4.6100000000000003</v>
      </c>
      <c r="BC17" s="35">
        <v>3.59</v>
      </c>
      <c r="BD17" s="43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Z17" s="6"/>
    </row>
    <row r="18" spans="1:78" x14ac:dyDescent="0.4">
      <c r="A18" s="47"/>
      <c r="B18" s="7" t="s">
        <v>21</v>
      </c>
      <c r="C18" s="7">
        <v>2.94</v>
      </c>
      <c r="D18" s="7">
        <v>3.33</v>
      </c>
      <c r="E18" s="52">
        <v>3.7</v>
      </c>
      <c r="F18" s="52">
        <v>3.97</v>
      </c>
      <c r="G18" s="52">
        <v>5.71</v>
      </c>
      <c r="H18" s="52">
        <v>4.99</v>
      </c>
      <c r="I18" s="18">
        <v>4.8600000000000003</v>
      </c>
      <c r="J18" s="22">
        <v>6.02</v>
      </c>
      <c r="K18" s="14">
        <v>7.24</v>
      </c>
      <c r="L18" s="7">
        <v>8.89</v>
      </c>
      <c r="M18" s="33"/>
      <c r="N18" s="7">
        <v>5.52</v>
      </c>
      <c r="O18" s="18">
        <v>5.63</v>
      </c>
      <c r="P18" s="7">
        <v>5.84</v>
      </c>
      <c r="Q18" s="7">
        <v>6.09</v>
      </c>
      <c r="R18" s="7">
        <v>7.06</v>
      </c>
      <c r="S18" s="7">
        <v>3.84</v>
      </c>
      <c r="T18" s="41">
        <v>3.28</v>
      </c>
      <c r="U18" s="41">
        <v>2.99</v>
      </c>
      <c r="V18" s="7">
        <v>3.02</v>
      </c>
      <c r="W18" s="18">
        <v>1.54</v>
      </c>
      <c r="X18" s="7">
        <v>0.95</v>
      </c>
      <c r="Y18" s="7">
        <v>0.75</v>
      </c>
      <c r="Z18" s="33"/>
      <c r="AA18" s="7">
        <v>5.21</v>
      </c>
      <c r="AB18" s="7">
        <v>5.72</v>
      </c>
      <c r="AC18" s="7">
        <v>6.34</v>
      </c>
      <c r="AD18" s="7">
        <v>8.0399999999999991</v>
      </c>
      <c r="AE18" s="7">
        <v>6.17</v>
      </c>
      <c r="AF18" s="28">
        <v>4.28</v>
      </c>
      <c r="AG18" s="7">
        <v>4.66</v>
      </c>
      <c r="AH18" s="7">
        <v>6.33</v>
      </c>
      <c r="AI18" s="7">
        <v>3.89</v>
      </c>
      <c r="AJ18" s="28">
        <v>3.06</v>
      </c>
      <c r="AK18" s="7">
        <v>5.55</v>
      </c>
      <c r="AL18" s="7">
        <v>6.04</v>
      </c>
      <c r="AM18" s="7">
        <v>6.64</v>
      </c>
      <c r="AN18" s="35">
        <v>8.4499999999999993</v>
      </c>
      <c r="AO18" s="35">
        <v>3.99</v>
      </c>
      <c r="AP18" s="35">
        <v>4.5</v>
      </c>
      <c r="AQ18" s="35">
        <v>6.3</v>
      </c>
      <c r="AR18" s="35">
        <v>3.86</v>
      </c>
      <c r="AS18" s="35">
        <v>3.59</v>
      </c>
      <c r="AT18" s="41"/>
      <c r="AU18" s="35">
        <v>5.74</v>
      </c>
      <c r="AV18" s="35">
        <v>6.01</v>
      </c>
      <c r="AW18" s="35">
        <v>7.04</v>
      </c>
      <c r="AX18" s="35">
        <v>8.67</v>
      </c>
      <c r="AY18" s="35">
        <v>4.09</v>
      </c>
      <c r="AZ18" s="35">
        <v>4.66</v>
      </c>
      <c r="BA18" s="35">
        <v>6.6</v>
      </c>
      <c r="BB18" s="35">
        <v>4.16</v>
      </c>
      <c r="BC18" s="35">
        <v>3.19</v>
      </c>
      <c r="BD18" s="43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Z18" s="6"/>
    </row>
    <row r="19" spans="1:78" x14ac:dyDescent="0.4">
      <c r="A19" s="47"/>
      <c r="B19" s="7" t="s">
        <v>22</v>
      </c>
      <c r="C19" s="7">
        <v>0.86</v>
      </c>
      <c r="D19" s="7">
        <v>1.23</v>
      </c>
      <c r="E19" s="52">
        <v>2.33</v>
      </c>
      <c r="F19" s="52">
        <v>2.57</v>
      </c>
      <c r="G19" s="52">
        <v>4.03</v>
      </c>
      <c r="H19" s="52">
        <v>3.42</v>
      </c>
      <c r="I19" s="18">
        <v>4.01</v>
      </c>
      <c r="J19" s="22">
        <v>5.05</v>
      </c>
      <c r="K19" s="14">
        <v>6.17</v>
      </c>
      <c r="L19" s="7">
        <v>7.67</v>
      </c>
      <c r="M19" s="33"/>
      <c r="N19" s="7">
        <v>41.23</v>
      </c>
      <c r="O19" s="18">
        <v>41.43</v>
      </c>
      <c r="P19" s="7">
        <v>41.34</v>
      </c>
      <c r="Q19" s="7">
        <v>41.42</v>
      </c>
      <c r="R19" s="7">
        <v>41.37</v>
      </c>
      <c r="S19" s="7">
        <v>41.74</v>
      </c>
      <c r="T19" s="41">
        <v>41.68</v>
      </c>
      <c r="U19" s="41">
        <v>41.44</v>
      </c>
      <c r="V19" s="7">
        <v>41.44</v>
      </c>
      <c r="W19" s="18">
        <v>41.96</v>
      </c>
      <c r="X19" s="7">
        <v>41.87</v>
      </c>
      <c r="Y19" s="7">
        <v>41.82</v>
      </c>
      <c r="Z19" s="33"/>
      <c r="AA19" s="7">
        <v>4.42</v>
      </c>
      <c r="AB19" s="7">
        <v>4.8600000000000003</v>
      </c>
      <c r="AC19" s="7">
        <v>5.41</v>
      </c>
      <c r="AD19" s="7">
        <v>6.94</v>
      </c>
      <c r="AE19" s="7">
        <v>5.25</v>
      </c>
      <c r="AF19" s="28">
        <v>3.05</v>
      </c>
      <c r="AG19" s="7">
        <v>3.29</v>
      </c>
      <c r="AH19" s="7">
        <v>4.74</v>
      </c>
      <c r="AI19" s="7">
        <v>1.92</v>
      </c>
      <c r="AJ19" s="28">
        <v>1.1200000000000001</v>
      </c>
      <c r="AK19" s="7">
        <v>4.7699999999999996</v>
      </c>
      <c r="AL19" s="7">
        <v>5.2</v>
      </c>
      <c r="AM19" s="7">
        <v>5.82</v>
      </c>
      <c r="AN19" s="35">
        <v>7.39</v>
      </c>
      <c r="AO19" s="35">
        <v>2.72</v>
      </c>
      <c r="AP19" s="35">
        <v>3.08</v>
      </c>
      <c r="AQ19" s="35">
        <v>4.47</v>
      </c>
      <c r="AR19" s="35">
        <v>1.8</v>
      </c>
      <c r="AS19" s="35">
        <v>1.69</v>
      </c>
      <c r="AT19" s="41"/>
      <c r="AU19" s="35">
        <v>5.0199999999999996</v>
      </c>
      <c r="AV19" s="35">
        <v>5.23</v>
      </c>
      <c r="AW19" s="35">
        <v>6.23</v>
      </c>
      <c r="AX19" s="35">
        <v>7.56</v>
      </c>
      <c r="AY19" s="35">
        <v>2.88</v>
      </c>
      <c r="AZ19" s="35">
        <v>3.31</v>
      </c>
      <c r="BA19" s="35">
        <v>5.01</v>
      </c>
      <c r="BB19" s="35">
        <v>2.1</v>
      </c>
      <c r="BC19" s="35">
        <v>1.28</v>
      </c>
      <c r="BD19" s="43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Z19" s="35"/>
    </row>
    <row r="20" spans="1:78" x14ac:dyDescent="0.4">
      <c r="A20" s="47"/>
      <c r="B20" s="7" t="s">
        <v>23</v>
      </c>
      <c r="C20" s="7">
        <v>36.229999999999997</v>
      </c>
      <c r="D20" s="7">
        <v>35.94</v>
      </c>
      <c r="E20" s="52">
        <v>36.67</v>
      </c>
      <c r="F20" s="52">
        <v>36.590000000000003</v>
      </c>
      <c r="G20" s="52">
        <v>35.86</v>
      </c>
      <c r="H20" s="52">
        <v>36.43</v>
      </c>
      <c r="I20" s="18">
        <v>35.799999999999997</v>
      </c>
      <c r="J20" s="22">
        <v>36.75</v>
      </c>
      <c r="K20" s="14">
        <v>36.65</v>
      </c>
      <c r="L20" s="7">
        <v>35.83</v>
      </c>
      <c r="M20" s="33"/>
      <c r="N20" s="7">
        <v>39.590000000000003</v>
      </c>
      <c r="O20" s="7">
        <v>39.74</v>
      </c>
      <c r="P20" s="7">
        <v>39.700000000000003</v>
      </c>
      <c r="Q20" s="7">
        <v>39.81</v>
      </c>
      <c r="R20" s="7">
        <v>39.89</v>
      </c>
      <c r="S20" s="7">
        <v>39.94</v>
      </c>
      <c r="T20" s="41">
        <v>39.82</v>
      </c>
      <c r="U20" s="41">
        <v>41.72</v>
      </c>
      <c r="V20" s="7">
        <v>39.57</v>
      </c>
      <c r="W20" s="18">
        <v>39.880000000000003</v>
      </c>
      <c r="X20" s="7">
        <v>39.68</v>
      </c>
      <c r="Y20" s="7">
        <v>39.549999999999997</v>
      </c>
      <c r="Z20" s="33"/>
      <c r="AA20" s="7">
        <v>35.74</v>
      </c>
      <c r="AB20" s="7">
        <v>36.36</v>
      </c>
      <c r="AC20" s="7">
        <v>36.78</v>
      </c>
      <c r="AD20" s="7">
        <v>36.4</v>
      </c>
      <c r="AE20" s="7">
        <v>36.71</v>
      </c>
      <c r="AF20" s="28">
        <v>36.950000000000003</v>
      </c>
      <c r="AG20" s="7">
        <v>37</v>
      </c>
      <c r="AH20" s="7">
        <v>36.15</v>
      </c>
      <c r="AI20" s="7">
        <v>36.020000000000003</v>
      </c>
      <c r="AJ20" s="28">
        <v>36.32</v>
      </c>
      <c r="AK20" s="7">
        <v>35.729999999999997</v>
      </c>
      <c r="AL20" s="7">
        <v>36.35</v>
      </c>
      <c r="AM20" s="7">
        <v>36.799999999999997</v>
      </c>
      <c r="AN20" s="35">
        <v>36.19</v>
      </c>
      <c r="AO20" s="35">
        <v>36.409999999999997</v>
      </c>
      <c r="AP20" s="35">
        <v>36.42</v>
      </c>
      <c r="AQ20" s="35">
        <v>35.74</v>
      </c>
      <c r="AR20" s="35">
        <v>35.78</v>
      </c>
      <c r="AS20" s="35">
        <v>36.47</v>
      </c>
      <c r="AT20" s="41"/>
      <c r="AU20" s="35">
        <v>35.729999999999997</v>
      </c>
      <c r="AV20" s="35">
        <v>36.14</v>
      </c>
      <c r="AW20" s="35">
        <v>36.65</v>
      </c>
      <c r="AX20" s="35">
        <v>36.03</v>
      </c>
      <c r="AY20" s="35">
        <v>36.35</v>
      </c>
      <c r="AZ20" s="35">
        <v>36.39</v>
      </c>
      <c r="BA20" s="35">
        <v>34.799999999999997</v>
      </c>
      <c r="BB20" s="35">
        <v>34.049999999999997</v>
      </c>
      <c r="BC20" s="35">
        <v>35.479999999999997</v>
      </c>
      <c r="BD20" s="43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Z20" s="35"/>
    </row>
    <row r="21" spans="1:78" x14ac:dyDescent="0.4">
      <c r="A21" s="48" t="s">
        <v>24</v>
      </c>
      <c r="B21" s="9" t="s">
        <v>25</v>
      </c>
      <c r="C21" s="10">
        <v>3.43</v>
      </c>
      <c r="D21" s="10">
        <v>3.47</v>
      </c>
      <c r="E21" s="53">
        <v>3.59</v>
      </c>
      <c r="F21" s="53">
        <v>3.62</v>
      </c>
      <c r="G21" s="53">
        <v>3.76</v>
      </c>
      <c r="H21" s="53">
        <v>3.7</v>
      </c>
      <c r="I21" s="10">
        <v>3.78</v>
      </c>
      <c r="J21" s="23">
        <v>3.89</v>
      </c>
      <c r="K21" s="10">
        <v>4</v>
      </c>
      <c r="L21" s="10">
        <v>4.16</v>
      </c>
      <c r="M21" s="10"/>
      <c r="N21" s="10">
        <v>3.81</v>
      </c>
      <c r="O21" s="10">
        <v>3.82</v>
      </c>
      <c r="P21" s="10">
        <v>3.85</v>
      </c>
      <c r="Q21" s="10">
        <v>3.87</v>
      </c>
      <c r="R21" s="10">
        <v>3.96</v>
      </c>
      <c r="S21" s="10">
        <v>3.58</v>
      </c>
      <c r="T21" s="10">
        <v>3.54</v>
      </c>
      <c r="U21" s="10">
        <v>3.53</v>
      </c>
      <c r="V21" s="10">
        <v>3.54</v>
      </c>
      <c r="W21" s="10">
        <v>3.3</v>
      </c>
      <c r="X21" s="10">
        <v>3.26</v>
      </c>
      <c r="Y21" s="10">
        <v>3.25</v>
      </c>
      <c r="Z21" s="10"/>
      <c r="AA21" s="10">
        <v>3.82</v>
      </c>
      <c r="AB21" s="10">
        <v>3.86</v>
      </c>
      <c r="AC21" s="10">
        <v>3.92</v>
      </c>
      <c r="AD21" s="10">
        <v>4.08</v>
      </c>
      <c r="AE21" s="10">
        <v>3.91</v>
      </c>
      <c r="AF21" s="10">
        <v>3.63</v>
      </c>
      <c r="AG21" s="10">
        <v>3.66</v>
      </c>
      <c r="AH21" s="10">
        <v>3.81</v>
      </c>
      <c r="AI21" s="10">
        <v>3.51</v>
      </c>
      <c r="AJ21" s="10">
        <v>3.46</v>
      </c>
      <c r="AK21" s="10">
        <v>3.85</v>
      </c>
      <c r="AL21" s="10">
        <v>3.9</v>
      </c>
      <c r="AM21" s="10">
        <v>3.96</v>
      </c>
      <c r="AN21" s="10">
        <v>4.1399999999999997</v>
      </c>
      <c r="AO21" s="10">
        <v>3.64</v>
      </c>
      <c r="AP21" s="10">
        <v>3.68</v>
      </c>
      <c r="AQ21" s="10">
        <v>3.85</v>
      </c>
      <c r="AR21" s="10">
        <v>3.54</v>
      </c>
      <c r="AS21" s="10">
        <v>3.49</v>
      </c>
      <c r="AT21" s="10"/>
      <c r="AU21" s="10">
        <v>3.86</v>
      </c>
      <c r="AV21" s="10">
        <v>3.89</v>
      </c>
      <c r="AW21" s="10">
        <v>3.99</v>
      </c>
      <c r="AX21" s="10">
        <v>4.16</v>
      </c>
      <c r="AY21" s="10">
        <v>3.65</v>
      </c>
      <c r="AZ21" s="10">
        <v>3.69</v>
      </c>
      <c r="BA21" s="10">
        <v>3.87</v>
      </c>
      <c r="BB21" s="10">
        <v>3.57</v>
      </c>
      <c r="BC21" s="10">
        <v>3.5</v>
      </c>
      <c r="BD21" s="10"/>
      <c r="BE21" s="10">
        <v>3.49</v>
      </c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Z21" s="35"/>
    </row>
    <row r="22" spans="1:78" x14ac:dyDescent="0.4">
      <c r="A22" s="48"/>
      <c r="B22" s="9" t="s">
        <v>26</v>
      </c>
      <c r="C22" s="10">
        <v>9.4</v>
      </c>
      <c r="D22" s="10">
        <v>9.3000000000000007</v>
      </c>
      <c r="E22" s="53">
        <v>9.73</v>
      </c>
      <c r="F22" s="53">
        <v>9.57</v>
      </c>
      <c r="G22" s="53">
        <v>9.08</v>
      </c>
      <c r="H22" s="53">
        <v>9.31</v>
      </c>
      <c r="I22" s="10">
        <v>10.24</v>
      </c>
      <c r="J22" s="23">
        <v>9.61</v>
      </c>
      <c r="K22" s="10">
        <v>9.24</v>
      </c>
      <c r="L22" s="10">
        <v>8.85</v>
      </c>
      <c r="M22" s="10"/>
      <c r="N22" s="10">
        <v>11.55</v>
      </c>
      <c r="O22" s="10">
        <v>11.22</v>
      </c>
      <c r="P22" s="10">
        <v>10.92</v>
      </c>
      <c r="Q22" s="10">
        <v>10.51</v>
      </c>
      <c r="R22" s="10">
        <v>10.02</v>
      </c>
      <c r="S22" s="10">
        <v>10.44</v>
      </c>
      <c r="T22" s="10">
        <v>10.8</v>
      </c>
      <c r="U22" s="10">
        <v>11.15</v>
      </c>
      <c r="V22" s="10">
        <v>11.52</v>
      </c>
      <c r="W22" s="10">
        <v>10.8</v>
      </c>
      <c r="X22" s="10">
        <v>11.15</v>
      </c>
      <c r="Y22" s="10">
        <v>11.48</v>
      </c>
      <c r="Z22" s="10"/>
      <c r="AA22" s="10">
        <v>10.3</v>
      </c>
      <c r="AB22" s="10">
        <v>9.9</v>
      </c>
      <c r="AC22" s="10">
        <v>9.6199999999999992</v>
      </c>
      <c r="AD22" s="10">
        <v>9</v>
      </c>
      <c r="AE22" s="10">
        <v>9.75</v>
      </c>
      <c r="AF22" s="10">
        <v>9.77</v>
      </c>
      <c r="AG22" s="10">
        <v>9.6199999999999992</v>
      </c>
      <c r="AH22" s="10">
        <v>9.11</v>
      </c>
      <c r="AI22" s="10">
        <v>9.31</v>
      </c>
      <c r="AJ22" s="10">
        <v>9.5</v>
      </c>
      <c r="AK22" s="10">
        <v>10.24</v>
      </c>
      <c r="AL22" s="10">
        <v>9.92</v>
      </c>
      <c r="AM22" s="10">
        <v>9.61</v>
      </c>
      <c r="AN22" s="10">
        <v>9.0399999999999991</v>
      </c>
      <c r="AO22" s="10">
        <v>9.7799999999999994</v>
      </c>
      <c r="AP22" s="10">
        <v>9.61</v>
      </c>
      <c r="AQ22" s="10">
        <v>9.08</v>
      </c>
      <c r="AR22" s="10">
        <v>9.3000000000000007</v>
      </c>
      <c r="AS22" s="10">
        <v>9.4600000000000009</v>
      </c>
      <c r="AT22" s="10"/>
      <c r="AU22" s="10">
        <v>10.42</v>
      </c>
      <c r="AV22" s="10">
        <v>10.050000000000001</v>
      </c>
      <c r="AW22" s="10">
        <v>9.6199999999999992</v>
      </c>
      <c r="AX22" s="10">
        <v>9.0299999999999994</v>
      </c>
      <c r="AY22" s="10">
        <v>9.83</v>
      </c>
      <c r="AZ22" s="10">
        <v>9.61</v>
      </c>
      <c r="BA22" s="10">
        <v>9.1</v>
      </c>
      <c r="BB22" s="10">
        <v>9.3000000000000007</v>
      </c>
      <c r="BC22" s="10">
        <v>9.5500000000000007</v>
      </c>
      <c r="BD22" s="10"/>
      <c r="BE22" s="10">
        <v>9.7200000000000006</v>
      </c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Z22" s="35"/>
    </row>
    <row r="23" spans="1:78" s="39" customFormat="1" x14ac:dyDescent="0.4">
      <c r="A23" s="48"/>
      <c r="B23" s="37" t="s">
        <v>27</v>
      </c>
      <c r="C23" s="38">
        <v>9.3819999999999997</v>
      </c>
      <c r="D23" s="38">
        <v>9.2720000000000002</v>
      </c>
      <c r="E23" s="53">
        <v>9.6950000000000003</v>
      </c>
      <c r="F23" s="53">
        <v>9.5649999999999995</v>
      </c>
      <c r="G23" s="53">
        <v>9.0589999999999993</v>
      </c>
      <c r="H23" s="53">
        <v>9.2970000000000006</v>
      </c>
      <c r="I23" s="38">
        <v>10.266999999999999</v>
      </c>
      <c r="J23" s="38">
        <v>9.65</v>
      </c>
      <c r="K23" s="38">
        <v>9.2439999999999998</v>
      </c>
      <c r="L23" s="38">
        <v>8.8490000000000002</v>
      </c>
      <c r="M23" s="38"/>
      <c r="N23" s="38">
        <v>11.606</v>
      </c>
      <c r="O23" s="38">
        <v>11.263</v>
      </c>
      <c r="P23" s="38">
        <v>10.94</v>
      </c>
      <c r="Q23" s="38">
        <v>10.529</v>
      </c>
      <c r="R23" s="38">
        <v>10.018000000000001</v>
      </c>
      <c r="S23" s="38">
        <v>10.416</v>
      </c>
      <c r="T23" s="38">
        <v>10.833</v>
      </c>
      <c r="U23" s="38">
        <v>11.164</v>
      </c>
      <c r="V23" s="38">
        <v>11.504</v>
      </c>
      <c r="W23" s="38">
        <v>10.782999999999999</v>
      </c>
      <c r="X23" s="38">
        <v>11.138999999999999</v>
      </c>
      <c r="Y23" s="38">
        <v>11.515000000000001</v>
      </c>
      <c r="Z23" s="38"/>
      <c r="AA23" s="38">
        <v>10.355</v>
      </c>
      <c r="AB23" s="38">
        <v>9.9239999999999995</v>
      </c>
      <c r="AC23" s="38">
        <v>9.6370000000000005</v>
      </c>
      <c r="AD23" s="38">
        <v>9.0730000000000004</v>
      </c>
      <c r="AE23" s="38">
        <v>9.7420000000000009</v>
      </c>
      <c r="AF23" s="38">
        <v>9.7799999999999994</v>
      </c>
      <c r="AG23" s="38">
        <v>9.6010000000000009</v>
      </c>
      <c r="AH23" s="38">
        <v>9.0980000000000008</v>
      </c>
      <c r="AI23" s="38">
        <v>9.2750000000000004</v>
      </c>
      <c r="AJ23" s="38">
        <v>9.4760000000000009</v>
      </c>
      <c r="AK23" s="38">
        <v>10.311</v>
      </c>
      <c r="AL23" s="38">
        <v>9.9410000000000007</v>
      </c>
      <c r="AM23" s="38">
        <v>9.6389999999999993</v>
      </c>
      <c r="AN23" s="38">
        <v>9.048</v>
      </c>
      <c r="AO23" s="38">
        <v>9.8000000000000007</v>
      </c>
      <c r="AP23" s="38">
        <v>9.6120000000000001</v>
      </c>
      <c r="AQ23" s="38">
        <v>9.0730000000000004</v>
      </c>
      <c r="AR23" s="38">
        <v>9.266</v>
      </c>
      <c r="AS23" s="38">
        <v>9.4350000000000005</v>
      </c>
      <c r="AT23" s="38"/>
      <c r="AU23" s="38">
        <v>10.476000000000001</v>
      </c>
      <c r="AV23" s="38">
        <v>10.07</v>
      </c>
      <c r="AW23" s="38">
        <v>9.6370000000000005</v>
      </c>
      <c r="AX23" s="38">
        <v>9.0419999999999998</v>
      </c>
      <c r="AY23" s="38">
        <v>9.83</v>
      </c>
      <c r="AZ23" s="38">
        <v>9.6199999999999992</v>
      </c>
      <c r="BA23" s="38">
        <v>9.0839999999999996</v>
      </c>
      <c r="BB23" s="38">
        <v>9.2690000000000001</v>
      </c>
      <c r="BC23" s="38">
        <v>9.5259999999999998</v>
      </c>
      <c r="BD23" s="38"/>
      <c r="BE23" s="38">
        <v>9.6780000000000008</v>
      </c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Z23" s="35"/>
    </row>
    <row r="24" spans="1:78" s="39" customFormat="1" x14ac:dyDescent="0.4">
      <c r="A24" s="48"/>
      <c r="B24" s="37" t="s">
        <v>28</v>
      </c>
      <c r="C24" s="38">
        <v>9.1969999999999992</v>
      </c>
      <c r="D24" s="38">
        <v>9.07</v>
      </c>
      <c r="E24" s="53">
        <v>9.6029999999999998</v>
      </c>
      <c r="F24" s="53">
        <v>9.4320000000000004</v>
      </c>
      <c r="G24" s="53">
        <v>8.8930000000000007</v>
      </c>
      <c r="H24" s="53">
        <v>9.1449999999999996</v>
      </c>
      <c r="I24" s="38">
        <v>10.199999999999999</v>
      </c>
      <c r="J24" s="38">
        <v>9.532</v>
      </c>
      <c r="K24" s="38">
        <v>9.1470000000000002</v>
      </c>
      <c r="L24" s="38">
        <v>8.702</v>
      </c>
      <c r="M24" s="38"/>
      <c r="N24" s="38">
        <v>11.581</v>
      </c>
      <c r="O24" s="38">
        <v>11.141999999999999</v>
      </c>
      <c r="P24" s="38">
        <v>10.827</v>
      </c>
      <c r="Q24" s="38">
        <v>10.396000000000001</v>
      </c>
      <c r="R24" s="38">
        <v>9.8689999999999998</v>
      </c>
      <c r="S24" s="38">
        <v>10.247</v>
      </c>
      <c r="T24" s="38">
        <v>10.653</v>
      </c>
      <c r="U24" s="38">
        <v>11.15</v>
      </c>
      <c r="V24" s="38">
        <v>11.401</v>
      </c>
      <c r="W24" s="38">
        <v>10.579000000000001</v>
      </c>
      <c r="X24" s="38">
        <v>10.951000000000001</v>
      </c>
      <c r="Y24" s="38">
        <v>11.319000000000001</v>
      </c>
      <c r="Z24" s="38"/>
      <c r="AA24" s="38">
        <v>10.275</v>
      </c>
      <c r="AB24" s="38">
        <v>9.8550000000000004</v>
      </c>
      <c r="AC24" s="38">
        <v>9.5559999999999992</v>
      </c>
      <c r="AD24" s="38">
        <v>8.9510000000000005</v>
      </c>
      <c r="AE24" s="38">
        <v>9.6750000000000007</v>
      </c>
      <c r="AF24" s="38">
        <v>9.6419999999999995</v>
      </c>
      <c r="AG24" s="38">
        <v>9.4849999999999994</v>
      </c>
      <c r="AH24" s="38">
        <v>8.9260000000000002</v>
      </c>
      <c r="AI24" s="38">
        <v>9.0890000000000004</v>
      </c>
      <c r="AJ24" s="38">
        <v>9.3109999999999999</v>
      </c>
      <c r="AK24" s="38">
        <v>10.206</v>
      </c>
      <c r="AL24" s="38">
        <v>9.8989999999999991</v>
      </c>
      <c r="AM24" s="38">
        <v>9.548</v>
      </c>
      <c r="AN24" s="38">
        <v>8.9260000000000002</v>
      </c>
      <c r="AO24" s="38">
        <v>9.67</v>
      </c>
      <c r="AP24" s="38">
        <v>9.4789999999999992</v>
      </c>
      <c r="AQ24" s="38">
        <v>8.9149999999999991</v>
      </c>
      <c r="AR24" s="38">
        <v>9.0779999999999994</v>
      </c>
      <c r="AS24" s="38">
        <v>9.2639999999999993</v>
      </c>
      <c r="AT24" s="38"/>
      <c r="AU24" s="38">
        <v>10.404999999999999</v>
      </c>
      <c r="AV24" s="38">
        <v>10.01</v>
      </c>
      <c r="AW24" s="38">
        <v>9.5429999999999993</v>
      </c>
      <c r="AX24" s="38">
        <v>8.9130000000000003</v>
      </c>
      <c r="AY24" s="38">
        <v>9.7309999999999999</v>
      </c>
      <c r="AZ24" s="38">
        <v>9.4960000000000004</v>
      </c>
      <c r="BA24" s="38">
        <v>8.9290000000000003</v>
      </c>
      <c r="BB24" s="38">
        <v>9.07</v>
      </c>
      <c r="BC24" s="38">
        <v>9.3740000000000006</v>
      </c>
      <c r="BD24" s="38"/>
      <c r="BE24" s="38">
        <v>9.5289999999999999</v>
      </c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Z24" s="35"/>
    </row>
    <row r="25" spans="1:78" x14ac:dyDescent="0.4">
      <c r="A25" s="48"/>
      <c r="B25" s="9" t="s">
        <v>29</v>
      </c>
      <c r="C25" s="10">
        <v>8.98</v>
      </c>
      <c r="D25" s="10">
        <v>8.8369999999999997</v>
      </c>
      <c r="E25" s="53">
        <v>9.4710000000000001</v>
      </c>
      <c r="F25" s="53">
        <v>9.282</v>
      </c>
      <c r="G25" s="53">
        <v>8.6660000000000004</v>
      </c>
      <c r="H25" s="53">
        <v>8.9529999999999994</v>
      </c>
      <c r="I25" s="10">
        <v>10.103</v>
      </c>
      <c r="J25" s="23">
        <v>9.3789999999999996</v>
      </c>
      <c r="K25" s="10">
        <v>8.9930000000000003</v>
      </c>
      <c r="L25" s="10">
        <v>8.4939999999999998</v>
      </c>
      <c r="M25" s="10"/>
      <c r="N25" s="10">
        <v>11.335000000000001</v>
      </c>
      <c r="O25" s="16">
        <v>10.997999999999999</v>
      </c>
      <c r="P25" s="10">
        <v>10.691000000000001</v>
      </c>
      <c r="Q25" s="10">
        <v>10.243</v>
      </c>
      <c r="R25" s="10">
        <v>9.6630000000000003</v>
      </c>
      <c r="S25" s="10">
        <v>9.9969999999999999</v>
      </c>
      <c r="T25" s="10">
        <v>10.472</v>
      </c>
      <c r="U25" s="10">
        <v>10.847</v>
      </c>
      <c r="V25" s="10">
        <v>11.26</v>
      </c>
      <c r="W25" s="10">
        <v>10.324</v>
      </c>
      <c r="X25" s="10">
        <v>10.75</v>
      </c>
      <c r="Y25" s="10">
        <v>11.117000000000001</v>
      </c>
      <c r="Z25" s="10"/>
      <c r="AA25" s="10">
        <v>10.194000000000001</v>
      </c>
      <c r="AB25" s="10">
        <v>9.7539999999999996</v>
      </c>
      <c r="AC25" s="10">
        <v>9.4489999999999998</v>
      </c>
      <c r="AD25" s="10">
        <v>8.7769999999999992</v>
      </c>
      <c r="AE25" s="10">
        <v>9.5660000000000007</v>
      </c>
      <c r="AF25" s="10">
        <v>9.4930000000000003</v>
      </c>
      <c r="AG25" s="10">
        <v>9.3249999999999993</v>
      </c>
      <c r="AH25" s="10">
        <v>8.702</v>
      </c>
      <c r="AI25" s="10">
        <v>8.85</v>
      </c>
      <c r="AJ25" s="10">
        <v>9.109</v>
      </c>
      <c r="AK25" s="10">
        <v>10.119</v>
      </c>
      <c r="AL25" s="10">
        <v>9.7810000000000006</v>
      </c>
      <c r="AM25" s="10">
        <v>9.4390000000000001</v>
      </c>
      <c r="AN25" s="10">
        <v>8.75</v>
      </c>
      <c r="AO25" s="10">
        <v>9.5489999999999995</v>
      </c>
      <c r="AP25" s="10">
        <v>9.3309999999999995</v>
      </c>
      <c r="AQ25" s="10">
        <v>8.6850000000000005</v>
      </c>
      <c r="AR25" s="10">
        <v>8.8420000000000005</v>
      </c>
      <c r="AS25" s="10">
        <v>9.0579999999999998</v>
      </c>
      <c r="AT25" s="10"/>
      <c r="AU25" s="10">
        <v>10.305</v>
      </c>
      <c r="AV25" s="10">
        <v>9.9269999999999996</v>
      </c>
      <c r="AW25" s="10">
        <v>9.4329999999999998</v>
      </c>
      <c r="AX25" s="10">
        <v>8.734</v>
      </c>
      <c r="AY25" s="10">
        <v>9.5869999999999997</v>
      </c>
      <c r="AZ25" s="10">
        <v>9.3330000000000002</v>
      </c>
      <c r="BA25" s="10">
        <v>8.6639999999999997</v>
      </c>
      <c r="BB25" s="10">
        <v>8.8179999999999996</v>
      </c>
      <c r="BC25" s="10">
        <v>9.1150000000000002</v>
      </c>
      <c r="BD25" s="10"/>
      <c r="BE25" s="10">
        <v>9.3469999999999995</v>
      </c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Z25" s="35"/>
    </row>
    <row r="26" spans="1:78" s="39" customFormat="1" x14ac:dyDescent="0.4">
      <c r="A26" s="48"/>
      <c r="B26" s="37" t="s">
        <v>30</v>
      </c>
      <c r="C26" s="38">
        <v>4.2290000000000001</v>
      </c>
      <c r="D26" s="38">
        <v>4.2969999999999997</v>
      </c>
      <c r="E26" s="53">
        <v>4.17</v>
      </c>
      <c r="F26" s="53">
        <v>4.2160000000000002</v>
      </c>
      <c r="G26" s="53">
        <v>4.4489999999999998</v>
      </c>
      <c r="H26" s="53">
        <v>4.3410000000000002</v>
      </c>
      <c r="I26" s="38">
        <v>4.1529999999999996</v>
      </c>
      <c r="J26" s="38">
        <v>4.3029999999999999</v>
      </c>
      <c r="K26" s="38">
        <v>4.4740000000000002</v>
      </c>
      <c r="L26" s="38">
        <v>4.7009999999999996</v>
      </c>
      <c r="M26" s="38"/>
      <c r="N26" s="38">
        <v>4.3540000000000001</v>
      </c>
      <c r="O26" s="38">
        <v>4.3979999999999997</v>
      </c>
      <c r="P26" s="38">
        <v>4.4409999999999998</v>
      </c>
      <c r="Q26" s="38">
        <v>4.5060000000000002</v>
      </c>
      <c r="R26" s="38">
        <v>4.6689999999999996</v>
      </c>
      <c r="S26" s="38">
        <v>4.4790000000000001</v>
      </c>
      <c r="T26" s="38">
        <v>4.3760000000000003</v>
      </c>
      <c r="U26" s="38">
        <v>4.3109999999999999</v>
      </c>
      <c r="V26" s="38">
        <v>4.2839999999999998</v>
      </c>
      <c r="W26" s="38">
        <v>4.37</v>
      </c>
      <c r="X26" s="38">
        <v>4.2699999999999996</v>
      </c>
      <c r="Y26" s="38">
        <v>4.2240000000000002</v>
      </c>
      <c r="Z26" s="38"/>
      <c r="AA26" s="38">
        <v>4.1890000000000001</v>
      </c>
      <c r="AB26" s="38">
        <v>4.2510000000000003</v>
      </c>
      <c r="AC26" s="38">
        <v>4.335</v>
      </c>
      <c r="AD26" s="38">
        <v>4.5599999999999996</v>
      </c>
      <c r="AE26" s="38">
        <v>4.3079999999999998</v>
      </c>
      <c r="AF26" s="38">
        <v>4.1970000000000001</v>
      </c>
      <c r="AG26" s="38">
        <v>4.2590000000000003</v>
      </c>
      <c r="AH26" s="38">
        <v>4.4980000000000002</v>
      </c>
      <c r="AI26" s="38">
        <v>4.3159999999999998</v>
      </c>
      <c r="AJ26" s="38">
        <v>4.2210000000000001</v>
      </c>
      <c r="AK26" s="38">
        <v>4.2190000000000003</v>
      </c>
      <c r="AL26" s="38">
        <v>4.2759999999999998</v>
      </c>
      <c r="AM26" s="38">
        <v>4.3620000000000001</v>
      </c>
      <c r="AN26" s="38">
        <v>4.617</v>
      </c>
      <c r="AO26" s="38">
        <v>4.1890000000000001</v>
      </c>
      <c r="AP26" s="38">
        <v>4.24</v>
      </c>
      <c r="AQ26" s="38">
        <v>4.5060000000000002</v>
      </c>
      <c r="AR26" s="38">
        <v>4.33</v>
      </c>
      <c r="AS26" s="38">
        <v>4.2670000000000003</v>
      </c>
      <c r="AT26" s="38"/>
      <c r="AU26" s="38">
        <v>4.202</v>
      </c>
      <c r="AV26" s="38">
        <v>4.2569999999999997</v>
      </c>
      <c r="AW26" s="38">
        <v>4.3840000000000003</v>
      </c>
      <c r="AX26" s="38">
        <v>4.6390000000000002</v>
      </c>
      <c r="AY26" s="38">
        <v>4.1749999999999998</v>
      </c>
      <c r="AZ26" s="38">
        <v>4.2569999999999997</v>
      </c>
      <c r="BA26" s="38">
        <v>4.5250000000000004</v>
      </c>
      <c r="BB26" s="38">
        <v>4.3570000000000002</v>
      </c>
      <c r="BC26" s="38">
        <v>4.2270000000000003</v>
      </c>
      <c r="BD26" s="38"/>
      <c r="BE26" s="38">
        <v>4.1559999999999997</v>
      </c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Z26" s="35"/>
    </row>
    <row r="27" spans="1:78" s="39" customFormat="1" x14ac:dyDescent="0.4">
      <c r="A27" s="48"/>
      <c r="B27" s="37" t="s">
        <v>31</v>
      </c>
      <c r="C27" s="38">
        <v>3.875</v>
      </c>
      <c r="D27" s="38">
        <v>3.89</v>
      </c>
      <c r="E27" s="53">
        <v>3.8849999999999998</v>
      </c>
      <c r="F27" s="53">
        <v>3.92</v>
      </c>
      <c r="G27" s="53">
        <v>4.1100000000000003</v>
      </c>
      <c r="H27" s="53">
        <v>4.0309999999999997</v>
      </c>
      <c r="I27" s="38">
        <v>3.988</v>
      </c>
      <c r="J27" s="38">
        <v>4.0990000000000002</v>
      </c>
      <c r="K27" s="38">
        <v>4.2320000000000002</v>
      </c>
      <c r="L27" s="38">
        <v>4.4249999999999998</v>
      </c>
      <c r="M27" s="38"/>
      <c r="N27" s="38">
        <v>4.0359999999999996</v>
      </c>
      <c r="O27" s="38">
        <v>4.0720000000000001</v>
      </c>
      <c r="P27" s="38">
        <v>4.1050000000000004</v>
      </c>
      <c r="Q27" s="38">
        <v>4.1399999999999997</v>
      </c>
      <c r="R27" s="38">
        <v>4.2590000000000003</v>
      </c>
      <c r="S27" s="38">
        <v>3.9529999999999998</v>
      </c>
      <c r="T27" s="38">
        <v>3.9009999999999998</v>
      </c>
      <c r="U27" s="38">
        <v>3.86</v>
      </c>
      <c r="V27" s="38">
        <v>3.8660000000000001</v>
      </c>
      <c r="W27" s="38">
        <v>3.782</v>
      </c>
      <c r="X27" s="38">
        <v>3.714</v>
      </c>
      <c r="Y27" s="38">
        <v>3.6920000000000002</v>
      </c>
      <c r="Z27" s="38"/>
      <c r="AA27" s="38">
        <v>4.0039999999999996</v>
      </c>
      <c r="AB27" s="38">
        <v>4.0750000000000002</v>
      </c>
      <c r="AC27" s="38">
        <v>4.1319999999999997</v>
      </c>
      <c r="AD27" s="38">
        <v>4.3239999999999998</v>
      </c>
      <c r="AE27" s="38">
        <v>4.1100000000000003</v>
      </c>
      <c r="AF27" s="38">
        <v>3.923</v>
      </c>
      <c r="AG27" s="38">
        <v>3.964</v>
      </c>
      <c r="AH27" s="38">
        <v>4.2560000000000002</v>
      </c>
      <c r="AI27" s="38">
        <v>3.931</v>
      </c>
      <c r="AJ27" s="38">
        <v>3.8660000000000001</v>
      </c>
      <c r="AK27" s="38">
        <v>4.0419999999999998</v>
      </c>
      <c r="AL27" s="38">
        <v>4.1059999999999999</v>
      </c>
      <c r="AM27" s="38">
        <v>4.1639999999999997</v>
      </c>
      <c r="AN27" s="38">
        <v>4.3920000000000003</v>
      </c>
      <c r="AO27" s="38">
        <v>3.9260000000000002</v>
      </c>
      <c r="AP27" s="38">
        <v>3.9740000000000002</v>
      </c>
      <c r="AQ27" s="38">
        <v>4.1779999999999999</v>
      </c>
      <c r="AR27" s="38">
        <v>3.9390000000000001</v>
      </c>
      <c r="AS27" s="38">
        <v>3.8849999999999998</v>
      </c>
      <c r="AT27" s="38"/>
      <c r="AU27" s="38">
        <v>4.048</v>
      </c>
      <c r="AV27" s="38">
        <v>4.0830000000000002</v>
      </c>
      <c r="AW27" s="38">
        <v>4.2</v>
      </c>
      <c r="AX27" s="38">
        <v>4.4029999999999996</v>
      </c>
      <c r="AY27" s="38">
        <v>3.931</v>
      </c>
      <c r="AZ27" s="38">
        <v>3.9910000000000001</v>
      </c>
      <c r="BA27" s="38">
        <v>4.2050000000000001</v>
      </c>
      <c r="BB27" s="38">
        <v>3.9910000000000001</v>
      </c>
      <c r="BC27" s="38">
        <v>3.871</v>
      </c>
      <c r="BD27" s="38"/>
      <c r="BE27" s="38">
        <v>3.8580000000000001</v>
      </c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Z27" s="35"/>
    </row>
    <row r="28" spans="1:78" x14ac:dyDescent="0.4">
      <c r="A28" s="48"/>
      <c r="B28" s="10" t="s">
        <v>20</v>
      </c>
      <c r="C28" s="10"/>
      <c r="D28" s="10"/>
      <c r="E28" s="53"/>
      <c r="F28" s="53"/>
      <c r="G28" s="53"/>
      <c r="H28" s="53"/>
      <c r="I28" s="10"/>
      <c r="J28" s="34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26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Z28" s="35"/>
    </row>
    <row r="29" spans="1:78" x14ac:dyDescent="0.4">
      <c r="A29" s="49" t="s">
        <v>32</v>
      </c>
      <c r="B29" s="11" t="s">
        <v>33</v>
      </c>
      <c r="C29" s="11">
        <v>345</v>
      </c>
      <c r="D29" s="11">
        <v>345</v>
      </c>
      <c r="E29" s="45">
        <v>345</v>
      </c>
      <c r="F29" s="45">
        <v>345</v>
      </c>
      <c r="G29" s="45">
        <v>345</v>
      </c>
      <c r="H29" s="45">
        <v>345</v>
      </c>
      <c r="I29" s="15">
        <v>345</v>
      </c>
      <c r="J29" s="34">
        <v>345</v>
      </c>
      <c r="K29" s="15">
        <v>345</v>
      </c>
      <c r="L29" s="11">
        <v>345</v>
      </c>
      <c r="M29" s="34"/>
      <c r="N29" s="11">
        <v>345</v>
      </c>
      <c r="O29" s="11">
        <v>345</v>
      </c>
      <c r="P29" s="11">
        <v>345</v>
      </c>
      <c r="Q29" s="11">
        <v>345</v>
      </c>
      <c r="R29" s="11">
        <v>345</v>
      </c>
      <c r="S29" s="32">
        <v>345</v>
      </c>
      <c r="T29" s="42">
        <v>345</v>
      </c>
      <c r="U29" s="32">
        <v>345</v>
      </c>
      <c r="V29" s="32">
        <v>345</v>
      </c>
      <c r="W29" s="32">
        <v>345</v>
      </c>
      <c r="X29" s="32">
        <v>345</v>
      </c>
      <c r="Y29" s="32">
        <v>345</v>
      </c>
      <c r="Z29" s="34"/>
      <c r="AA29" s="32">
        <v>345</v>
      </c>
      <c r="AB29" s="32">
        <v>345</v>
      </c>
      <c r="AC29" s="32">
        <v>345</v>
      </c>
      <c r="AD29" s="32">
        <v>345</v>
      </c>
      <c r="AE29" s="32">
        <v>345</v>
      </c>
      <c r="AF29" s="32">
        <v>345</v>
      </c>
      <c r="AG29" s="32">
        <v>345</v>
      </c>
      <c r="AH29" s="32">
        <v>345</v>
      </c>
      <c r="AI29" s="32">
        <v>345</v>
      </c>
      <c r="AJ29" s="32">
        <v>345</v>
      </c>
      <c r="AK29" s="32">
        <v>345</v>
      </c>
      <c r="AL29" s="32">
        <v>345</v>
      </c>
      <c r="AM29" s="32">
        <v>345</v>
      </c>
      <c r="AN29" s="36">
        <v>345</v>
      </c>
      <c r="AO29" s="36">
        <v>345</v>
      </c>
      <c r="AP29" s="36">
        <v>345</v>
      </c>
      <c r="AQ29" s="36">
        <v>345</v>
      </c>
      <c r="AR29" s="36">
        <v>345</v>
      </c>
      <c r="AS29" s="36">
        <v>345</v>
      </c>
      <c r="AT29" s="42"/>
      <c r="AU29" s="36">
        <v>345</v>
      </c>
      <c r="AV29" s="42">
        <v>345</v>
      </c>
      <c r="AW29" s="42">
        <v>345</v>
      </c>
      <c r="AX29" s="42">
        <v>345</v>
      </c>
      <c r="AY29" s="42">
        <v>345</v>
      </c>
      <c r="AZ29" s="42">
        <v>345</v>
      </c>
      <c r="BA29" s="42">
        <v>345</v>
      </c>
      <c r="BB29" s="42">
        <v>345</v>
      </c>
      <c r="BC29" s="42">
        <v>345</v>
      </c>
      <c r="BD29" s="44"/>
      <c r="BE29" s="44">
        <v>345</v>
      </c>
      <c r="BF29" s="44">
        <v>345</v>
      </c>
      <c r="BG29" s="44">
        <v>345</v>
      </c>
      <c r="BH29" s="44">
        <v>345</v>
      </c>
      <c r="BI29" s="44">
        <v>345</v>
      </c>
      <c r="BJ29" s="44">
        <v>345</v>
      </c>
      <c r="BK29" s="44">
        <v>345</v>
      </c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Z29" s="35"/>
    </row>
    <row r="30" spans="1:78" s="39" customFormat="1" x14ac:dyDescent="0.4">
      <c r="A30" s="49"/>
      <c r="B30" s="40" t="s">
        <v>34</v>
      </c>
      <c r="C30" s="40">
        <v>9.5</v>
      </c>
      <c r="D30" s="40">
        <v>9.4</v>
      </c>
      <c r="E30" s="45">
        <v>8</v>
      </c>
      <c r="F30" s="45">
        <v>7.9</v>
      </c>
      <c r="G30" s="45">
        <v>7.4</v>
      </c>
      <c r="H30" s="45">
        <v>7.7</v>
      </c>
      <c r="I30" s="40">
        <v>6.7</v>
      </c>
      <c r="J30" s="40">
        <v>6.2</v>
      </c>
      <c r="K30" s="40">
        <v>5.8</v>
      </c>
      <c r="L30" s="40">
        <v>5.5</v>
      </c>
      <c r="M30" s="40"/>
      <c r="N30" s="40">
        <v>7.7</v>
      </c>
      <c r="O30" s="40">
        <v>7.4</v>
      </c>
      <c r="P30" s="40">
        <v>7.2</v>
      </c>
      <c r="Q30" s="40">
        <v>6.9</v>
      </c>
      <c r="R30" s="40">
        <v>6.5</v>
      </c>
      <c r="S30" s="40">
        <v>8.6999999999999993</v>
      </c>
      <c r="T30" s="40">
        <v>9.1</v>
      </c>
      <c r="U30" s="40">
        <v>9.4</v>
      </c>
      <c r="V30" s="40">
        <v>9.6999999999999993</v>
      </c>
      <c r="W30" s="40">
        <v>11</v>
      </c>
      <c r="X30" s="40">
        <v>11.3</v>
      </c>
      <c r="Y30" s="40">
        <v>11.6</v>
      </c>
      <c r="Z30" s="40"/>
      <c r="AA30" s="40">
        <v>6.7</v>
      </c>
      <c r="AB30" s="40">
        <v>6.4</v>
      </c>
      <c r="AC30" s="40">
        <v>6.2</v>
      </c>
      <c r="AD30" s="40">
        <v>5.7</v>
      </c>
      <c r="AE30" s="40">
        <v>6.3</v>
      </c>
      <c r="AF30" s="40">
        <v>8</v>
      </c>
      <c r="AG30" s="40">
        <v>7.9</v>
      </c>
      <c r="AH30" s="40">
        <v>7.4</v>
      </c>
      <c r="AI30" s="40">
        <v>9.4</v>
      </c>
      <c r="AJ30" s="40">
        <v>9.6</v>
      </c>
      <c r="AK30" s="40">
        <v>6.7</v>
      </c>
      <c r="AL30" s="40">
        <v>6.4</v>
      </c>
      <c r="AM30" s="40">
        <v>6.15</v>
      </c>
      <c r="AN30" s="40">
        <v>5.6</v>
      </c>
      <c r="AO30" s="40">
        <v>8.1</v>
      </c>
      <c r="AP30" s="40">
        <v>7.9</v>
      </c>
      <c r="AQ30" s="40">
        <v>7.7</v>
      </c>
      <c r="AR30" s="40">
        <v>9.4</v>
      </c>
      <c r="AS30" s="40">
        <v>9.6</v>
      </c>
      <c r="AT30" s="40"/>
      <c r="AU30" s="40">
        <v>6.8</v>
      </c>
      <c r="AV30" s="40">
        <v>6.5</v>
      </c>
      <c r="AW30" s="40">
        <v>6.1</v>
      </c>
      <c r="AX30" s="40">
        <v>5.6</v>
      </c>
      <c r="AY30" s="40">
        <v>8.1</v>
      </c>
      <c r="AZ30" s="40">
        <v>7.9</v>
      </c>
      <c r="BA30" s="40">
        <v>7.4</v>
      </c>
      <c r="BB30" s="40">
        <v>9.4</v>
      </c>
      <c r="BC30" s="40">
        <v>9.6999999999999993</v>
      </c>
      <c r="BD30" s="40"/>
      <c r="BE30" s="40">
        <v>9.8000000000000007</v>
      </c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Z30" s="35"/>
    </row>
    <row r="31" spans="1:78" x14ac:dyDescent="0.4">
      <c r="A31" s="49"/>
      <c r="B31" s="11" t="s">
        <v>35</v>
      </c>
      <c r="C31" s="11">
        <v>600</v>
      </c>
      <c r="D31" s="32">
        <v>600</v>
      </c>
      <c r="E31" s="45">
        <v>600</v>
      </c>
      <c r="F31" s="45">
        <v>600</v>
      </c>
      <c r="G31" s="45">
        <v>600</v>
      </c>
      <c r="H31" s="45">
        <v>600</v>
      </c>
      <c r="I31" s="32">
        <v>600</v>
      </c>
      <c r="J31" s="32">
        <v>600</v>
      </c>
      <c r="K31" s="32">
        <v>600</v>
      </c>
      <c r="L31" s="32">
        <v>600</v>
      </c>
      <c r="M31" s="34"/>
      <c r="N31" s="32">
        <v>600</v>
      </c>
      <c r="O31" s="32">
        <v>600</v>
      </c>
      <c r="P31" s="32">
        <v>600</v>
      </c>
      <c r="Q31" s="32">
        <v>600</v>
      </c>
      <c r="R31" s="32">
        <v>600</v>
      </c>
      <c r="S31" s="45">
        <v>600</v>
      </c>
      <c r="T31" s="45">
        <v>600</v>
      </c>
      <c r="U31" s="45">
        <v>600</v>
      </c>
      <c r="V31" s="45">
        <v>600</v>
      </c>
      <c r="W31" s="32">
        <v>600</v>
      </c>
      <c r="X31" s="32">
        <v>600</v>
      </c>
      <c r="Y31" s="32">
        <v>600</v>
      </c>
      <c r="Z31" s="34"/>
      <c r="AA31" s="32">
        <v>700</v>
      </c>
      <c r="AB31" s="36">
        <v>700</v>
      </c>
      <c r="AC31" s="36">
        <v>700</v>
      </c>
      <c r="AD31" s="36">
        <v>700</v>
      </c>
      <c r="AE31" s="36">
        <v>700</v>
      </c>
      <c r="AF31" s="36">
        <v>700</v>
      </c>
      <c r="AG31" s="36">
        <v>700</v>
      </c>
      <c r="AH31" s="36">
        <v>700</v>
      </c>
      <c r="AI31" s="36">
        <v>700</v>
      </c>
      <c r="AJ31" s="36">
        <v>700</v>
      </c>
      <c r="AK31" s="32">
        <v>800</v>
      </c>
      <c r="AL31" s="36">
        <v>800</v>
      </c>
      <c r="AM31" s="36">
        <v>800</v>
      </c>
      <c r="AN31" s="36">
        <v>800</v>
      </c>
      <c r="AO31" s="36">
        <v>800</v>
      </c>
      <c r="AP31" s="36">
        <v>800</v>
      </c>
      <c r="AQ31" s="36">
        <v>800</v>
      </c>
      <c r="AR31" s="36">
        <v>800</v>
      </c>
      <c r="AS31" s="36">
        <v>800</v>
      </c>
      <c r="AT31" s="42"/>
      <c r="AU31" s="36">
        <v>900</v>
      </c>
      <c r="AV31" s="42">
        <v>900</v>
      </c>
      <c r="AW31" s="42">
        <v>900</v>
      </c>
      <c r="AX31" s="42">
        <v>900</v>
      </c>
      <c r="AY31" s="42">
        <v>900</v>
      </c>
      <c r="AZ31" s="42">
        <v>900</v>
      </c>
      <c r="BA31" s="42">
        <v>900</v>
      </c>
      <c r="BB31" s="42">
        <v>900</v>
      </c>
      <c r="BC31" s="42">
        <v>900</v>
      </c>
      <c r="BD31" s="44"/>
      <c r="BE31" s="42">
        <v>1000</v>
      </c>
      <c r="BF31" s="44">
        <v>1000</v>
      </c>
      <c r="BG31" s="44">
        <v>1000</v>
      </c>
      <c r="BH31" s="44">
        <v>1000</v>
      </c>
      <c r="BI31" s="44">
        <v>1000</v>
      </c>
      <c r="BJ31" s="44">
        <v>1000</v>
      </c>
      <c r="BK31" s="44">
        <v>1000</v>
      </c>
      <c r="BL31" s="42"/>
      <c r="BM31" s="42"/>
      <c r="BN31" s="42"/>
      <c r="BO31" s="42"/>
      <c r="BP31" s="36"/>
      <c r="BQ31" s="36"/>
      <c r="BR31" s="36"/>
      <c r="BS31" s="36"/>
      <c r="BT31" s="36"/>
      <c r="BU31" s="36"/>
      <c r="BV31" s="36"/>
      <c r="BW31" s="36"/>
      <c r="BX31" s="36"/>
      <c r="BZ31" s="35"/>
    </row>
    <row r="32" spans="1:78" x14ac:dyDescent="0.4">
      <c r="A32" s="49"/>
      <c r="B32" s="11" t="s">
        <v>36</v>
      </c>
      <c r="C32" s="12">
        <v>6000</v>
      </c>
      <c r="D32" s="12">
        <v>6000</v>
      </c>
      <c r="E32" s="45">
        <v>5000</v>
      </c>
      <c r="F32" s="45">
        <v>5000</v>
      </c>
      <c r="G32" s="45">
        <v>5000</v>
      </c>
      <c r="H32" s="45">
        <v>5000</v>
      </c>
      <c r="I32" s="12">
        <v>4000</v>
      </c>
      <c r="J32" s="12">
        <v>4000</v>
      </c>
      <c r="K32" s="12">
        <v>4000</v>
      </c>
      <c r="L32" s="12">
        <v>4000</v>
      </c>
      <c r="M32" s="12"/>
      <c r="N32" s="12">
        <v>4000</v>
      </c>
      <c r="O32" s="12">
        <v>4000</v>
      </c>
      <c r="P32" s="12">
        <v>4000</v>
      </c>
      <c r="Q32" s="12">
        <v>4000</v>
      </c>
      <c r="R32" s="12">
        <v>4000</v>
      </c>
      <c r="S32" s="45">
        <v>5000</v>
      </c>
      <c r="T32" s="45">
        <v>5000</v>
      </c>
      <c r="U32" s="45">
        <v>5000</v>
      </c>
      <c r="V32" s="45">
        <v>5000</v>
      </c>
      <c r="W32" s="12">
        <v>6000</v>
      </c>
      <c r="X32" s="12">
        <v>6000</v>
      </c>
      <c r="Y32" s="12">
        <v>6000</v>
      </c>
      <c r="Z32" s="12"/>
      <c r="AA32" s="12">
        <v>4000</v>
      </c>
      <c r="AB32" s="12">
        <v>4000</v>
      </c>
      <c r="AC32" s="12">
        <v>4000</v>
      </c>
      <c r="AD32" s="12">
        <v>4000</v>
      </c>
      <c r="AE32" s="12">
        <v>4000</v>
      </c>
      <c r="AF32" s="12">
        <v>5000</v>
      </c>
      <c r="AG32" s="12">
        <v>5000</v>
      </c>
      <c r="AH32" s="12">
        <v>5000</v>
      </c>
      <c r="AI32" s="12">
        <v>6000</v>
      </c>
      <c r="AJ32" s="12">
        <v>6000</v>
      </c>
      <c r="AK32" s="12">
        <v>4000</v>
      </c>
      <c r="AL32" s="12">
        <v>4000</v>
      </c>
      <c r="AM32" s="12">
        <v>4000</v>
      </c>
      <c r="AN32" s="12">
        <v>4000</v>
      </c>
      <c r="AO32" s="12">
        <v>5000</v>
      </c>
      <c r="AP32" s="12">
        <v>5000</v>
      </c>
      <c r="AQ32" s="12">
        <v>5000</v>
      </c>
      <c r="AR32" s="12">
        <v>6000</v>
      </c>
      <c r="AS32" s="12">
        <v>6000</v>
      </c>
      <c r="AT32" s="12"/>
      <c r="AU32" s="12">
        <v>4000</v>
      </c>
      <c r="AV32" s="12">
        <v>4000</v>
      </c>
      <c r="AW32" s="12">
        <v>4000</v>
      </c>
      <c r="AX32" s="12">
        <v>4000</v>
      </c>
      <c r="AY32" s="12">
        <v>5000</v>
      </c>
      <c r="AZ32" s="12">
        <v>5000</v>
      </c>
      <c r="BA32" s="12">
        <v>5000</v>
      </c>
      <c r="BB32" s="12">
        <v>6000</v>
      </c>
      <c r="BC32" s="12">
        <v>6000</v>
      </c>
      <c r="BD32" s="12"/>
      <c r="BE32" s="12">
        <v>6000</v>
      </c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Z32" s="35"/>
    </row>
    <row r="33" spans="1:78" s="39" customFormat="1" x14ac:dyDescent="0.4">
      <c r="A33" s="49"/>
      <c r="B33" s="40" t="s">
        <v>37</v>
      </c>
      <c r="C33" s="40">
        <v>510</v>
      </c>
      <c r="D33" s="40">
        <v>576</v>
      </c>
      <c r="E33" s="45">
        <v>283</v>
      </c>
      <c r="F33" s="45">
        <v>325</v>
      </c>
      <c r="G33" s="45">
        <v>576</v>
      </c>
      <c r="H33" s="45">
        <v>465</v>
      </c>
      <c r="I33" s="40">
        <v>262</v>
      </c>
      <c r="J33" s="40">
        <v>277</v>
      </c>
      <c r="K33" s="40">
        <v>377</v>
      </c>
      <c r="L33" s="40">
        <v>576</v>
      </c>
      <c r="M33" s="40"/>
      <c r="N33" s="40">
        <v>277</v>
      </c>
      <c r="O33" s="40">
        <v>282</v>
      </c>
      <c r="P33" s="40">
        <v>313</v>
      </c>
      <c r="Q33" s="40">
        <v>400</v>
      </c>
      <c r="R33" s="40">
        <v>576</v>
      </c>
      <c r="S33" s="40">
        <v>576</v>
      </c>
      <c r="T33" s="40">
        <v>450</v>
      </c>
      <c r="U33" s="40">
        <v>365</v>
      </c>
      <c r="V33" s="40">
        <v>307</v>
      </c>
      <c r="W33" s="40">
        <v>576</v>
      </c>
      <c r="X33" s="40">
        <v>460</v>
      </c>
      <c r="Y33" s="40">
        <v>388</v>
      </c>
      <c r="Z33" s="40"/>
      <c r="AA33" s="40">
        <v>261</v>
      </c>
      <c r="AB33" s="40">
        <v>267</v>
      </c>
      <c r="AC33" s="40">
        <v>276</v>
      </c>
      <c r="AD33" s="40">
        <v>450</v>
      </c>
      <c r="AE33" s="40">
        <v>272</v>
      </c>
      <c r="AF33" s="40">
        <v>282</v>
      </c>
      <c r="AG33" s="40">
        <v>320</v>
      </c>
      <c r="AH33" s="40">
        <v>576</v>
      </c>
      <c r="AI33" s="40">
        <v>576</v>
      </c>
      <c r="AJ33" s="40">
        <v>455</v>
      </c>
      <c r="AK33" s="40">
        <v>262</v>
      </c>
      <c r="AL33" s="40">
        <v>267</v>
      </c>
      <c r="AM33" s="40">
        <v>276</v>
      </c>
      <c r="AN33" s="40">
        <v>465</v>
      </c>
      <c r="AO33" s="40">
        <v>280</v>
      </c>
      <c r="AP33" s="40">
        <v>305</v>
      </c>
      <c r="AQ33" s="40">
        <v>576</v>
      </c>
      <c r="AR33" s="40">
        <v>576</v>
      </c>
      <c r="AS33" s="40">
        <v>480</v>
      </c>
      <c r="AT33" s="40"/>
      <c r="AU33" s="40">
        <v>261</v>
      </c>
      <c r="AV33" s="40">
        <v>265</v>
      </c>
      <c r="AW33" s="40">
        <v>276</v>
      </c>
      <c r="AX33" s="40">
        <v>475</v>
      </c>
      <c r="AY33" s="40">
        <v>278</v>
      </c>
      <c r="AZ33" s="40">
        <v>310</v>
      </c>
      <c r="BA33" s="40">
        <v>576</v>
      </c>
      <c r="BB33" s="40">
        <v>576</v>
      </c>
      <c r="BC33" s="40">
        <v>410</v>
      </c>
      <c r="BD33" s="40"/>
      <c r="BE33" s="40">
        <v>303</v>
      </c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Z33" s="10"/>
    </row>
    <row r="34" spans="1:78" s="39" customFormat="1" ht="16.149999999999999" x14ac:dyDescent="0.4">
      <c r="A34" s="49"/>
      <c r="B34" s="40" t="s">
        <v>38</v>
      </c>
      <c r="C34" s="40">
        <v>136.30000000000001</v>
      </c>
      <c r="D34" s="40">
        <v>139.1</v>
      </c>
      <c r="E34" s="45">
        <v>117.6</v>
      </c>
      <c r="F34" s="45">
        <v>120.3</v>
      </c>
      <c r="G34" s="45">
        <v>131.30000000000001</v>
      </c>
      <c r="H34" s="45">
        <v>125.8</v>
      </c>
      <c r="I34" s="40">
        <v>97.7</v>
      </c>
      <c r="J34" s="40">
        <v>104.4</v>
      </c>
      <c r="K34" s="40">
        <v>112.7</v>
      </c>
      <c r="L34" s="40">
        <v>120.5</v>
      </c>
      <c r="M34" s="40"/>
      <c r="N34" s="40">
        <v>121.2</v>
      </c>
      <c r="O34" s="40">
        <v>124.1</v>
      </c>
      <c r="P34" s="40">
        <v>126.6</v>
      </c>
      <c r="Q34" s="40">
        <v>132.5</v>
      </c>
      <c r="R34" s="40">
        <v>141.4</v>
      </c>
      <c r="S34" s="40">
        <v>154.19999999999999</v>
      </c>
      <c r="T34" s="40">
        <v>147.69999999999999</v>
      </c>
      <c r="U34" s="40">
        <v>142.19999999999999</v>
      </c>
      <c r="V34" s="40">
        <v>138.80000000000001</v>
      </c>
      <c r="W34" s="40">
        <v>165.7</v>
      </c>
      <c r="X34" s="40">
        <v>159</v>
      </c>
      <c r="Y34" s="40">
        <v>154.30000000000001</v>
      </c>
      <c r="Z34" s="40"/>
      <c r="AA34" s="40">
        <v>97.8</v>
      </c>
      <c r="AB34" s="40">
        <v>100.2</v>
      </c>
      <c r="AC34" s="40">
        <v>105.3</v>
      </c>
      <c r="AD34" s="40">
        <v>115.2</v>
      </c>
      <c r="AE34" s="40">
        <v>103</v>
      </c>
      <c r="AF34" s="40">
        <v>118.7</v>
      </c>
      <c r="AG34" s="40">
        <v>121.2</v>
      </c>
      <c r="AH34" s="40">
        <v>131.4</v>
      </c>
      <c r="AI34" s="40">
        <v>140.80000000000001</v>
      </c>
      <c r="AJ34" s="40">
        <v>135.9</v>
      </c>
      <c r="AK34" s="40">
        <v>98.5</v>
      </c>
      <c r="AL34" s="40">
        <v>100.4</v>
      </c>
      <c r="AM34" s="40">
        <v>104.3</v>
      </c>
      <c r="AN34" s="40">
        <v>117.1</v>
      </c>
      <c r="AO34" s="40">
        <v>117.8</v>
      </c>
      <c r="AP34" s="40">
        <v>120.6</v>
      </c>
      <c r="AQ34" s="40">
        <v>132.9</v>
      </c>
      <c r="AR34" s="40">
        <v>140.6</v>
      </c>
      <c r="AS34" s="40">
        <v>137.1</v>
      </c>
      <c r="AT34" s="40"/>
      <c r="AU34" s="40">
        <v>97.3</v>
      </c>
      <c r="AV34" s="40">
        <v>100.1</v>
      </c>
      <c r="AW34" s="40">
        <v>106.2</v>
      </c>
      <c r="AX34" s="40">
        <v>117.8</v>
      </c>
      <c r="AY34" s="40">
        <v>116.2</v>
      </c>
      <c r="AZ34" s="40">
        <v>120.3</v>
      </c>
      <c r="BA34" s="40">
        <v>135.19999999999999</v>
      </c>
      <c r="BB34" s="40">
        <v>145.4</v>
      </c>
      <c r="BC34" s="40">
        <v>135.6</v>
      </c>
      <c r="BD34" s="40"/>
      <c r="BE34" s="40">
        <v>139.4</v>
      </c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Z34" s="10"/>
    </row>
    <row r="35" spans="1:78" ht="16.149999999999999" x14ac:dyDescent="0.4">
      <c r="A35" s="49"/>
      <c r="B35" s="11" t="s">
        <v>39</v>
      </c>
      <c r="C35" s="11">
        <v>478.97399999999999</v>
      </c>
      <c r="D35" s="11">
        <v>481.37599999999998</v>
      </c>
      <c r="E35" s="45">
        <v>479.596</v>
      </c>
      <c r="F35" s="45">
        <v>481.92200000000003</v>
      </c>
      <c r="G35" s="45">
        <v>481.06099999999998</v>
      </c>
      <c r="H35" s="45">
        <v>480.72899999999998</v>
      </c>
      <c r="I35" s="19">
        <v>478.75</v>
      </c>
      <c r="J35" s="34">
        <v>480.68200000000002</v>
      </c>
      <c r="K35" s="15">
        <v>479.70400000000001</v>
      </c>
      <c r="L35" s="11">
        <v>481.87599999999998</v>
      </c>
      <c r="M35" s="34"/>
      <c r="N35" s="11">
        <v>481.12200000000001</v>
      </c>
      <c r="O35" s="11">
        <v>480.54500000000002</v>
      </c>
      <c r="P35" s="11">
        <v>481.459</v>
      </c>
      <c r="Q35" s="11">
        <v>480.92</v>
      </c>
      <c r="R35" s="11">
        <v>483.91300000000001</v>
      </c>
      <c r="S35" s="11">
        <v>480.404</v>
      </c>
      <c r="T35" s="42">
        <v>478.49599999999998</v>
      </c>
      <c r="U35" s="34">
        <v>481.291</v>
      </c>
      <c r="V35" s="11">
        <v>480.96600000000001</v>
      </c>
      <c r="W35" s="19">
        <v>480.37</v>
      </c>
      <c r="X35" s="11">
        <v>480.93200000000002</v>
      </c>
      <c r="Y35" s="11">
        <v>480.14499999999998</v>
      </c>
      <c r="Z35" s="34"/>
      <c r="AA35" s="11">
        <v>480.74700000000001</v>
      </c>
      <c r="AB35" s="11">
        <v>480.63499999999999</v>
      </c>
      <c r="AC35" s="11">
        <v>480.887</v>
      </c>
      <c r="AD35" s="11">
        <v>480.80500000000001</v>
      </c>
      <c r="AE35" s="11">
        <v>483.92</v>
      </c>
      <c r="AF35" s="29">
        <v>482.33199999999999</v>
      </c>
      <c r="AG35" s="11">
        <v>480.08</v>
      </c>
      <c r="AH35" s="11">
        <v>483.42</v>
      </c>
      <c r="AI35" s="11">
        <v>481.13799999999998</v>
      </c>
      <c r="AJ35" s="29">
        <v>480.52</v>
      </c>
      <c r="AK35" s="11">
        <v>480.98099999999999</v>
      </c>
      <c r="AL35" s="11">
        <v>482.01900000000001</v>
      </c>
      <c r="AM35" s="11">
        <v>482.40600000000001</v>
      </c>
      <c r="AN35" s="36">
        <v>482.57</v>
      </c>
      <c r="AO35" s="36">
        <v>484.52600000000001</v>
      </c>
      <c r="AP35" s="36">
        <v>481.55900000000003</v>
      </c>
      <c r="AQ35" s="36">
        <v>484.64800000000002</v>
      </c>
      <c r="AR35" s="36">
        <v>481.72800000000001</v>
      </c>
      <c r="AS35" s="36">
        <v>483.17200000000003</v>
      </c>
      <c r="AT35" s="42"/>
      <c r="AU35" s="36">
        <v>482.88600000000002</v>
      </c>
      <c r="AV35" s="36">
        <v>483.94799999999998</v>
      </c>
      <c r="AW35" s="36">
        <v>483.97500000000002</v>
      </c>
      <c r="AX35" s="36">
        <v>485.51799999999997</v>
      </c>
      <c r="AY35" s="36">
        <v>483.80200000000002</v>
      </c>
      <c r="AZ35" s="36">
        <v>482.56299999999999</v>
      </c>
      <c r="BA35" s="36">
        <v>484.62099999999998</v>
      </c>
      <c r="BB35" s="36">
        <v>485.33300000000003</v>
      </c>
      <c r="BC35" s="36">
        <v>483.14499999999998</v>
      </c>
      <c r="BD35" s="44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Z35" s="38"/>
    </row>
    <row r="36" spans="1:78" x14ac:dyDescent="0.4">
      <c r="A36" s="49"/>
      <c r="B36" s="11" t="s">
        <v>40</v>
      </c>
      <c r="C36" s="11">
        <v>4520.24</v>
      </c>
      <c r="D36" s="11">
        <v>4518.67</v>
      </c>
      <c r="E36" s="45">
        <v>4516.93</v>
      </c>
      <c r="F36" s="45">
        <v>4521.67</v>
      </c>
      <c r="G36" s="45">
        <v>4516.0200000000004</v>
      </c>
      <c r="H36" s="45">
        <v>4527.25</v>
      </c>
      <c r="I36" s="19">
        <v>4511.49</v>
      </c>
      <c r="J36" s="34">
        <v>4515.09</v>
      </c>
      <c r="K36" s="15">
        <v>4523.53</v>
      </c>
      <c r="L36" s="11">
        <v>4505.99</v>
      </c>
      <c r="M36" s="34"/>
      <c r="N36" s="11">
        <v>4529.8900000000003</v>
      </c>
      <c r="O36" s="17">
        <v>4526.96</v>
      </c>
      <c r="P36" s="11">
        <v>4514.84</v>
      </c>
      <c r="Q36" s="11">
        <v>4520.74</v>
      </c>
      <c r="R36" s="11">
        <v>4519.6499999999996</v>
      </c>
      <c r="S36" s="11">
        <v>4522.2700000000004</v>
      </c>
      <c r="T36" s="34">
        <v>4518.05</v>
      </c>
      <c r="U36" s="34">
        <v>4522.9799999999996</v>
      </c>
      <c r="V36" s="11">
        <v>4520.13</v>
      </c>
      <c r="W36" s="19">
        <v>4531.49</v>
      </c>
      <c r="X36" s="11">
        <v>4534.4799999999996</v>
      </c>
      <c r="Y36" s="11">
        <v>4536.12</v>
      </c>
      <c r="Z36" s="34"/>
      <c r="AA36" s="11">
        <v>4515.05</v>
      </c>
      <c r="AB36" s="11">
        <v>4517.54</v>
      </c>
      <c r="AC36" s="11">
        <v>4515.88</v>
      </c>
      <c r="AD36" s="11">
        <v>4516.6000000000004</v>
      </c>
      <c r="AE36" s="11">
        <v>4516.49</v>
      </c>
      <c r="AF36" s="29">
        <v>4534.93</v>
      </c>
      <c r="AG36" s="11">
        <v>4534.96</v>
      </c>
      <c r="AH36" s="11">
        <v>4534.2700000000004</v>
      </c>
      <c r="AI36" s="11">
        <v>4539.1899999999996</v>
      </c>
      <c r="AJ36" s="29">
        <v>4551.75</v>
      </c>
      <c r="AK36" s="11">
        <v>4544.88</v>
      </c>
      <c r="AL36" s="11">
        <v>4517.03</v>
      </c>
      <c r="AM36" s="11">
        <v>4533.5200000000004</v>
      </c>
      <c r="AN36" s="36">
        <v>4537.78</v>
      </c>
      <c r="AO36" s="36">
        <v>4539.01</v>
      </c>
      <c r="AP36" s="36">
        <v>4537.51</v>
      </c>
      <c r="AQ36" s="36">
        <v>4528.01</v>
      </c>
      <c r="AR36" s="36">
        <v>4538.17</v>
      </c>
      <c r="AS36" s="36">
        <v>4557.8599999999997</v>
      </c>
      <c r="AT36" s="42"/>
      <c r="AU36" s="36">
        <v>4531.3100000000004</v>
      </c>
      <c r="AV36" s="36">
        <v>4549.37</v>
      </c>
      <c r="AW36" s="36">
        <v>4551.43</v>
      </c>
      <c r="AX36" s="36">
        <v>4540.8</v>
      </c>
      <c r="AY36" s="36">
        <v>4543.63</v>
      </c>
      <c r="AZ36" s="36">
        <v>4554.3999999999996</v>
      </c>
      <c r="BA36" s="36">
        <v>4543.67</v>
      </c>
      <c r="BB36" s="36">
        <v>4569.59</v>
      </c>
      <c r="BC36" s="36">
        <v>4553.58</v>
      </c>
      <c r="BD36" s="44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Z36" s="38"/>
    </row>
    <row r="37" spans="1:78" x14ac:dyDescent="0.4">
      <c r="A37" s="49"/>
      <c r="B37" s="11" t="s">
        <v>41</v>
      </c>
      <c r="C37" s="11">
        <v>4012.25</v>
      </c>
      <c r="D37" s="11">
        <v>3912.32</v>
      </c>
      <c r="E37" s="45">
        <v>4026.06</v>
      </c>
      <c r="F37" s="45">
        <v>3955.87</v>
      </c>
      <c r="G37" s="45">
        <v>3490.45</v>
      </c>
      <c r="H37" s="45">
        <v>3673.71</v>
      </c>
      <c r="I37" s="19">
        <v>3859.46</v>
      </c>
      <c r="J37" s="34">
        <v>3610.44</v>
      </c>
      <c r="K37" s="15">
        <v>3229.19</v>
      </c>
      <c r="L37" s="11">
        <v>2938.66</v>
      </c>
      <c r="M37" s="34"/>
      <c r="N37" s="11">
        <v>3563.26</v>
      </c>
      <c r="O37" s="11">
        <v>3503.45</v>
      </c>
      <c r="P37" s="11">
        <v>3452.19</v>
      </c>
      <c r="Q37" s="11">
        <v>3303.42</v>
      </c>
      <c r="R37" s="11">
        <v>2969.7</v>
      </c>
      <c r="S37" s="11">
        <v>3518.68</v>
      </c>
      <c r="T37" s="34">
        <v>3726.43</v>
      </c>
      <c r="U37" s="34">
        <v>3878.06</v>
      </c>
      <c r="V37" s="11">
        <v>3928.81</v>
      </c>
      <c r="W37" s="19">
        <v>3901.15</v>
      </c>
      <c r="X37" s="11">
        <v>4134.4399999999996</v>
      </c>
      <c r="Y37" s="11">
        <v>4212.71</v>
      </c>
      <c r="Z37" s="34"/>
      <c r="AA37" s="11">
        <v>3815.04</v>
      </c>
      <c r="AB37" s="11">
        <v>3699.53</v>
      </c>
      <c r="AC37" s="11">
        <v>3538.37</v>
      </c>
      <c r="AD37" s="11">
        <v>3048.09</v>
      </c>
      <c r="AE37" s="11">
        <v>3597.5</v>
      </c>
      <c r="AF37" s="29">
        <v>4037.71</v>
      </c>
      <c r="AG37" s="11">
        <v>3928.48</v>
      </c>
      <c r="AH37" s="11">
        <v>3473.09</v>
      </c>
      <c r="AI37" s="11">
        <v>3906.43</v>
      </c>
      <c r="AJ37" s="30">
        <v>4231.32</v>
      </c>
      <c r="AK37" s="11">
        <v>3824.22</v>
      </c>
      <c r="AL37" s="11">
        <v>3720.42</v>
      </c>
      <c r="AM37" s="11">
        <v>3552.64</v>
      </c>
      <c r="AN37" s="36">
        <v>3033.57</v>
      </c>
      <c r="AO37" s="36">
        <v>4083.74</v>
      </c>
      <c r="AP37" s="36">
        <v>3963.96</v>
      </c>
      <c r="AQ37" s="36">
        <v>3459.2</v>
      </c>
      <c r="AR37" s="36">
        <v>3881.41</v>
      </c>
      <c r="AS37" s="36">
        <v>3907.42</v>
      </c>
      <c r="AT37" s="42"/>
      <c r="AU37" s="36">
        <v>3762.77</v>
      </c>
      <c r="AV37" s="36">
        <v>3619.14</v>
      </c>
      <c r="AW37" s="36">
        <v>3401.67</v>
      </c>
      <c r="AX37" s="36">
        <v>2881.52</v>
      </c>
      <c r="AY37" s="36">
        <v>3927.32</v>
      </c>
      <c r="AZ37" s="36">
        <v>3795.54</v>
      </c>
      <c r="BA37" s="36">
        <v>3386.35</v>
      </c>
      <c r="BB37" s="36">
        <v>3681.69</v>
      </c>
      <c r="BC37" s="36">
        <v>3954.65</v>
      </c>
      <c r="BD37" s="44"/>
      <c r="BE37" s="36">
        <v>4204.54</v>
      </c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Z37" s="10"/>
    </row>
    <row r="38" spans="1:78" x14ac:dyDescent="0.4">
      <c r="A38" s="49"/>
      <c r="B38" s="11" t="s">
        <v>42</v>
      </c>
      <c r="C38" s="32">
        <f>C34/3600*([1]!Enthalpy("carbon dioxide","TP","SI",C16+273.15,C27)-[1]!Enthalpy("carbon dioxide","TP","SI",C13+273.15,C25))*1000</f>
        <v>4761.2096124757527</v>
      </c>
      <c r="D38" s="32">
        <f>D34/3600*([1]!Enthalpy("carbon dioxide","TP","SI",D16+273.15,D27)-[1]!Enthalpy("carbon dioxide","TP","SI",D13+273.15,D25))*1000</f>
        <v>4692.1736380733073</v>
      </c>
      <c r="E38" s="45">
        <f>E34/3600*([1]!Enthalpy("carbon dioxide","TP","SI",E16+273.15,E27)-[1]!Enthalpy("carbon dioxide","TP","SI",E13+273.15,E25))*1000</f>
        <v>4670.1910179261877</v>
      </c>
      <c r="F38" s="45">
        <f>F34/3600*([1]!Enthalpy("carbon dioxide","TP","SI",F16+273.15,F27)-[1]!Enthalpy("carbon dioxide","TP","SI",F13+273.15,F25))*1000</f>
        <v>4588.9867648947838</v>
      </c>
      <c r="G38" s="45">
        <f>G34/3600*([1]!Enthalpy("carbon dioxide","TP","SI",G16+273.15,G27)-[1]!Enthalpy("carbon dioxide","TP","SI",G13+273.15,G25))*1000</f>
        <v>4182.9831017580655</v>
      </c>
      <c r="H38" s="45">
        <f>H34/3600*([1]!Enthalpy("carbon dioxide","TP","SI",H16+273.15,H27)-[1]!Enthalpy("carbon dioxide","TP","SI",H13+273.15,H25))*1000</f>
        <v>4335.9104311465453</v>
      </c>
      <c r="I38" s="32">
        <f>I34/3600*([1]!Enthalpy("carbon dioxide","TP","SI",I16+273.15,I27)-[1]!Enthalpy("carbon dioxide","TP","SI",I13+273.15,I25))*1000</f>
        <v>4384.2833331952233</v>
      </c>
      <c r="J38" s="34">
        <f>J34/3600*([1]!Enthalpy("carbon dioxide","TP","SI",J16+273.15,J27)-[1]!Enthalpy("carbon dioxide","TP","SI",J13+273.15,J25))*1000</f>
        <v>4089.1414385333428</v>
      </c>
      <c r="K38" s="32">
        <f>K34/3600*([1]!Enthalpy("carbon dioxide","TP","SI",K16+273.15,K27)-[1]!Enthalpy("carbon dioxide","TP","SI",K13+273.15,K25))*1000</f>
        <v>3871.6175201652954</v>
      </c>
      <c r="L38" s="32">
        <f>L34/3600*([1]!Enthalpy("carbon dioxide","TP","SI",L16+273.15,L27)-[1]!Enthalpy("carbon dioxide","TP","SI",L13+273.15,L25))*1000</f>
        <v>3514.6828144147903</v>
      </c>
      <c r="M38" s="34"/>
      <c r="N38" s="32">
        <f>N34/3600*([1]!Enthalpy("carbon dioxide","TP","SI",N16+273.15,N27)-[1]!Enthalpy("carbon dioxide","TP","SI",N13+273.15,N25))*1000</f>
        <v>4167.5023688416695</v>
      </c>
      <c r="O38" s="32">
        <f>O34/3600*([1]!Enthalpy("carbon dioxide","TP","SI",O16+273.15,O27)-[1]!Enthalpy("carbon dioxide","TP","SI",O13+273.15,O25))*1000</f>
        <v>4133.5246458350321</v>
      </c>
      <c r="P38" s="32">
        <f>P34/3600*([1]!Enthalpy("carbon dioxide","TP","SI",P16+273.15,P27)-[1]!Enthalpy("carbon dioxide","TP","SI",P13+273.15,P25))*1000</f>
        <v>4068.028325467526</v>
      </c>
      <c r="Q38" s="32">
        <f>Q34/3600*([1]!Enthalpy("carbon dioxide","TP","SI",Q16+273.15,Q27)-[1]!Enthalpy("carbon dioxide","TP","SI",Q13+273.15,Q25))*1000</f>
        <v>3980.8311658688194</v>
      </c>
      <c r="R38" s="32">
        <f>R34/3600*([1]!Enthalpy("carbon dioxide","TP","SI",R16+273.15,R27)-[1]!Enthalpy("carbon dioxide","TP","SI",R13+273.15,R25))*1000</f>
        <v>3693.378255089679</v>
      </c>
      <c r="S38" s="32">
        <f>S34/3600*([1]!Enthalpy("carbon dioxide","TP","SI",S16+273.15,S27)-[1]!Enthalpy("carbon dioxide","TP","SI",S13+273.15,S25))*1000</f>
        <v>4377.8669408180158</v>
      </c>
      <c r="T38" s="32">
        <f>T34/3600*([1]!Enthalpy("carbon dioxide","TP","SI",T16+273.15,T27)-[1]!Enthalpy("carbon dioxide","TP","SI",T13+273.15,T25))*1000</f>
        <v>4582.1853018570873</v>
      </c>
      <c r="U38" s="42">
        <f>U34/3600*([1]!Enthalpy("carbon dioxide","TP","SI",U16+273.15,U27)-[1]!Enthalpy("carbon dioxide","TP","SI",U13+273.15,U25))*1000</f>
        <v>4679.8110087910491</v>
      </c>
      <c r="V38" s="32">
        <f>V34/3600*([1]!Enthalpy("carbon dioxide","TP","SI",V16+273.15,V27)-[1]!Enthalpy("carbon dioxide","TP","SI",V13+273.15,V25))*1000</f>
        <v>4710.3883853882562</v>
      </c>
      <c r="W38" s="32">
        <f>W34/3600*([1]!Enthalpy("carbon dioxide","TP","SI",W16+273.15,W27)-[1]!Enthalpy("carbon dioxide","TP","SI",W13+273.15,W25))*1000</f>
        <v>4945.3347239103214</v>
      </c>
      <c r="X38" s="32">
        <f>X34/3600*([1]!Enthalpy("carbon dioxide","TP","SI",X16+273.15,X27)-[1]!Enthalpy("carbon dioxide","TP","SI",X13+273.15,X25))*1000</f>
        <v>5103.4529194525967</v>
      </c>
      <c r="Y38" s="32">
        <f>Y34/3600*([1]!Enthalpy("carbon dioxide","TP","SI",Y16+273.15,Y27)-[1]!Enthalpy("carbon dioxide","TP","SI",Y13+273.15,Y25))*1000</f>
        <v>5148.77827877667</v>
      </c>
      <c r="Z38" s="34"/>
      <c r="AA38" s="32">
        <f>AA34/3600*([1]!Enthalpy("carbon dioxide","TP","SI",AA16+273.15,AA27)-[1]!Enthalpy("carbon dioxide","TP","SI",AA13+273.15,AA25))*1000</f>
        <v>4414.8516290021507</v>
      </c>
      <c r="AB38" s="32">
        <f>AB34/3600*([1]!Enthalpy("carbon dioxide","TP","SI",AB16+273.15,AB27)-[1]!Enthalpy("carbon dioxide","TP","SI",AB13+273.15,AB25))*1000</f>
        <v>4245.1359114613269</v>
      </c>
      <c r="AC38" s="32">
        <f>AC34/3600*([1]!Enthalpy("carbon dioxide","TP","SI",AC16+273.15,AC27)-[1]!Enthalpy("carbon dioxide","TP","SI",AC13+273.15,AC25))*1000</f>
        <v>4160.4358491087469</v>
      </c>
      <c r="AD38" s="32">
        <f>AD34/3600*([1]!Enthalpy("carbon dioxide","TP","SI",AD16+273.15,AD27)-[1]!Enthalpy("carbon dioxide","TP","SI",AD13+273.15,AD25))*1000</f>
        <v>3712.9666272480408</v>
      </c>
      <c r="AE38" s="32">
        <f>AE34/3600*([1]!Enthalpy("carbon dioxide","TP","SI",AE16+273.15,AE27)-[1]!Enthalpy("carbon dioxide","TP","SI",AE13+273.15,AE25))*1000</f>
        <v>4185.6911278029775</v>
      </c>
      <c r="AF38" s="32">
        <f>AF34/3600*([1]!Enthalpy("carbon dioxide","TP","SI",AF16+273.15,AF27)-[1]!Enthalpy("carbon dioxide","TP","SI",AF13+273.15,AF25))*1000</f>
        <v>4694.5014062046803</v>
      </c>
      <c r="AG38" s="32">
        <f>AG34/3600*([1]!Enthalpy("carbon dioxide","TP","SI",AG16+273.15,AG27)-[1]!Enthalpy("carbon dioxide","TP","SI",AG13+273.15,AG25))*1000</f>
        <v>4594.3458771116839</v>
      </c>
      <c r="AH38" s="42">
        <f>AH34/3600*([1]!Enthalpy("carbon dioxide","TP","SI",AH16+273.15,AH27)-[1]!Enthalpy("carbon dioxide","TP","SI",AH13+273.15,AH25))*1000</f>
        <v>-3499.0080391040015</v>
      </c>
      <c r="AI38" s="42">
        <f>AI34/3600*([1]!Enthalpy("carbon dioxide","TP","SI",AI16+273.15,AI27)-[1]!Enthalpy("carbon dioxide","TP","SI",AI13+273.15,AI25))*1000</f>
        <v>4765.269789789324</v>
      </c>
      <c r="AJ38" s="42">
        <f>AJ34/3600*([1]!Enthalpy("carbon dioxide","TP","SI",AJ16+273.15,AJ27)-[1]!Enthalpy("carbon dioxide","TP","SI",AJ13+273.15,AJ25))*1000</f>
        <v>4943.2125442066454</v>
      </c>
      <c r="AK38" s="32">
        <f>AK34/3600*([1]!Enthalpy("carbon dioxide","TP","SI",AK16+273.15,AK27)-[1]!Enthalpy("carbon dioxide","TP","SI",AK13+273.15,AK25))*1000</f>
        <v>4412.1234026061838</v>
      </c>
      <c r="AL38" s="32">
        <f>AL34/3600*([1]!Enthalpy("carbon dioxide","TP","SI",AL16+273.15,AL27)-[1]!Enthalpy("carbon dioxide","TP","SI",AL13+273.15,AL25))*1000</f>
        <v>4272.4060688097934</v>
      </c>
      <c r="AM38" s="32">
        <f>AM34/3600*([1]!Enthalpy("carbon dioxide","TP","SI",AM16+273.15,AM27)-[1]!Enthalpy("carbon dioxide","TP","SI",AM13+273.15,AM25))*1000</f>
        <v>4118.0160587935197</v>
      </c>
      <c r="AN38" s="36">
        <f>AN34/3600*([1]!Enthalpy("carbon dioxide","TP","SI",AN16+273.15,AN27)-[1]!Enthalpy("carbon dioxide","TP","SI",AN13+273.15,AN25))*1000</f>
        <v>3752.1666096491513</v>
      </c>
      <c r="AO38" s="36">
        <f>AO34/3600*([1]!Enthalpy("carbon dioxide","TP","SI",AO16+273.15,AO27)-[1]!Enthalpy("carbon dioxide","TP","SI",AO13+273.15,AO25))*1000</f>
        <v>4809.2812134411488</v>
      </c>
      <c r="AP38" s="42">
        <f>AP34/3600*([1]!Enthalpy("carbon dioxide","TP","SI",AP16+273.15,AP27)-[1]!Enthalpy("carbon dioxide","TP","SI",AP13+273.15,AP25))*1000</f>
        <v>4706.9175609607564</v>
      </c>
      <c r="AQ38" s="42">
        <f>AQ34/3600*([1]!Enthalpy("carbon dioxide","TP","SI",AQ16+273.15,AQ27)-[1]!Enthalpy("carbon dioxide","TP","SI",AQ13+273.15,AQ25))*1000</f>
        <v>4292.6207030860669</v>
      </c>
      <c r="AR38" s="42">
        <f>AR34/3600*([1]!Enthalpy("carbon dioxide","TP","SI",AR16+273.15,AR27)-[1]!Enthalpy("carbon dioxide","TP","SI",AR13+273.15,AR25))*1000</f>
        <v>4838.0451573757082</v>
      </c>
      <c r="AS38" s="42">
        <f>AS34/3600*([1]!Enthalpy("carbon dioxide","TP","SI",AS16+273.15,AS27)-[1]!Enthalpy("carbon dioxide","TP","SI",AS13+273.15,AS25))*1000</f>
        <v>4888.1025090354178</v>
      </c>
      <c r="AT38" s="42"/>
      <c r="AU38" s="42">
        <f>AU34/3600*([1]!Enthalpy("carbon dioxide","TP","SI",AU16+273.15,AU27)-[1]!Enthalpy("carbon dioxide","TP","SI",AU13+273.15,AU25))*1000</f>
        <v>4415.2717570243012</v>
      </c>
      <c r="AV38" s="42">
        <f>AV34/3600*([1]!Enthalpy("carbon dioxide","TP","SI",AV16+273.15,AV27)-[1]!Enthalpy("carbon dioxide","TP","SI",AV13+273.15,AV25))*1000</f>
        <v>4348.0349650527578</v>
      </c>
      <c r="AW38" s="42">
        <f>AW34/3600*([1]!Enthalpy("carbon dioxide","TP","SI",AW16+273.15,AW27)-[1]!Enthalpy("carbon dioxide","TP","SI",AW13+273.15,AW25))*1000</f>
        <v>4203.5762947263856</v>
      </c>
      <c r="AX38" s="42">
        <f>AX34/3600*([1]!Enthalpy("carbon dioxide","TP","SI",AX16+273.15,AX27)-[1]!Enthalpy("carbon dioxide","TP","SI",AX13+273.15,AX25))*1000</f>
        <v>3722.9538724191329</v>
      </c>
      <c r="AY38" s="44">
        <f>AY34/3600*([1]!Enthalpy("carbon dioxide","TP","SI",AY16+273.15,AY27)-[1]!Enthalpy("carbon dioxide","TP","SI",AY13+273.15,AY25))*1000</f>
        <v>4802.9381065289208</v>
      </c>
      <c r="AZ38" s="44">
        <f>AZ34/3600*([1]!Enthalpy("carbon dioxide","TP","SI",AZ16+273.15,AZ27)-[1]!Enthalpy("carbon dioxide","TP","SI",AZ13+273.15,AZ25))*1000</f>
        <v>4659.8989068602841</v>
      </c>
      <c r="BA38" s="44">
        <f>BA34/3600*([1]!Enthalpy("carbon dioxide","TP","SI",BA16+273.15,BA27)-[1]!Enthalpy("carbon dioxide","TP","SI",BA13+273.15,BA25))*1000</f>
        <v>4498.1770862334834</v>
      </c>
      <c r="BB38" s="44">
        <f>BB34/3600*([1]!Enthalpy("carbon dioxide","TP","SI",BB16+273.15,BB27)-[1]!Enthalpy("carbon dioxide","TP","SI",BB13+273.15,BB25))*1000</f>
        <v>5228.9660768654576</v>
      </c>
      <c r="BC38" s="44">
        <f>BC34/3600*([1]!Enthalpy("carbon dioxide","TP","SI",BC16+273.15,BC27)-[1]!Enthalpy("carbon dioxide","TP","SI",BC13+273.15,BC25))*1000</f>
        <v>5206.5633117802336</v>
      </c>
      <c r="BD38" s="44"/>
      <c r="BE38" s="44">
        <f>BE34/3600*([1]!Enthalpy("carbon dioxide","TP","SI",BE16+273.15,BE27)-[1]!Enthalpy("carbon dioxide","TP","SI",BE13+273.15,BE25))*1000</f>
        <v>146.86041617276834</v>
      </c>
      <c r="BF38" s="44" t="e">
        <f>BF34/3600*([1]!Enthalpy("carbon dioxide","TP","SI",BF16+273.15,BF27)-[1]!Enthalpy("carbon dioxide","TP","SI",BF13+273.15,BF25))*1000</f>
        <v>#VALUE!</v>
      </c>
      <c r="BG38" s="44" t="e">
        <f>BG34/3600*([1]!Enthalpy("carbon dioxide","TP","SI",BG16+273.15,BG27)-[1]!Enthalpy("carbon dioxide","TP","SI",BG13+273.15,BG25))*1000</f>
        <v>#VALUE!</v>
      </c>
      <c r="BH38" s="44" t="e">
        <f>BH34/3600*([1]!Enthalpy("carbon dioxide","TP","SI",BH16+273.15,BH27)-[1]!Enthalpy("carbon dioxide","TP","SI",BH13+273.15,BH25))*1000</f>
        <v>#VALUE!</v>
      </c>
      <c r="BI38" s="44" t="e">
        <f>BI34/3600*([1]!Enthalpy("carbon dioxide","TP","SI",BI16+273.15,BI27)-[1]!Enthalpy("carbon dioxide","TP","SI",BI13+273.15,BI25))*1000</f>
        <v>#VALUE!</v>
      </c>
      <c r="BJ38" s="44" t="e">
        <f>BJ34/3600*([1]!Enthalpy("carbon dioxide","TP","SI",BJ16+273.15,BJ27)-[1]!Enthalpy("carbon dioxide","TP","SI",BJ13+273.15,BJ25))*1000</f>
        <v>#VALUE!</v>
      </c>
      <c r="BK38" s="44" t="e">
        <f>BK34/3600*([1]!Enthalpy("carbon dioxide","TP","SI",BK16+273.15,BK27)-[1]!Enthalpy("carbon dioxide","TP","SI",BK13+273.15,BK25))*1000</f>
        <v>#VALUE!</v>
      </c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Z38" s="38"/>
    </row>
    <row r="39" spans="1:78" x14ac:dyDescent="0.4">
      <c r="A39" s="49"/>
      <c r="B39" s="11" t="s">
        <v>43</v>
      </c>
      <c r="C39" s="11"/>
      <c r="D39" s="32"/>
      <c r="E39" s="45"/>
      <c r="F39" s="45"/>
      <c r="G39" s="45"/>
      <c r="H39" s="45"/>
      <c r="I39" s="15"/>
      <c r="J39" s="34"/>
      <c r="K39" s="15"/>
      <c r="L39" s="11"/>
      <c r="M39" s="34"/>
      <c r="N39" s="11"/>
      <c r="O39" s="11"/>
      <c r="P39" s="11"/>
      <c r="Q39" s="11"/>
      <c r="R39" s="11"/>
      <c r="S39" s="11"/>
      <c r="T39" s="34"/>
      <c r="U39" s="34"/>
      <c r="V39" s="11"/>
      <c r="W39" s="19"/>
      <c r="X39" s="11"/>
      <c r="Y39" s="11"/>
      <c r="Z39" s="34"/>
      <c r="AA39" s="11"/>
      <c r="AB39" s="11"/>
      <c r="AC39" s="11"/>
      <c r="AD39" s="11"/>
      <c r="AE39" s="11"/>
      <c r="AF39" s="29"/>
      <c r="AG39" s="11"/>
      <c r="AH39" s="11"/>
      <c r="AI39" s="11"/>
      <c r="AJ39" s="29"/>
      <c r="AK39" s="11"/>
      <c r="AL39" s="11"/>
      <c r="AM39" s="11"/>
      <c r="AN39" s="36"/>
      <c r="AO39" s="36"/>
      <c r="AP39" s="36"/>
      <c r="AQ39" s="36"/>
      <c r="AR39" s="36"/>
      <c r="AS39" s="36"/>
      <c r="AT39" s="42"/>
      <c r="AU39" s="36"/>
      <c r="AV39" s="36"/>
      <c r="AW39" s="36"/>
      <c r="AX39" s="36"/>
      <c r="AY39" s="36"/>
      <c r="AZ39" s="36"/>
      <c r="BA39" s="36"/>
      <c r="BB39" s="36"/>
      <c r="BC39" s="36"/>
      <c r="BD39" s="44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Z39" s="38"/>
    </row>
    <row r="40" spans="1:78" x14ac:dyDescent="0.4">
      <c r="A40" s="49"/>
      <c r="B40" s="11" t="s">
        <v>44</v>
      </c>
      <c r="C40" s="11">
        <f t="shared" ref="C40:U40" si="0">C29*C30</f>
        <v>3277.5</v>
      </c>
      <c r="D40" s="32">
        <f t="shared" si="0"/>
        <v>3243</v>
      </c>
      <c r="E40" s="45">
        <f t="shared" si="0"/>
        <v>2760</v>
      </c>
      <c r="F40" s="45">
        <f t="shared" si="0"/>
        <v>2725.5</v>
      </c>
      <c r="G40" s="45">
        <f t="shared" ref="G40:L40" si="1">G29*G30</f>
        <v>2553</v>
      </c>
      <c r="H40" s="45">
        <f t="shared" si="1"/>
        <v>2656.5</v>
      </c>
      <c r="I40" s="15">
        <f t="shared" si="1"/>
        <v>2311.5</v>
      </c>
      <c r="J40" s="34">
        <f t="shared" si="1"/>
        <v>2139</v>
      </c>
      <c r="K40" s="34">
        <f t="shared" si="1"/>
        <v>2001</v>
      </c>
      <c r="L40" s="34">
        <f t="shared" si="1"/>
        <v>1897.5</v>
      </c>
      <c r="M40" s="34"/>
      <c r="N40" s="11">
        <f t="shared" si="0"/>
        <v>2656.5</v>
      </c>
      <c r="O40" s="13">
        <f t="shared" si="0"/>
        <v>2553</v>
      </c>
      <c r="P40" s="13">
        <f t="shared" si="0"/>
        <v>2484</v>
      </c>
      <c r="Q40" s="13">
        <f t="shared" si="0"/>
        <v>2380.5</v>
      </c>
      <c r="R40" s="13">
        <f t="shared" si="0"/>
        <v>2242.5</v>
      </c>
      <c r="S40" s="42">
        <f t="shared" si="0"/>
        <v>3001.4999999999995</v>
      </c>
      <c r="T40" s="34">
        <f t="shared" si="0"/>
        <v>3139.5</v>
      </c>
      <c r="U40" s="34">
        <f t="shared" si="0"/>
        <v>3243</v>
      </c>
      <c r="V40" s="42">
        <f t="shared" ref="V40" si="2">V29*V30</f>
        <v>3346.4999999999995</v>
      </c>
      <c r="W40" s="19">
        <f t="shared" ref="W40:BK40" si="3">W29*W30</f>
        <v>3795</v>
      </c>
      <c r="X40" s="19">
        <f t="shared" si="3"/>
        <v>3898.5000000000005</v>
      </c>
      <c r="Y40" s="19">
        <f t="shared" si="3"/>
        <v>4002</v>
      </c>
      <c r="Z40" s="34"/>
      <c r="AA40" s="19">
        <f t="shared" si="3"/>
        <v>2311.5</v>
      </c>
      <c r="AB40" s="34">
        <f t="shared" si="3"/>
        <v>2208</v>
      </c>
      <c r="AC40" s="29">
        <f t="shared" si="3"/>
        <v>2139</v>
      </c>
      <c r="AD40" s="29">
        <f t="shared" si="3"/>
        <v>1966.5</v>
      </c>
      <c r="AE40" s="29">
        <f t="shared" si="3"/>
        <v>2173.5</v>
      </c>
      <c r="AF40" s="29">
        <f t="shared" si="3"/>
        <v>2760</v>
      </c>
      <c r="AG40" s="29">
        <f t="shared" si="3"/>
        <v>2725.5</v>
      </c>
      <c r="AH40" s="29">
        <f t="shared" si="3"/>
        <v>2553</v>
      </c>
      <c r="AI40" s="30">
        <f t="shared" si="3"/>
        <v>3243</v>
      </c>
      <c r="AJ40" s="30">
        <f t="shared" si="3"/>
        <v>3312</v>
      </c>
      <c r="AK40" s="29">
        <f t="shared" si="3"/>
        <v>2311.5</v>
      </c>
      <c r="AL40" s="29">
        <f t="shared" si="3"/>
        <v>2208</v>
      </c>
      <c r="AM40" s="36">
        <f t="shared" si="3"/>
        <v>2121.75</v>
      </c>
      <c r="AN40" s="36">
        <f t="shared" si="3"/>
        <v>1931.9999999999998</v>
      </c>
      <c r="AO40" s="36">
        <f t="shared" si="3"/>
        <v>2794.5</v>
      </c>
      <c r="AP40" s="36">
        <f t="shared" si="3"/>
        <v>2725.5</v>
      </c>
      <c r="AQ40" s="36">
        <f t="shared" si="3"/>
        <v>2656.5</v>
      </c>
      <c r="AR40" s="36">
        <f t="shared" si="3"/>
        <v>3243</v>
      </c>
      <c r="AS40" s="36">
        <f t="shared" si="3"/>
        <v>3312</v>
      </c>
      <c r="AT40" s="42"/>
      <c r="AU40" s="36">
        <f t="shared" si="3"/>
        <v>2346</v>
      </c>
      <c r="AV40" s="36">
        <f t="shared" si="3"/>
        <v>2242.5</v>
      </c>
      <c r="AW40" s="36">
        <f t="shared" si="3"/>
        <v>2104.5</v>
      </c>
      <c r="AX40" s="36">
        <f t="shared" si="3"/>
        <v>1931.9999999999998</v>
      </c>
      <c r="AY40" s="36">
        <f t="shared" si="3"/>
        <v>2794.5</v>
      </c>
      <c r="AZ40" s="36">
        <f t="shared" si="3"/>
        <v>2725.5</v>
      </c>
      <c r="BA40" s="36">
        <f t="shared" si="3"/>
        <v>2553</v>
      </c>
      <c r="BB40" s="36">
        <f t="shared" si="3"/>
        <v>3243</v>
      </c>
      <c r="BC40" s="36">
        <f t="shared" si="3"/>
        <v>3346.4999999999995</v>
      </c>
      <c r="BD40" s="44"/>
      <c r="BE40" s="36">
        <f t="shared" si="3"/>
        <v>3381.0000000000005</v>
      </c>
      <c r="BF40" s="36">
        <f t="shared" si="3"/>
        <v>0</v>
      </c>
      <c r="BG40" s="36">
        <f t="shared" si="3"/>
        <v>0</v>
      </c>
      <c r="BH40" s="36">
        <f t="shared" si="3"/>
        <v>0</v>
      </c>
      <c r="BI40" s="36">
        <f t="shared" si="3"/>
        <v>0</v>
      </c>
      <c r="BJ40" s="36">
        <f t="shared" si="3"/>
        <v>0</v>
      </c>
      <c r="BK40" s="36">
        <f t="shared" si="3"/>
        <v>0</v>
      </c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Z40" s="10"/>
    </row>
    <row r="41" spans="1:78" x14ac:dyDescent="0.4">
      <c r="A41" s="49"/>
      <c r="B41" s="11" t="s">
        <v>45</v>
      </c>
      <c r="C41" s="11"/>
      <c r="D41" s="32"/>
      <c r="E41" s="45"/>
      <c r="F41" s="45"/>
      <c r="G41" s="45"/>
      <c r="H41" s="45"/>
      <c r="I41" s="15"/>
      <c r="J41" s="34"/>
      <c r="K41" s="15"/>
      <c r="L41" s="11"/>
      <c r="M41" s="34"/>
      <c r="N41" s="11"/>
      <c r="O41" s="11"/>
      <c r="P41" s="11"/>
      <c r="Q41" s="11"/>
      <c r="R41" s="11"/>
      <c r="S41" s="11"/>
      <c r="T41" s="34"/>
      <c r="U41" s="34"/>
      <c r="V41" s="42"/>
      <c r="W41" s="19"/>
      <c r="X41" s="11"/>
      <c r="Y41" s="11"/>
      <c r="Z41" s="34"/>
      <c r="AA41" s="11"/>
      <c r="AB41" s="11"/>
      <c r="AC41" s="11"/>
      <c r="AD41" s="11"/>
      <c r="AE41" s="11"/>
      <c r="AF41" s="29"/>
      <c r="AG41" s="11"/>
      <c r="AH41" s="11"/>
      <c r="AI41" s="11"/>
      <c r="AJ41" s="29"/>
      <c r="AK41" s="11"/>
      <c r="AL41" s="11"/>
      <c r="AM41" s="11"/>
      <c r="AN41" s="36"/>
      <c r="AO41" s="36"/>
      <c r="AP41" s="36"/>
      <c r="AQ41" s="36"/>
      <c r="AR41" s="36"/>
      <c r="AS41" s="36"/>
      <c r="AT41" s="42"/>
      <c r="AU41" s="36"/>
      <c r="AV41" s="36"/>
      <c r="AW41" s="36"/>
      <c r="AX41" s="36"/>
      <c r="AY41" s="36"/>
      <c r="AZ41" s="36"/>
      <c r="BA41" s="36"/>
      <c r="BB41" s="36"/>
      <c r="BC41" s="36"/>
      <c r="BD41" s="44"/>
      <c r="BE41" s="36"/>
      <c r="BF41" s="36"/>
      <c r="BG41" s="36"/>
      <c r="BH41" s="36"/>
      <c r="BI41" s="36"/>
      <c r="BJ41" s="36"/>
      <c r="BK41" s="36"/>
      <c r="BL41" s="36"/>
      <c r="BM41" s="36"/>
      <c r="BN41" s="36"/>
      <c r="BO41" s="36"/>
      <c r="BP41" s="36"/>
      <c r="BQ41" s="36"/>
      <c r="BR41" s="36"/>
      <c r="BS41" s="36"/>
      <c r="BT41" s="36"/>
      <c r="BU41" s="36"/>
      <c r="BV41" s="36"/>
      <c r="BW41" s="36"/>
      <c r="BX41" s="36"/>
      <c r="BZ41" s="36"/>
    </row>
    <row r="42" spans="1:78" x14ac:dyDescent="0.4">
      <c r="A42" s="49"/>
      <c r="B42" s="11" t="s">
        <v>46</v>
      </c>
      <c r="C42" s="11">
        <f>C37/C40</f>
        <v>1.2241800152555302</v>
      </c>
      <c r="D42" s="32">
        <f>D37/D40</f>
        <v>1.2063891458526057</v>
      </c>
      <c r="E42" s="45">
        <f t="shared" ref="E42:F42" si="4">E37/E40</f>
        <v>1.4587173913043479</v>
      </c>
      <c r="F42" s="45">
        <f t="shared" si="4"/>
        <v>1.4514290955787927</v>
      </c>
      <c r="G42" s="45">
        <f t="shared" ref="G42:L42" si="5">G37/G40</f>
        <v>1.367195456325891</v>
      </c>
      <c r="H42" s="45">
        <f t="shared" si="5"/>
        <v>1.3829136081309994</v>
      </c>
      <c r="I42" s="15">
        <f t="shared" si="5"/>
        <v>1.6696776984642008</v>
      </c>
      <c r="J42" s="34">
        <f t="shared" si="5"/>
        <v>1.6879102384291724</v>
      </c>
      <c r="K42" s="34">
        <f t="shared" si="5"/>
        <v>1.6137881059470265</v>
      </c>
      <c r="L42" s="34">
        <f t="shared" si="5"/>
        <v>1.5487009222661396</v>
      </c>
      <c r="M42" s="34"/>
      <c r="N42" s="11">
        <f t="shared" ref="N42:R42" si="6">N37/N40</f>
        <v>1.3413363448146058</v>
      </c>
      <c r="O42" s="13">
        <f t="shared" si="6"/>
        <v>1.3722875048962004</v>
      </c>
      <c r="P42" s="13">
        <f t="shared" si="6"/>
        <v>1.3897705314009663</v>
      </c>
      <c r="Q42" s="13">
        <f t="shared" si="6"/>
        <v>1.3877000630119722</v>
      </c>
      <c r="R42" s="13">
        <f t="shared" si="6"/>
        <v>1.3242809364548493</v>
      </c>
      <c r="S42" s="42">
        <f t="shared" ref="S42" si="7">S37/S40</f>
        <v>1.1723071797434617</v>
      </c>
      <c r="T42" s="34">
        <f t="shared" ref="T42:U42" si="8">T37/T40</f>
        <v>1.1869501512979774</v>
      </c>
      <c r="U42" s="34">
        <f t="shared" si="8"/>
        <v>1.1958248535306815</v>
      </c>
      <c r="V42" s="42">
        <f t="shared" ref="V42" si="9">V37/V40</f>
        <v>1.1740056775735845</v>
      </c>
      <c r="W42" s="19">
        <f t="shared" ref="W42:BC42" si="10">W37/W40</f>
        <v>1.0279710144927536</v>
      </c>
      <c r="X42" s="19">
        <f t="shared" si="10"/>
        <v>1.0605207130947798</v>
      </c>
      <c r="Y42" s="19">
        <f t="shared" si="10"/>
        <v>1.0526511744127935</v>
      </c>
      <c r="Z42" s="34"/>
      <c r="AA42" s="19">
        <f t="shared" si="10"/>
        <v>1.650460739779364</v>
      </c>
      <c r="AB42" s="34">
        <f t="shared" ref="AB42" si="11">AB37/AB40</f>
        <v>1.675511775362319</v>
      </c>
      <c r="AC42" s="29">
        <f t="shared" si="10"/>
        <v>1.6542169237961664</v>
      </c>
      <c r="AD42" s="29">
        <f t="shared" si="10"/>
        <v>1.550007627765065</v>
      </c>
      <c r="AE42" s="29">
        <f t="shared" si="10"/>
        <v>1.6551644812514377</v>
      </c>
      <c r="AF42" s="29">
        <f t="shared" si="10"/>
        <v>1.4629384057971015</v>
      </c>
      <c r="AG42" s="29">
        <f t="shared" si="10"/>
        <v>1.4413795633828654</v>
      </c>
      <c r="AH42" s="29">
        <f t="shared" si="10"/>
        <v>1.3603956130043087</v>
      </c>
      <c r="AI42" s="29">
        <f t="shared" si="10"/>
        <v>1.204572926302806</v>
      </c>
      <c r="AJ42" s="30">
        <f t="shared" si="10"/>
        <v>1.2775724637681158</v>
      </c>
      <c r="AK42" s="29">
        <f t="shared" si="10"/>
        <v>1.6544321868916287</v>
      </c>
      <c r="AL42" s="29">
        <f t="shared" si="10"/>
        <v>1.6849728260869565</v>
      </c>
      <c r="AM42" s="36">
        <f t="shared" si="10"/>
        <v>1.6743914221750913</v>
      </c>
      <c r="AN42" s="36">
        <f t="shared" si="10"/>
        <v>1.5701708074534164</v>
      </c>
      <c r="AO42" s="36">
        <f t="shared" si="10"/>
        <v>1.4613490785471461</v>
      </c>
      <c r="AP42" s="36">
        <f t="shared" si="10"/>
        <v>1.454397358282884</v>
      </c>
      <c r="AQ42" s="36">
        <f t="shared" si="10"/>
        <v>1.3021645021645021</v>
      </c>
      <c r="AR42" s="36">
        <f t="shared" si="10"/>
        <v>1.1968578476719087</v>
      </c>
      <c r="AS42" s="36">
        <f t="shared" si="10"/>
        <v>1.1797765700483092</v>
      </c>
      <c r="AT42" s="42"/>
      <c r="AU42" s="36">
        <f t="shared" si="10"/>
        <v>1.6039087809036658</v>
      </c>
      <c r="AV42" s="36">
        <f t="shared" si="10"/>
        <v>1.6138862876254181</v>
      </c>
      <c r="AW42" s="36">
        <f t="shared" si="10"/>
        <v>1.6163791874554527</v>
      </c>
      <c r="AX42" s="36">
        <f t="shared" si="10"/>
        <v>1.4914699792960664</v>
      </c>
      <c r="AY42" s="36">
        <f t="shared" si="10"/>
        <v>1.4053748434424764</v>
      </c>
      <c r="AZ42" s="36">
        <f t="shared" si="10"/>
        <v>1.3926031920748487</v>
      </c>
      <c r="BA42" s="36">
        <f t="shared" si="10"/>
        <v>1.3264198981590285</v>
      </c>
      <c r="BB42" s="42">
        <f t="shared" si="10"/>
        <v>1.13527289546716</v>
      </c>
      <c r="BC42" s="42">
        <f t="shared" si="10"/>
        <v>1.1817271776482894</v>
      </c>
      <c r="BD42" s="44"/>
      <c r="BE42" s="44">
        <f t="shared" ref="BE42:BK42" si="12">BE37/BE40</f>
        <v>1.243578822833481</v>
      </c>
      <c r="BF42" s="44" t="e">
        <f t="shared" si="12"/>
        <v>#DIV/0!</v>
      </c>
      <c r="BG42" s="44" t="e">
        <f t="shared" si="12"/>
        <v>#DIV/0!</v>
      </c>
      <c r="BH42" s="44" t="e">
        <f t="shared" si="12"/>
        <v>#DIV/0!</v>
      </c>
      <c r="BI42" s="44" t="e">
        <f t="shared" si="12"/>
        <v>#DIV/0!</v>
      </c>
      <c r="BJ42" s="44" t="e">
        <f t="shared" si="12"/>
        <v>#DIV/0!</v>
      </c>
      <c r="BK42" s="44" t="e">
        <f t="shared" si="12"/>
        <v>#DIV/0!</v>
      </c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Z42" s="40"/>
    </row>
    <row r="43" spans="1:78" x14ac:dyDescent="0.4">
      <c r="A43" s="49"/>
      <c r="B43" s="11" t="s">
        <v>47</v>
      </c>
      <c r="C43" s="32">
        <f>C38/C40</f>
        <v>1.4526955339361565</v>
      </c>
      <c r="D43" s="32">
        <f>D38/D40</f>
        <v>1.4468620530599159</v>
      </c>
      <c r="E43" s="45">
        <f t="shared" ref="E43:U43" si="13">E38/E40</f>
        <v>1.6920981949007927</v>
      </c>
      <c r="F43" s="45">
        <f t="shared" si="13"/>
        <v>1.6837229003466461</v>
      </c>
      <c r="G43" s="45">
        <f t="shared" si="13"/>
        <v>1.6384579325335156</v>
      </c>
      <c r="H43" s="45">
        <f t="shared" si="13"/>
        <v>1.6321891327485583</v>
      </c>
      <c r="I43" s="15">
        <f t="shared" si="13"/>
        <v>1.8967265123059587</v>
      </c>
      <c r="J43" s="34">
        <f t="shared" si="13"/>
        <v>1.9117070773881921</v>
      </c>
      <c r="K43" s="34">
        <f t="shared" si="13"/>
        <v>1.9348413394129413</v>
      </c>
      <c r="L43" s="34">
        <f t="shared" si="13"/>
        <v>1.8522702579261081</v>
      </c>
      <c r="M43" s="34"/>
      <c r="N43" s="11">
        <f t="shared" ref="N43:R43" si="14">N38/N40</f>
        <v>1.568794417030555</v>
      </c>
      <c r="O43" s="13">
        <f t="shared" si="14"/>
        <v>1.6190852510125469</v>
      </c>
      <c r="P43" s="13">
        <f t="shared" si="14"/>
        <v>1.6376925625875709</v>
      </c>
      <c r="Q43" s="13">
        <f t="shared" si="14"/>
        <v>1.6722668203607727</v>
      </c>
      <c r="R43" s="13">
        <f t="shared" si="14"/>
        <v>1.6469914181001912</v>
      </c>
      <c r="S43" s="42">
        <f t="shared" ref="S43" si="15">S38/S40</f>
        <v>1.4585597004224609</v>
      </c>
      <c r="T43" s="34">
        <f t="shared" si="13"/>
        <v>1.4595270908925266</v>
      </c>
      <c r="U43" s="42">
        <f t="shared" si="13"/>
        <v>1.4430499564573078</v>
      </c>
      <c r="V43" s="42">
        <f t="shared" ref="V43" si="16">V38/V40</f>
        <v>1.4075566667826855</v>
      </c>
      <c r="W43" s="19">
        <f t="shared" ref="W43:BC43" si="17">W38/W40</f>
        <v>1.3031185043241953</v>
      </c>
      <c r="X43" s="19">
        <f t="shared" si="17"/>
        <v>1.3090811644100542</v>
      </c>
      <c r="Y43" s="19">
        <f t="shared" si="17"/>
        <v>1.286551294047144</v>
      </c>
      <c r="Z43" s="34"/>
      <c r="AA43" s="19">
        <f t="shared" si="17"/>
        <v>1.9099509534943331</v>
      </c>
      <c r="AB43" s="34">
        <f t="shared" ref="AB43" si="18">AB38/AB40</f>
        <v>1.9226159019299487</v>
      </c>
      <c r="AC43" s="29">
        <f t="shared" si="17"/>
        <v>1.9450377976197974</v>
      </c>
      <c r="AD43" s="29">
        <f t="shared" si="17"/>
        <v>1.8881091417483045</v>
      </c>
      <c r="AE43" s="29">
        <f t="shared" si="17"/>
        <v>1.9257838177147355</v>
      </c>
      <c r="AF43" s="30">
        <f t="shared" si="17"/>
        <v>1.7009063065958987</v>
      </c>
      <c r="AG43" s="30">
        <f t="shared" si="17"/>
        <v>1.6856891862453436</v>
      </c>
      <c r="AH43" s="30">
        <f t="shared" si="17"/>
        <v>-1.370547606386213</v>
      </c>
      <c r="AI43" s="30">
        <f t="shared" si="17"/>
        <v>1.4694017236476484</v>
      </c>
      <c r="AJ43" s="30">
        <f t="shared" si="17"/>
        <v>1.4925158647966925</v>
      </c>
      <c r="AK43" s="30">
        <f t="shared" si="17"/>
        <v>1.9087706695246307</v>
      </c>
      <c r="AL43" s="30">
        <f t="shared" si="17"/>
        <v>1.9349665166711021</v>
      </c>
      <c r="AM43" s="42">
        <f t="shared" si="17"/>
        <v>1.9408582815098478</v>
      </c>
      <c r="AN43" s="42">
        <f t="shared" si="17"/>
        <v>1.9421152223856892</v>
      </c>
      <c r="AO43" s="42">
        <f t="shared" si="17"/>
        <v>1.7209809316303986</v>
      </c>
      <c r="AP43" s="42">
        <f t="shared" si="17"/>
        <v>1.7269923173585604</v>
      </c>
      <c r="AQ43" s="42">
        <f t="shared" si="17"/>
        <v>1.6158933570811469</v>
      </c>
      <c r="AR43" s="42">
        <f t="shared" si="17"/>
        <v>1.4918424783767217</v>
      </c>
      <c r="AS43" s="42">
        <f t="shared" si="17"/>
        <v>1.4758763614237373</v>
      </c>
      <c r="AT43" s="42"/>
      <c r="AU43" s="42">
        <f t="shared" si="17"/>
        <v>1.8820425221757464</v>
      </c>
      <c r="AV43" s="42">
        <f t="shared" si="17"/>
        <v>1.9389230613390225</v>
      </c>
      <c r="AW43" s="42">
        <f t="shared" si="17"/>
        <v>1.9974228057621219</v>
      </c>
      <c r="AX43" s="42">
        <f t="shared" si="17"/>
        <v>1.9269947579809179</v>
      </c>
      <c r="AY43" s="42">
        <f t="shared" si="17"/>
        <v>1.7187110776628809</v>
      </c>
      <c r="AZ43" s="44">
        <f t="shared" si="17"/>
        <v>1.7097409307871159</v>
      </c>
      <c r="BA43" s="44">
        <f t="shared" si="17"/>
        <v>1.7619181693041455</v>
      </c>
      <c r="BB43" s="44">
        <f t="shared" si="17"/>
        <v>1.6123854692770452</v>
      </c>
      <c r="BC43" s="44">
        <f t="shared" si="17"/>
        <v>1.555823490745625</v>
      </c>
      <c r="BD43" s="44"/>
      <c r="BE43" s="44">
        <f t="shared" ref="BE43:BK43" si="19">BE38/BE40</f>
        <v>4.3436976093690717E-2</v>
      </c>
      <c r="BF43" s="44" t="e">
        <f t="shared" si="19"/>
        <v>#VALUE!</v>
      </c>
      <c r="BG43" s="44" t="e">
        <f t="shared" si="19"/>
        <v>#VALUE!</v>
      </c>
      <c r="BH43" s="44" t="e">
        <f t="shared" si="19"/>
        <v>#VALUE!</v>
      </c>
      <c r="BI43" s="44" t="e">
        <f t="shared" si="19"/>
        <v>#VALUE!</v>
      </c>
      <c r="BJ43" s="44" t="e">
        <f t="shared" si="19"/>
        <v>#VALUE!</v>
      </c>
      <c r="BK43" s="44" t="e">
        <f t="shared" si="19"/>
        <v>#VALUE!</v>
      </c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Z43" s="36"/>
    </row>
    <row r="44" spans="1:78" x14ac:dyDescent="0.4">
      <c r="A44" s="49"/>
      <c r="B44" s="11" t="s">
        <v>48</v>
      </c>
      <c r="C44" s="11"/>
      <c r="D44" s="32"/>
      <c r="E44" s="45"/>
      <c r="F44" s="45"/>
      <c r="G44" s="45"/>
      <c r="H44" s="45"/>
      <c r="I44" s="15"/>
      <c r="J44" s="34"/>
      <c r="K44" s="34"/>
      <c r="L44" s="34"/>
      <c r="M44" s="34"/>
      <c r="N44" s="11"/>
      <c r="O44" s="11"/>
      <c r="P44" s="11"/>
      <c r="Q44" s="11"/>
      <c r="R44" s="11"/>
      <c r="S44" s="11"/>
      <c r="T44" s="34"/>
      <c r="U44" s="34"/>
      <c r="V44" s="11"/>
      <c r="W44" s="19"/>
      <c r="X44" s="11"/>
      <c r="Y44" s="11"/>
      <c r="Z44" s="34"/>
      <c r="AA44" s="11"/>
      <c r="AB44" s="11"/>
      <c r="AC44" s="11"/>
      <c r="AD44" s="11"/>
      <c r="AE44" s="11"/>
      <c r="AF44" s="29"/>
      <c r="AG44" s="11"/>
      <c r="AH44" s="11"/>
      <c r="AI44" s="11"/>
      <c r="AJ44" s="29"/>
      <c r="AK44" s="11"/>
      <c r="AL44" s="11"/>
      <c r="AM44" s="11"/>
      <c r="AN44" s="36"/>
      <c r="AO44" s="36"/>
      <c r="AP44" s="36"/>
      <c r="AQ44" s="36"/>
      <c r="AR44" s="36"/>
      <c r="AS44" s="36"/>
      <c r="AT44" s="42"/>
      <c r="AU44" s="36"/>
      <c r="AV44" s="36"/>
      <c r="AW44" s="36"/>
      <c r="AX44" s="36"/>
      <c r="AY44" s="36"/>
      <c r="AZ44" s="36"/>
      <c r="BA44" s="36"/>
      <c r="BB44" s="36"/>
      <c r="BC44" s="36"/>
      <c r="BD44" s="44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Z44" s="12"/>
    </row>
    <row r="45" spans="1:78" x14ac:dyDescent="0.4">
      <c r="A45" s="49"/>
      <c r="B45" s="11" t="s">
        <v>49</v>
      </c>
      <c r="C45" s="11">
        <v>10.86</v>
      </c>
      <c r="D45" s="32">
        <v>11.19</v>
      </c>
      <c r="E45" s="45">
        <v>10.84</v>
      </c>
      <c r="F45" s="45">
        <v>11.08</v>
      </c>
      <c r="G45" s="45">
        <v>12.33</v>
      </c>
      <c r="H45" s="45">
        <v>11.79</v>
      </c>
      <c r="I45" s="19">
        <v>11.21</v>
      </c>
      <c r="J45" s="34">
        <v>11.94</v>
      </c>
      <c r="K45" s="15">
        <v>12.87</v>
      </c>
      <c r="L45" s="11">
        <v>13.91</v>
      </c>
      <c r="M45" s="34"/>
      <c r="N45" s="11">
        <v>12.04</v>
      </c>
      <c r="O45" s="11">
        <v>12.19</v>
      </c>
      <c r="P45" s="11">
        <v>12.35</v>
      </c>
      <c r="Q45" s="11">
        <v>12.69</v>
      </c>
      <c r="R45" s="11">
        <v>13.58</v>
      </c>
      <c r="S45" s="11">
        <v>12.14</v>
      </c>
      <c r="T45" s="34">
        <v>11.57</v>
      </c>
      <c r="U45" s="34">
        <v>11.21</v>
      </c>
      <c r="V45" s="11">
        <v>11.06</v>
      </c>
      <c r="W45" s="19">
        <v>11.13</v>
      </c>
      <c r="X45" s="11">
        <v>10.51</v>
      </c>
      <c r="Y45" s="11">
        <v>10.27</v>
      </c>
      <c r="Z45" s="34"/>
      <c r="AA45" s="11">
        <v>11.45</v>
      </c>
      <c r="AB45" s="11">
        <v>11.74</v>
      </c>
      <c r="AC45" s="11">
        <v>12.18</v>
      </c>
      <c r="AD45" s="11">
        <v>13.41</v>
      </c>
      <c r="AE45" s="11">
        <v>12.06</v>
      </c>
      <c r="AF45" s="29">
        <v>10.71</v>
      </c>
      <c r="AG45" s="11">
        <v>10.97</v>
      </c>
      <c r="AH45" s="11">
        <v>12.26</v>
      </c>
      <c r="AI45" s="11">
        <v>11.05</v>
      </c>
      <c r="AJ45" s="29">
        <v>10.41</v>
      </c>
      <c r="AK45" s="11">
        <v>11.34</v>
      </c>
      <c r="AL45" s="11">
        <v>11.67</v>
      </c>
      <c r="AM45" s="11">
        <v>12.12</v>
      </c>
      <c r="AN45" s="36">
        <v>13.43</v>
      </c>
      <c r="AO45" s="36">
        <v>10.73</v>
      </c>
      <c r="AP45" s="36">
        <v>10.98</v>
      </c>
      <c r="AQ45" s="36">
        <v>12.34</v>
      </c>
      <c r="AR45" s="36">
        <v>11.24</v>
      </c>
      <c r="AS45" s="36">
        <v>10.65</v>
      </c>
      <c r="AT45" s="42"/>
      <c r="AU45" s="36">
        <v>11.4</v>
      </c>
      <c r="AV45" s="36">
        <v>11.68</v>
      </c>
      <c r="AW45" s="36">
        <v>12.33</v>
      </c>
      <c r="AX45" s="36">
        <v>13.69</v>
      </c>
      <c r="AY45" s="36">
        <v>10.82</v>
      </c>
      <c r="AZ45" s="36">
        <v>11.2</v>
      </c>
      <c r="BA45" s="36">
        <v>12.54</v>
      </c>
      <c r="BB45" s="36">
        <v>11.35</v>
      </c>
      <c r="BC45" s="36">
        <v>10.57</v>
      </c>
      <c r="BD45" s="44"/>
      <c r="BE45" s="36"/>
      <c r="BF45" s="36"/>
      <c r="BG45" s="36"/>
      <c r="BH45" s="36"/>
      <c r="BI45" s="36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Z45" s="40"/>
    </row>
    <row r="46" spans="1:78" x14ac:dyDescent="0.4">
      <c r="A46" s="49"/>
      <c r="B46" s="11" t="s">
        <v>50</v>
      </c>
      <c r="C46" s="11">
        <v>10.45</v>
      </c>
      <c r="D46" s="32">
        <v>10.76</v>
      </c>
      <c r="E46" s="45">
        <v>10.44</v>
      </c>
      <c r="F46" s="45">
        <v>10.65</v>
      </c>
      <c r="G46" s="45">
        <v>11.83</v>
      </c>
      <c r="H46" s="45">
        <v>11.34</v>
      </c>
      <c r="I46" s="19">
        <v>10.84</v>
      </c>
      <c r="J46" s="34">
        <v>11.5</v>
      </c>
      <c r="K46" s="15">
        <v>12.43</v>
      </c>
      <c r="L46" s="11">
        <v>13.42</v>
      </c>
      <c r="M46" s="34"/>
      <c r="N46" s="11">
        <v>11.64</v>
      </c>
      <c r="O46" s="11">
        <v>11.76</v>
      </c>
      <c r="P46" s="11">
        <v>11.93</v>
      </c>
      <c r="Q46" s="11">
        <v>12.27</v>
      </c>
      <c r="R46" s="11">
        <v>13.13</v>
      </c>
      <c r="S46" s="11">
        <v>11.73</v>
      </c>
      <c r="T46" s="34">
        <v>11.17</v>
      </c>
      <c r="U46" s="34">
        <v>10.85</v>
      </c>
      <c r="V46" s="11">
        <v>10.71</v>
      </c>
      <c r="W46" s="19">
        <v>10.76</v>
      </c>
      <c r="X46" s="11">
        <v>10.19</v>
      </c>
      <c r="Y46" s="11">
        <v>9.9600000000000009</v>
      </c>
      <c r="Z46" s="34"/>
      <c r="AA46" s="11">
        <v>11</v>
      </c>
      <c r="AB46" s="11">
        <v>11.27</v>
      </c>
      <c r="AC46" s="11">
        <v>11.7</v>
      </c>
      <c r="AD46" s="11">
        <v>12.88</v>
      </c>
      <c r="AE46" s="11">
        <v>11.62</v>
      </c>
      <c r="AF46" s="29">
        <v>10.45</v>
      </c>
      <c r="AG46" s="11">
        <v>10.67</v>
      </c>
      <c r="AH46" s="11">
        <v>11.88</v>
      </c>
      <c r="AI46" s="11">
        <v>10.75</v>
      </c>
      <c r="AJ46" s="29">
        <v>10.15</v>
      </c>
      <c r="AK46" s="11">
        <v>10.94</v>
      </c>
      <c r="AL46" s="11">
        <v>11.25</v>
      </c>
      <c r="AM46" s="11">
        <v>11.69</v>
      </c>
      <c r="AN46" s="36">
        <v>12.95</v>
      </c>
      <c r="AO46" s="36">
        <v>10.37</v>
      </c>
      <c r="AP46" s="36">
        <v>10.63</v>
      </c>
      <c r="AQ46" s="36">
        <v>11.94</v>
      </c>
      <c r="AR46" s="36">
        <v>10.82</v>
      </c>
      <c r="AS46" s="36">
        <v>10.78</v>
      </c>
      <c r="AT46" s="42"/>
      <c r="AU46" s="42">
        <v>11.14</v>
      </c>
      <c r="AV46" s="36">
        <v>11.54</v>
      </c>
      <c r="AW46" s="36">
        <v>12.06</v>
      </c>
      <c r="AX46" s="36">
        <v>13.33</v>
      </c>
      <c r="AY46" s="36">
        <v>10.89</v>
      </c>
      <c r="AZ46" s="36">
        <v>11.07</v>
      </c>
      <c r="BA46" s="36">
        <v>12.1</v>
      </c>
      <c r="BB46" s="36">
        <v>11.445</v>
      </c>
      <c r="BC46" s="36">
        <v>10.66</v>
      </c>
      <c r="BD46" s="44"/>
      <c r="BE46" s="36"/>
      <c r="BF46" s="36"/>
      <c r="BG46" s="36"/>
      <c r="BH46" s="36"/>
      <c r="BI46" s="36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Z46" s="40"/>
    </row>
    <row r="47" spans="1:78" x14ac:dyDescent="0.4">
      <c r="A47" s="49"/>
      <c r="B47" s="11" t="s">
        <v>51</v>
      </c>
      <c r="C47" s="11">
        <v>46.54</v>
      </c>
      <c r="D47" s="32">
        <v>46.45</v>
      </c>
      <c r="E47" s="45">
        <v>46.21</v>
      </c>
      <c r="F47" s="45">
        <v>46</v>
      </c>
      <c r="G47" s="45">
        <v>45.56</v>
      </c>
      <c r="H47" s="45">
        <v>45.93</v>
      </c>
      <c r="I47" s="19">
        <v>45.7</v>
      </c>
      <c r="J47" s="34">
        <v>45.39</v>
      </c>
      <c r="K47" s="15">
        <v>45.12</v>
      </c>
      <c r="L47" s="11">
        <v>44.7</v>
      </c>
      <c r="M47" s="34"/>
      <c r="N47" s="11">
        <v>45.77</v>
      </c>
      <c r="O47" s="11">
        <v>45.79</v>
      </c>
      <c r="P47" s="11">
        <v>45.7</v>
      </c>
      <c r="Q47" s="11">
        <v>45.48</v>
      </c>
      <c r="R47" s="11">
        <v>45.18</v>
      </c>
      <c r="S47" s="11">
        <v>46.1</v>
      </c>
      <c r="T47" s="34">
        <v>46.35</v>
      </c>
      <c r="U47" s="34">
        <v>46.38</v>
      </c>
      <c r="V47" s="11">
        <v>46.79</v>
      </c>
      <c r="W47" s="19">
        <v>46.92</v>
      </c>
      <c r="X47" s="11">
        <v>47.02</v>
      </c>
      <c r="Y47" s="11">
        <v>47.3</v>
      </c>
      <c r="Z47" s="34"/>
      <c r="AA47" s="11">
        <v>45.7</v>
      </c>
      <c r="AB47" s="11">
        <v>45.52</v>
      </c>
      <c r="AC47" s="11">
        <v>45.37</v>
      </c>
      <c r="AD47" s="11">
        <v>44.78</v>
      </c>
      <c r="AE47" s="11">
        <v>45.5</v>
      </c>
      <c r="AF47" s="29">
        <v>46.22</v>
      </c>
      <c r="AG47" s="11">
        <v>46.15</v>
      </c>
      <c r="AH47" s="11">
        <v>45.65</v>
      </c>
      <c r="AI47" s="11">
        <v>46.44</v>
      </c>
      <c r="AJ47" s="29">
        <v>46.66</v>
      </c>
      <c r="AK47" s="11">
        <v>45.66</v>
      </c>
      <c r="AL47" s="11">
        <v>45.57</v>
      </c>
      <c r="AM47" s="11">
        <v>45.36</v>
      </c>
      <c r="AN47" s="36">
        <v>44.85</v>
      </c>
      <c r="AO47" s="36">
        <v>46.22</v>
      </c>
      <c r="AP47" s="36">
        <v>46.09</v>
      </c>
      <c r="AQ47" s="36">
        <v>45.58</v>
      </c>
      <c r="AR47" s="36">
        <v>46.51</v>
      </c>
      <c r="AS47" s="36">
        <v>46.68</v>
      </c>
      <c r="AT47" s="42"/>
      <c r="AU47" s="36">
        <v>45.81</v>
      </c>
      <c r="AV47" s="36">
        <v>45.64</v>
      </c>
      <c r="AW47" s="36">
        <v>45.42</v>
      </c>
      <c r="AX47" s="36">
        <v>44.9</v>
      </c>
      <c r="AY47" s="36">
        <v>46.27</v>
      </c>
      <c r="AZ47" s="36">
        <v>46.12</v>
      </c>
      <c r="BA47" s="36">
        <v>45.59</v>
      </c>
      <c r="BB47" s="36">
        <v>46.43</v>
      </c>
      <c r="BC47" s="36">
        <v>46.74</v>
      </c>
      <c r="BD47" s="44"/>
      <c r="BE47" s="36"/>
      <c r="BF47" s="36"/>
      <c r="BG47" s="36"/>
      <c r="BH47" s="36"/>
      <c r="BI47" s="36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Z47" s="36"/>
    </row>
    <row r="48" spans="1:78" x14ac:dyDescent="0.4">
      <c r="A48" s="49"/>
      <c r="B48" s="11" t="s">
        <v>52</v>
      </c>
      <c r="C48" s="11">
        <v>32.44</v>
      </c>
      <c r="D48" s="32">
        <v>32.35</v>
      </c>
      <c r="E48" s="45">
        <v>32.299999999999997</v>
      </c>
      <c r="F48" s="45">
        <v>32.549999999999997</v>
      </c>
      <c r="G48" s="45">
        <v>32.19</v>
      </c>
      <c r="H48" s="45">
        <v>32.97</v>
      </c>
      <c r="I48" s="19">
        <v>32.119999999999997</v>
      </c>
      <c r="J48" s="34">
        <v>32.28</v>
      </c>
      <c r="K48" s="15">
        <v>32.14</v>
      </c>
      <c r="L48" s="11">
        <v>32.090000000000003</v>
      </c>
      <c r="M48" s="34"/>
      <c r="N48" s="11">
        <v>32.08</v>
      </c>
      <c r="O48" s="11">
        <v>32.68</v>
      </c>
      <c r="P48" s="11">
        <v>32.380000000000003</v>
      </c>
      <c r="Q48" s="11">
        <v>32.270000000000003</v>
      </c>
      <c r="R48" s="11">
        <v>32.200000000000003</v>
      </c>
      <c r="S48" s="11">
        <v>32.369999999999997</v>
      </c>
      <c r="T48" s="34">
        <v>32.36</v>
      </c>
      <c r="U48" s="34">
        <v>32.549999999999997</v>
      </c>
      <c r="V48" s="11">
        <v>33.28</v>
      </c>
      <c r="W48" s="19">
        <v>32.590000000000003</v>
      </c>
      <c r="X48" s="11">
        <v>32.729999999999997</v>
      </c>
      <c r="Y48" s="11">
        <v>32.6</v>
      </c>
      <c r="Z48" s="34"/>
      <c r="AA48" s="11">
        <v>32.22</v>
      </c>
      <c r="AB48" s="11">
        <v>32.450000000000003</v>
      </c>
      <c r="AC48" s="11">
        <v>32.340000000000003</v>
      </c>
      <c r="AD48" s="11">
        <v>32.26</v>
      </c>
      <c r="AE48" s="11">
        <v>32.24</v>
      </c>
      <c r="AF48" s="29">
        <v>32.549999999999997</v>
      </c>
      <c r="AG48" s="11">
        <v>32.76</v>
      </c>
      <c r="AH48" s="11">
        <v>32.86</v>
      </c>
      <c r="AI48" s="11">
        <v>33.24</v>
      </c>
      <c r="AJ48" s="29">
        <v>33.5</v>
      </c>
      <c r="AK48" s="11">
        <v>33.24</v>
      </c>
      <c r="AL48" s="11">
        <v>33.29</v>
      </c>
      <c r="AM48" s="11">
        <v>33.33</v>
      </c>
      <c r="AN48" s="36">
        <v>33.24</v>
      </c>
      <c r="AO48" s="36">
        <v>33.67</v>
      </c>
      <c r="AP48" s="36">
        <v>33.619999999999997</v>
      </c>
      <c r="AQ48" s="36">
        <v>33.479999999999997</v>
      </c>
      <c r="AR48" s="36">
        <v>33.700000000000003</v>
      </c>
      <c r="AS48" s="36">
        <v>33.25</v>
      </c>
      <c r="AT48" s="42"/>
      <c r="AU48" s="36">
        <v>32.93</v>
      </c>
      <c r="AV48" s="36">
        <v>32.840000000000003</v>
      </c>
      <c r="AW48" s="36">
        <v>32.79</v>
      </c>
      <c r="AX48" s="36">
        <v>32.630000000000003</v>
      </c>
      <c r="AY48" s="36">
        <v>32.65</v>
      </c>
      <c r="AZ48" s="36">
        <v>32.64</v>
      </c>
      <c r="BA48" s="36">
        <v>32.479999999999997</v>
      </c>
      <c r="BB48" s="36">
        <v>32.69</v>
      </c>
      <c r="BC48" s="36">
        <v>32.86</v>
      </c>
      <c r="BD48" s="44"/>
      <c r="BE48" s="36"/>
      <c r="BF48" s="36"/>
      <c r="BG48" s="36"/>
      <c r="BH48" s="36"/>
      <c r="BI48" s="36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Z48" s="36"/>
    </row>
    <row r="49" spans="1:78" x14ac:dyDescent="0.4">
      <c r="A49" s="49"/>
      <c r="B49" s="11" t="s">
        <v>53</v>
      </c>
      <c r="C49" s="32">
        <f>C37/C38</f>
        <v>0.84269551785469377</v>
      </c>
      <c r="D49" s="32">
        <f>D37/D38</f>
        <v>0.83379693544471445</v>
      </c>
      <c r="E49" s="45">
        <f t="shared" ref="E49:AM49" si="20">E37/E38</f>
        <v>0.86207608736907382</v>
      </c>
      <c r="F49" s="45">
        <f t="shared" si="20"/>
        <v>0.86203560887600428</v>
      </c>
      <c r="G49" s="45">
        <f t="shared" si="20"/>
        <v>0.83444037785689329</v>
      </c>
      <c r="H49" s="45">
        <f t="shared" si="20"/>
        <v>0.84727534351500899</v>
      </c>
      <c r="I49" s="32">
        <f t="shared" si="20"/>
        <v>0.88029438489488832</v>
      </c>
      <c r="J49" s="32">
        <f t="shared" si="20"/>
        <v>0.8829335092148245</v>
      </c>
      <c r="K49" s="32">
        <f t="shared" si="20"/>
        <v>0.83406741063154721</v>
      </c>
      <c r="L49" s="32">
        <f t="shared" si="20"/>
        <v>0.83610958802531354</v>
      </c>
      <c r="M49" s="34"/>
      <c r="N49" s="32">
        <f t="shared" si="20"/>
        <v>0.85501091172514088</v>
      </c>
      <c r="O49" s="32">
        <f t="shared" si="20"/>
        <v>0.84756964096732801</v>
      </c>
      <c r="P49" s="32">
        <f t="shared" si="20"/>
        <v>0.84861503504974989</v>
      </c>
      <c r="Q49" s="32">
        <f t="shared" si="20"/>
        <v>0.82983172668138672</v>
      </c>
      <c r="R49" s="32">
        <f t="shared" si="20"/>
        <v>0.80406061737857193</v>
      </c>
      <c r="S49" s="32">
        <f t="shared" si="20"/>
        <v>0.8037430208745735</v>
      </c>
      <c r="T49" s="34">
        <f t="shared" si="20"/>
        <v>0.81324297349776242</v>
      </c>
      <c r="U49" s="42">
        <f t="shared" ref="U49:Y49" si="21">U37/U38</f>
        <v>0.82867876346182445</v>
      </c>
      <c r="V49" s="42">
        <f t="shared" si="21"/>
        <v>0.83407347304678059</v>
      </c>
      <c r="W49" s="42">
        <f t="shared" si="21"/>
        <v>0.78885459080014009</v>
      </c>
      <c r="X49" s="42">
        <f t="shared" si="21"/>
        <v>0.81012601962897413</v>
      </c>
      <c r="Y49" s="42">
        <f t="shared" si="21"/>
        <v>0.818196040284905</v>
      </c>
      <c r="Z49" s="34"/>
      <c r="AA49" s="32">
        <f t="shared" si="20"/>
        <v>0.86413776058478309</v>
      </c>
      <c r="AB49" s="32">
        <f t="shared" si="20"/>
        <v>0.87147504276876975</v>
      </c>
      <c r="AC49" s="32">
        <f t="shared" si="20"/>
        <v>0.85048060547742699</v>
      </c>
      <c r="AD49" s="32">
        <f t="shared" si="20"/>
        <v>0.82093115990626864</v>
      </c>
      <c r="AE49" s="32">
        <f t="shared" si="20"/>
        <v>0.85947574490244039</v>
      </c>
      <c r="AF49" s="32">
        <f t="shared" si="20"/>
        <v>0.86009346906646889</v>
      </c>
      <c r="AG49" s="32">
        <f t="shared" si="20"/>
        <v>0.85506840474746926</v>
      </c>
      <c r="AH49" s="32">
        <f t="shared" si="20"/>
        <v>-0.99259274662580133</v>
      </c>
      <c r="AI49" s="32">
        <f t="shared" si="20"/>
        <v>0.81977100401962888</v>
      </c>
      <c r="AJ49" s="32">
        <f t="shared" si="20"/>
        <v>0.85598585174311981</v>
      </c>
      <c r="AK49" s="32">
        <f t="shared" si="20"/>
        <v>0.86675272902409817</v>
      </c>
      <c r="AL49" s="32">
        <f t="shared" si="20"/>
        <v>0.87080205862464621</v>
      </c>
      <c r="AM49" s="32">
        <f t="shared" si="20"/>
        <v>0.86270668916255722</v>
      </c>
      <c r="AN49" s="42">
        <f t="shared" ref="AN49:BG49" si="22">AN37/AN38</f>
        <v>0.8084848876909696</v>
      </c>
      <c r="AO49" s="42">
        <f t="shared" si="22"/>
        <v>0.84913728658382859</v>
      </c>
      <c r="AP49" s="42">
        <f t="shared" si="22"/>
        <v>0.84215624103492759</v>
      </c>
      <c r="AQ49" s="42">
        <f t="shared" si="22"/>
        <v>0.80584804464859872</v>
      </c>
      <c r="AR49" s="42">
        <f t="shared" si="22"/>
        <v>0.80226824548809827</v>
      </c>
      <c r="AS49" s="42">
        <f t="shared" si="22"/>
        <v>0.79937357957966837</v>
      </c>
      <c r="AT49" s="42"/>
      <c r="AU49" s="42">
        <f t="shared" si="22"/>
        <v>0.8522170790538024</v>
      </c>
      <c r="AV49" s="42">
        <f t="shared" si="22"/>
        <v>0.8323622116861441</v>
      </c>
      <c r="AW49" s="42">
        <f t="shared" si="22"/>
        <v>0.80923236822597455</v>
      </c>
      <c r="AX49" s="42">
        <f t="shared" si="22"/>
        <v>0.7739875643765689</v>
      </c>
      <c r="AY49" s="42">
        <f t="shared" si="22"/>
        <v>0.81769115339241194</v>
      </c>
      <c r="AZ49" s="42">
        <f t="shared" si="22"/>
        <v>0.81451123208106968</v>
      </c>
      <c r="BA49" s="42">
        <f t="shared" si="22"/>
        <v>0.75282718645377655</v>
      </c>
      <c r="BB49" s="42">
        <f t="shared" si="22"/>
        <v>0.70409521612483217</v>
      </c>
      <c r="BC49" s="42">
        <f t="shared" si="22"/>
        <v>0.75955092893085785</v>
      </c>
      <c r="BD49" s="44"/>
      <c r="BE49" s="42">
        <f t="shared" si="22"/>
        <v>28.629498060619202</v>
      </c>
      <c r="BF49" s="42" t="e">
        <f t="shared" si="22"/>
        <v>#VALUE!</v>
      </c>
      <c r="BG49" s="42" t="e">
        <f t="shared" si="22"/>
        <v>#VALUE!</v>
      </c>
      <c r="BH49" s="44" t="e">
        <f t="shared" ref="BH49:BK49" si="23">BH37/BH38</f>
        <v>#VALUE!</v>
      </c>
      <c r="BI49" s="44" t="e">
        <f t="shared" si="23"/>
        <v>#VALUE!</v>
      </c>
      <c r="BJ49" s="44" t="e">
        <f t="shared" si="23"/>
        <v>#VALUE!</v>
      </c>
      <c r="BK49" s="44" t="e">
        <f t="shared" si="23"/>
        <v>#VALUE!</v>
      </c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Z49" s="36"/>
    </row>
    <row r="50" spans="1:78" x14ac:dyDescent="0.4">
      <c r="A50" s="49"/>
      <c r="B50" s="11" t="s">
        <v>54</v>
      </c>
      <c r="C50" s="32">
        <f>C34/3600*([1]!Enthalpy("carbon dioxide","TP","SI",C8+273.15,C22)-[1]!Enthalpy("carbon dioxide","TP","SI",C7+273.15,C21))*1000</f>
        <v>2921.3032161079327</v>
      </c>
      <c r="D50" s="32">
        <f>D34/3600*([1]!Enthalpy("carbon dioxide","TP","SI",D8+273.15,D22)-[1]!Enthalpy("carbon dioxide","TP","SI",D7+273.15,D21))*1000</f>
        <v>2886.6344308306116</v>
      </c>
      <c r="E50" s="45">
        <f>E34/3600*([1]!Enthalpy("carbon dioxide","TP","SI",E8+273.15,E22)-[1]!Enthalpy("carbon dioxide","TP","SI",E7+273.15,E21))*1000</f>
        <v>2447.797098508684</v>
      </c>
      <c r="F50" s="45">
        <f>F34/3600*([1]!Enthalpy("carbon dioxide","TP","SI",F8+273.15,F22)-[1]!Enthalpy("carbon dioxide","TP","SI",F7+273.15,F21))*1000</f>
        <v>2405.0544004493308</v>
      </c>
      <c r="G50" s="45">
        <f>G34/3600*([1]!Enthalpy("carbon dioxide","TP","SI",G8+273.15,G22)-[1]!Enthalpy("carbon dioxide","TP","SI",G7+273.15,G21))*1000</f>
        <v>2263.5829623231243</v>
      </c>
      <c r="H50" s="45">
        <f>H34/3600*([1]!Enthalpy("carbon dioxide","TP","SI",H8+273.15,H22)-[1]!Enthalpy("carbon dioxide","TP","SI",H7+273.15,H21))*1000</f>
        <v>2781.7611247863383</v>
      </c>
      <c r="I50" s="32">
        <f>I34/3600*([1]!Enthalpy("carbon dioxide","TP","SI",I8+273.15,I22)-[1]!Enthalpy("carbon dioxide","TP","SI",I7+273.15,I21))*1000</f>
        <v>2033.6472663047748</v>
      </c>
      <c r="J50" s="32">
        <f>J34/3600*([1]!Enthalpy("carbon dioxide","TP","SI",J8+273.15,J22)-[1]!Enthalpy("carbon dioxide","TP","SI",J7+273.15,J21))*1000</f>
        <v>1876.8701773729683</v>
      </c>
      <c r="K50" s="32">
        <f>K34/3600*([1]!Enthalpy("carbon dioxide","TP","SI",K8+273.15,K22)-[1]!Enthalpy("carbon dioxide","TP","SI",K7+273.15,K21))*1000</f>
        <v>1791.2985981988052</v>
      </c>
      <c r="L50" s="32">
        <f>L34/3600*([1]!Enthalpy("carbon dioxide","TP","SI",L8+273.15,L22)-[1]!Enthalpy("carbon dioxide","TP","SI",L7+273.15,L21))*1000</f>
        <v>1644.2666489411897</v>
      </c>
      <c r="M50" s="34"/>
      <c r="N50" s="32">
        <f>N34/3600*([1]!Enthalpy("carbon dioxide","TP","SI",N8+273.15,N22)-[1]!Enthalpy("carbon dioxide","TP","SI",N7+273.15,N21))*1000</f>
        <v>2254.8566215484711</v>
      </c>
      <c r="O50" s="32">
        <f>O34/3600*([1]!Enthalpy("carbon dioxide","TP","SI",O8+273.15,O22)-[1]!Enthalpy("carbon dioxide","TP","SI",O7+273.15,O21))*1000</f>
        <v>2166.0400267813538</v>
      </c>
      <c r="P50" s="32">
        <f>P34/3600*([1]!Enthalpy("carbon dioxide","TP","SI",P8+273.15,P22)-[1]!Enthalpy("carbon dioxide","TP","SI",P7+273.15,P21))*1000</f>
        <v>2060.8738203136581</v>
      </c>
      <c r="Q50" s="32">
        <f>Q34/3600*([1]!Enthalpy("carbon dioxide","TP","SI",Q8+273.15,Q22)-[1]!Enthalpy("carbon dioxide","TP","SI",Q7+273.15,Q21))*1000</f>
        <v>1968.4359414311127</v>
      </c>
      <c r="R50" s="32">
        <f>R34/3600*([1]!Enthalpy("carbon dioxide","TP","SI",R8+273.15,R22)-[1]!Enthalpy("carbon dioxide","TP","SI",R7+273.15,R21))*1000</f>
        <v>1797.4139422848702</v>
      </c>
      <c r="S50" s="32">
        <f>S34/3600*([1]!Enthalpy("carbon dioxide","TP","SI",S8+273.15,S22)-[1]!Enthalpy("carbon dioxide","TP","SI",S7+273.15,S21))*1000</f>
        <v>2437.4669681176333</v>
      </c>
      <c r="T50" s="34">
        <f>T34/3600*([1]!Enthalpy("carbon dioxide","TP","SI",T8+273.15,T22)-[1]!Enthalpy("carbon dioxide","TP","SI",T7+273.15,T21))*1000</f>
        <v>2561.8499375793849</v>
      </c>
      <c r="U50" s="42">
        <f>U34/3600*([1]!Enthalpy("carbon dioxide","TP","SI",U8+273.15,U22)-[1]!Enthalpy("carbon dioxide","TP","SI",U7+273.15,U21))*1000</f>
        <v>2667.9973093907283</v>
      </c>
      <c r="V50" s="42">
        <f>V34/3600*([1]!Enthalpy("carbon dioxide","TP","SI",V8+273.15,V22)-[1]!Enthalpy("carbon dioxide","TP","SI",V7+273.15,V21))*1000</f>
        <v>2808.6911130502958</v>
      </c>
      <c r="W50" s="42">
        <f>W34/3600*([1]!Enthalpy("carbon dioxide","TP","SI",W8+273.15,W22)-[1]!Enthalpy("carbon dioxide","TP","SI",W7+273.15,W21))*1000</f>
        <v>3022.4102581190186</v>
      </c>
      <c r="X50" s="42">
        <f>X34/3600*([1]!Enthalpy("carbon dioxide","TP","SI",X8+273.15,X22)-[1]!Enthalpy("carbon dioxide","TP","SI",X7+273.15,X21))*1000</f>
        <v>3134.643081273055</v>
      </c>
      <c r="Y50" s="42">
        <f>Y34/3600*([1]!Enthalpy("carbon dioxide","TP","SI",Y8+273.15,Y22)-[1]!Enthalpy("carbon dioxide","TP","SI",Y7+273.15,Y21))*1000</f>
        <v>3257.0723182099046</v>
      </c>
      <c r="Z50" s="34"/>
      <c r="AA50" s="32">
        <f>AA34/3600*([1]!Enthalpy("carbon dioxide","TP","SI",AA8+273.15,AA22)-[1]!Enthalpy("carbon dioxide","TP","SI",AA7+273.15,AA21))*1000</f>
        <v>2029.6496444319291</v>
      </c>
      <c r="AB50" s="32">
        <f>AB34/3600*([1]!Enthalpy("carbon dioxide","TP","SI",AB8+273.15,AB22)-[1]!Enthalpy("carbon dioxide","TP","SI",AB7+273.15,AB21))*1000</f>
        <v>1917.1525800803017</v>
      </c>
      <c r="AC50" s="32">
        <f>AC34/3600*([1]!Enthalpy("carbon dioxide","TP","SI",AC8+273.15,AC22)-[1]!Enthalpy("carbon dioxide","TP","SI",AC7+273.15,AC21))*1000</f>
        <v>1882.583998967121</v>
      </c>
      <c r="AD50" s="32">
        <f>AD34/3600*([1]!Enthalpy("carbon dioxide","TP","SI",AD8+273.15,AD22)-[1]!Enthalpy("carbon dioxide","TP","SI",AD7+273.15,AD21))*1000</f>
        <v>1736.4322284656594</v>
      </c>
      <c r="AE50" s="32">
        <f>AE34/3600*([1]!Enthalpy("carbon dioxide","TP","SI",AE8+273.15,AE22)-[1]!Enthalpy("carbon dioxide","TP","SI",AE7+273.15,AE21))*1000</f>
        <v>1916.8375926972699</v>
      </c>
      <c r="AF50" s="32">
        <f>AF34/3600*([1]!Enthalpy("carbon dioxide","TP","SI",AF8+273.15,AF22)-[1]!Enthalpy("carbon dioxide","TP","SI",AF7+273.15,AF21))*1000</f>
        <v>2475.2926320153429</v>
      </c>
      <c r="AG50" s="32">
        <f>AG34/3600*([1]!Enthalpy("carbon dioxide","TP","SI",AG8+273.15,AG22)-[1]!Enthalpy("carbon dioxide","TP","SI",AG7+273.15,AG21))*1000</f>
        <v>2429.5884703564857</v>
      </c>
      <c r="AH50" s="32">
        <f>AH34/3600*([1]!Enthalpy("carbon dioxide","TP","SI",AH8+273.15,AH22)-[1]!Enthalpy("carbon dioxide","TP","SI",AH7+273.15,AH21))*1000</f>
        <v>2263.1696877802501</v>
      </c>
      <c r="AI50" s="32">
        <f>AI34/3600*([1]!Enthalpy("carbon dioxide","TP","SI",AI8+273.15,AI22)-[1]!Enthalpy("carbon dioxide","TP","SI",AI7+273.15,AI21))*1000</f>
        <v>2906.067416358313</v>
      </c>
      <c r="AJ50" s="32">
        <f>AJ34/3600*([1]!Enthalpy("carbon dioxide","TP","SI",AJ8+273.15,AJ22)-[1]!Enthalpy("carbon dioxide","TP","SI",AJ7+273.15,AJ21))*1000</f>
        <v>2980.3270654951884</v>
      </c>
      <c r="AK50" s="32">
        <f>AK34/3600*([1]!Enthalpy("carbon dioxide","TP","SI",AK8+273.15,AK22)-[1]!Enthalpy("carbon dioxide","TP","SI",AK7+273.15,AK21))*1000</f>
        <v>2032.7850517843817</v>
      </c>
      <c r="AL50" s="32">
        <f>AL34/3600*([1]!Enthalpy("carbon dioxide","TP","SI",AL8+273.15,AL22)-[1]!Enthalpy("carbon dioxide","TP","SI",AL7+273.15,AL21))*1000</f>
        <v>1964.0981655658345</v>
      </c>
      <c r="AM50" s="32">
        <f>AM34/3600*([1]!Enthalpy("carbon dioxide","TP","SI",AM8+273.15,AM22)-[1]!Enthalpy("carbon dioxide","TP","SI",AM7+273.15,AM21))*1000</f>
        <v>1884.1316638673056</v>
      </c>
      <c r="AN50" s="42">
        <f>AN34/3600*([1]!Enthalpy("carbon dioxide","TP","SI",AN8+273.15,AN22)-[1]!Enthalpy("carbon dioxide","TP","SI",AN7+273.15,AN21))*1000</f>
        <v>1728.1701646692341</v>
      </c>
      <c r="AO50" s="42">
        <f>AO34/3600*([1]!Enthalpy("carbon dioxide","TP","SI",AO8+273.15,AO22)-[1]!Enthalpy("carbon dioxide","TP","SI",AO7+273.15,AO21))*1000</f>
        <v>2481.8682219238231</v>
      </c>
      <c r="AP50" s="42">
        <f>AP34/3600*([1]!Enthalpy("carbon dioxide","TP","SI",AP8+273.15,AP22)-[1]!Enthalpy("carbon dioxide","TP","SI",AP7+273.15,AP21))*1000</f>
        <v>2429.6044136081609</v>
      </c>
      <c r="AQ50" s="42">
        <f>AQ34/3600*([1]!Enthalpy("carbon dioxide","TP","SI",AQ8+273.15,AQ22)-[1]!Enthalpy("carbon dioxide","TP","SI",AQ7+273.15,AQ21))*1000</f>
        <v>2277.3548628277654</v>
      </c>
      <c r="AR50" s="42">
        <f>AR34/3600*([1]!Enthalpy("carbon dioxide","TP","SI",AR8+273.15,AR22)-[1]!Enthalpy("carbon dioxide","TP","SI",AR7+273.15,AR21))*1000</f>
        <v>2907.2672135105349</v>
      </c>
      <c r="AS50" s="42">
        <f>AS34/3600*([1]!Enthalpy("carbon dioxide","TP","SI",AS8+273.15,AS22)-[1]!Enthalpy("carbon dioxide","TP","SI",AS7+273.15,AS21))*1000</f>
        <v>2953.6229653970117</v>
      </c>
      <c r="AT50" s="42"/>
      <c r="AU50" s="42">
        <f>AU34/3600*([1]!Enthalpy("carbon dioxide","TP","SI",AU8+273.15,AU22)-[1]!Enthalpy("carbon dioxide","TP","SI",AU7+273.15,AU21))*1000</f>
        <v>2094.5640351140219</v>
      </c>
      <c r="AV50" s="42">
        <f>AV34/3600*([1]!Enthalpy("carbon dioxide","TP","SI",AV8+273.15,AV22)-[1]!Enthalpy("carbon dioxide","TP","SI",AV7+273.15,AV21))*1000</f>
        <v>1996.7381503721263</v>
      </c>
      <c r="AW50" s="42">
        <f>AW34/3600*([1]!Enthalpy("carbon dioxide","TP","SI",AW8+273.15,AW22)-[1]!Enthalpy("carbon dioxide","TP","SI",AW7+273.15,AW21))*1000</f>
        <v>1892.4501136214201</v>
      </c>
      <c r="AX50" s="42">
        <f>AX34/3600*([1]!Enthalpy("carbon dioxide","TP","SI",AX8+273.15,AX22)-[1]!Enthalpy("carbon dioxide","TP","SI",AX7+273.15,AX21))*1000</f>
        <v>1716.0785327278552</v>
      </c>
      <c r="AY50" s="42">
        <f>AY34/3600*([1]!Enthalpy("carbon dioxide","TP","SI",AY8+273.15,AY22)-[1]!Enthalpy("carbon dioxide","TP","SI",AY7+273.15,AY21))*1000</f>
        <v>2478.6331681376469</v>
      </c>
      <c r="AZ50" s="42">
        <f>AZ34/3600*([1]!Enthalpy("carbon dioxide","TP","SI",AZ8+273.15,AZ22)-[1]!Enthalpy("carbon dioxide","TP","SI",AZ7+273.15,AZ21))*1000</f>
        <v>2408.1073453969661</v>
      </c>
      <c r="BA50" s="42">
        <f>BA34/3600*([1]!Enthalpy("carbon dioxide","TP","SI",BA8+273.15,BA22)-[1]!Enthalpy("carbon dioxide","TP","SI",BA7+273.15,BA21))*1000</f>
        <v>2275.1041209222089</v>
      </c>
      <c r="BB50" s="42">
        <f>BB34/3600*([1]!Enthalpy("carbon dioxide","TP","SI",BB8+273.15,BB22)-[1]!Enthalpy("carbon dioxide","TP","SI",BB7+273.15,BB21))*1000</f>
        <v>2887.8879887373673</v>
      </c>
      <c r="BC50" s="42">
        <f>BC34/3600*([1]!Enthalpy("carbon dioxide","TP","SI",BC8+273.15,BC22)-[1]!Enthalpy("carbon dioxide","TP","SI",BC7+273.15,BC21))*1000</f>
        <v>2980.6907045155995</v>
      </c>
      <c r="BD50" s="44"/>
      <c r="BE50" s="42">
        <f>BE34/3600*([1]!Enthalpy("carbon dioxide","TP","SI",BE8+273.15,BE22)-[1]!Enthalpy("carbon dioxide","TP","SI",BE7+273.15,BE21))*1000</f>
        <v>-168.34001012357919</v>
      </c>
      <c r="BF50" s="42" t="e">
        <f>BF34/3600*([1]!Enthalpy("carbon dioxide","TP","SI",BF8+273.15,BF22)-[1]!Enthalpy("carbon dioxide","TP","SI",BF7+273.15,BF21))*1000</f>
        <v>#VALUE!</v>
      </c>
      <c r="BG50" s="42" t="e">
        <f>BG34/3600*([1]!Enthalpy("carbon dioxide","TP","SI",BG8+273.15,BG22)-[1]!Enthalpy("carbon dioxide","TP","SI",BG7+273.15,BG21))*1000</f>
        <v>#VALUE!</v>
      </c>
      <c r="BH50" s="44" t="e">
        <f>BH34/3600*([1]!Enthalpy("carbon dioxide","TP","SI",BH8+273.15,BH22)-[1]!Enthalpy("carbon dioxide","TP","SI",BH7+273.15,BH21))*1000</f>
        <v>#VALUE!</v>
      </c>
      <c r="BI50" s="44" t="e">
        <f>BI34/3600*([1]!Enthalpy("carbon dioxide","TP","SI",BI8+273.15,BI22)-[1]!Enthalpy("carbon dioxide","TP","SI",BI7+273.15,BI21))*1000</f>
        <v>#VALUE!</v>
      </c>
      <c r="BJ50" s="44" t="e">
        <f>BJ34/3600*([1]!Enthalpy("carbon dioxide","TP","SI",BJ8+273.15,BJ22)-[1]!Enthalpy("carbon dioxide","TP","SI",BJ7+273.15,BJ21))*1000</f>
        <v>#VALUE!</v>
      </c>
      <c r="BK50" s="44" t="e">
        <f>BK34/3600*([1]!Enthalpy("carbon dioxide","TP","SI",BK8+273.15,BK22)-[1]!Enthalpy("carbon dioxide","TP","SI",BK7+273.15,BK21))*1000</f>
        <v>#VALUE!</v>
      </c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Z50" s="36"/>
    </row>
    <row r="51" spans="1:78" x14ac:dyDescent="0.4">
      <c r="A51" s="49"/>
      <c r="B51" s="11" t="s">
        <v>55</v>
      </c>
      <c r="C51" s="32">
        <f>C34/3600*1000*([1]!Enthalpy("carbon dioxide","PS","SI",C22,[1]!Entropy("carbon dioxide","TP","SI",C7+273.15,C21))-[1]!Enthalpy("carbon dioxide","TP","SI",C7+273.15,C21))</f>
        <v>2046.0794115903334</v>
      </c>
      <c r="D51" s="32">
        <f>D34/3600*1000*([1]!Enthalpy("carbon dioxide","PS","SI",D22,[1]!Entropy("carbon dioxide","TP","SI",D7+273.15,D21))-[1]!Enthalpy("carbon dioxide","TP","SI",D7+273.15,D21))</f>
        <v>2027.3087432950426</v>
      </c>
      <c r="E51" s="45">
        <f>E34/3600*1000*([1]!Enthalpy("carbon dioxide","PS","SI",E22,[1]!Entropy("carbon dioxide","TP","SI",E7+273.15,E21))-[1]!Enthalpy("carbon dioxide","TP","SI",E7+273.15,E21))</f>
        <v>1734.0435588112402</v>
      </c>
      <c r="F51" s="45">
        <f>F34/3600*1000*([1]!Enthalpy("carbon dioxide","PS","SI",F22,[1]!Entropy("carbon dioxide","TP","SI",F7+273.15,F21))-[1]!Enthalpy("carbon dioxide","TP","SI",F7+273.15,F21))</f>
        <v>1719.8783937632736</v>
      </c>
      <c r="G51" s="45">
        <f>G34/3600*1000*([1]!Enthalpy("carbon dioxide","PS","SI",G22,[1]!Entropy("carbon dioxide","TP","SI",G7+273.15,G21))-[1]!Enthalpy("carbon dioxide","TP","SI",G7+273.15,G21))</f>
        <v>1656.5933468740534</v>
      </c>
      <c r="H51" s="45">
        <f>H34/3600*1000*([1]!Enthalpy("carbon dioxide","PS","SI",H22,[1]!Entropy("carbon dioxide","TP","SI",H7+273.15,H21))-[1]!Enthalpy("carbon dioxide","TP","SI",H7+273.15,H21))</f>
        <v>1684.4268608628417</v>
      </c>
      <c r="I51" s="32">
        <f>I34/3600*1000*([1]!Enthalpy("carbon dioxide","PS","SI",I22,[1]!Entropy("carbon dioxide","TP","SI",I7+273.15,I21))-[1]!Enthalpy("carbon dioxide","TP","SI",I7+273.15,I21))</f>
        <v>1414.3678180346242</v>
      </c>
      <c r="J51" s="32">
        <f>J34/3600*1000*([1]!Enthalpy("carbon dioxide","PS","SI",J22,[1]!Entropy("carbon dioxide","TP","SI",J7+273.15,J21))-[1]!Enthalpy("carbon dioxide","TP","SI",J7+273.15,J21))</f>
        <v>1356.1959273469704</v>
      </c>
      <c r="K51" s="32">
        <f>K34/3600*1000*([1]!Enthalpy("carbon dioxide","PS","SI",K22,[1]!Entropy("carbon dioxide","TP","SI",K7+273.15,K21))-[1]!Enthalpy("carbon dioxide","TP","SI",K7+273.15,K21))</f>
        <v>1331.9384707934228</v>
      </c>
      <c r="L51" s="32">
        <f>L34/3600*1000*([1]!Enthalpy("carbon dioxide","PS","SI",L22,[1]!Entropy("carbon dioxide","TP","SI",L7+273.15,L21))-[1]!Enthalpy("carbon dioxide","TP","SI",L7+273.15,L21))</f>
        <v>1245.3594953638162</v>
      </c>
      <c r="M51" s="34"/>
      <c r="N51" s="32">
        <f>N34/3600*1000*([1]!Enthalpy("carbon dioxide","PS","SI",N22,[1]!Entropy("carbon dioxide","TP","SI",N7+273.15,N21))-[1]!Enthalpy("carbon dioxide","TP","SI",N7+273.15,N21))</f>
        <v>1510.8895113815099</v>
      </c>
      <c r="O51" s="32">
        <f>O34/3600*1000*([1]!Enthalpy("carbon dioxide","PS","SI",O22,[1]!Entropy("carbon dioxide","TP","SI",O7+273.15,O21))-[1]!Enthalpy("carbon dioxide","TP","SI",O7+273.15,O21))</f>
        <v>1488.0337997624335</v>
      </c>
      <c r="P51" s="32">
        <f>P34/3600*1000*([1]!Enthalpy("carbon dioxide","PS","SI",P22,[1]!Entropy("carbon dioxide","TP","SI",P7+273.15,P21))-[1]!Enthalpy("carbon dioxide","TP","SI",P7+273.15,P21))</f>
        <v>1456.062884084103</v>
      </c>
      <c r="Q51" s="32">
        <f>Q34/3600*1000*([1]!Enthalpy("carbon dioxide","PS","SI",Q22,[1]!Entropy("carbon dioxide","TP","SI",Q7+273.15,Q21))-[1]!Enthalpy("carbon dioxide","TP","SI",Q7+273.15,Q21))</f>
        <v>1448.0265624747431</v>
      </c>
      <c r="R51" s="32">
        <f>R34/3600*1000*([1]!Enthalpy("carbon dioxide","PS","SI",R22,[1]!Entropy("carbon dioxide","TP","SI",R7+273.15,R21))-[1]!Enthalpy("carbon dioxide","TP","SI",R7+273.15,R21))</f>
        <v>1420.6878095016777</v>
      </c>
      <c r="S51" s="32">
        <f>S34/3600*1000*([1]!Enthalpy("carbon dioxide","PS","SI",S22,[1]!Entropy("carbon dioxide","TP","SI",S7+273.15,S21))-[1]!Enthalpy("carbon dioxide","TP","SI",S7+273.15,S21))</f>
        <v>1839.5164405139024</v>
      </c>
      <c r="T51" s="32">
        <f>T34/3600*1000*([1]!Enthalpy("carbon dioxide","PS","SI",T22,[1]!Entropy("carbon dioxide","TP","SI",T7+273.15,T21))-[1]!Enthalpy("carbon dioxide","TP","SI",T7+273.15,T21))</f>
        <v>1851.3225948978568</v>
      </c>
      <c r="U51" s="42">
        <f>U34/3600*1000*([1]!Enthalpy("carbon dioxide","PS","SI",U22,[1]!Entropy("carbon dioxide","TP","SI",U7+273.15,U21))-[1]!Enthalpy("carbon dioxide","TP","SI",U7+273.15,U21))</f>
        <v>1847.2615468257006</v>
      </c>
      <c r="V51" s="42">
        <f>V34/3600*1000*([1]!Enthalpy("carbon dioxide","PS","SI",V22,[1]!Entropy("carbon dioxide","TP","SI",V7+273.15,V21))-[1]!Enthalpy("carbon dioxide","TP","SI",V7+273.15,V21))</f>
        <v>1857.7783869523719</v>
      </c>
      <c r="W51" s="42">
        <f>W34/3600*1000*([1]!Enthalpy("carbon dioxide","PS","SI",W22,[1]!Entropy("carbon dioxide","TP","SI",W7+273.15,W21))-[1]!Enthalpy("carbon dioxide","TP","SI",W7+273.15,W21))</f>
        <v>2252.2828857227719</v>
      </c>
      <c r="X51" s="42">
        <f>X34/3600*1000*([1]!Enthalpy("carbon dioxide","PS","SI",X22,[1]!Entropy("carbon dioxide","TP","SI",X7+273.15,X21))-[1]!Enthalpy("carbon dioxide","TP","SI",X7+273.15,X21))</f>
        <v>2261.1460060976601</v>
      </c>
      <c r="Y51" s="42">
        <f>Y34/3600*1000*([1]!Enthalpy("carbon dioxide","PS","SI",Y22,[1]!Entropy("carbon dioxide","TP","SI",Y7+273.15,Y21))-[1]!Enthalpy("carbon dioxide","TP","SI",Y7+273.15,Y21))</f>
        <v>2263.412288374644</v>
      </c>
      <c r="Z51" s="34"/>
      <c r="AA51" s="32">
        <f>AA34/3600*1000*([1]!Enthalpy("carbon dioxide","PS","SI",AA22,[1]!Entropy("carbon dioxide","TP","SI",AA7+273.15,AA21))-[1]!Enthalpy("carbon dioxide","TP","SI",AA7+273.15,AA21))</f>
        <v>1407.2633635745001</v>
      </c>
      <c r="AB51" s="32">
        <f>AB34/3600*1000*([1]!Enthalpy("carbon dioxide","PS","SI",AB22,[1]!Entropy("carbon dioxide","TP","SI",AB7+273.15,AB21))-[1]!Enthalpy("carbon dioxide","TP","SI",AB7+273.15,AB21))</f>
        <v>1365.8160356271676</v>
      </c>
      <c r="AC51" s="32">
        <f>AC34/3600*1000*([1]!Enthalpy("carbon dioxide","PS","SI",AC22,[1]!Entropy("carbon dioxide","TP","SI",AC7+273.15,AC21))-[1]!Enthalpy("carbon dioxide","TP","SI",AC7+273.15,AC21))</f>
        <v>1358.0127081705364</v>
      </c>
      <c r="AD51" s="32">
        <f>AD34/3600*1000*([1]!Enthalpy("carbon dioxide","PS","SI",AD22,[1]!Entropy("carbon dioxide","TP","SI",AD7+273.15,AD21))-[1]!Enthalpy("carbon dioxide","TP","SI",AD7+273.15,AD21))</f>
        <v>1271.3865347169922</v>
      </c>
      <c r="AE51" s="32">
        <f>AE34/3600*1000*([1]!Enthalpy("carbon dioxide","PS","SI",AE22,[1]!Entropy("carbon dioxide","TP","SI",AE7+273.15,AE21))-[1]!Enthalpy("carbon dioxide","TP","SI",AE7+273.15,AE21))</f>
        <v>1354.1136466254245</v>
      </c>
      <c r="AF51" s="32">
        <f>AF34/3600*1000*([1]!Enthalpy("carbon dioxide","PS","SI",AF22,[1]!Entropy("carbon dioxide","TP","SI",AF7+273.15,AF21))-[1]!Enthalpy("carbon dioxide","TP","SI",AF7+273.15,AF21))</f>
        <v>1736.6351448428022</v>
      </c>
      <c r="AG51" s="32">
        <f>AG34/3600*1000*([1]!Enthalpy("carbon dioxide","PS","SI",AG22,[1]!Entropy("carbon dioxide","TP","SI",AG7+273.15,AG21))-[1]!Enthalpy("carbon dioxide","TP","SI",AG7+273.15,AG21))</f>
        <v>1721.5383488995251</v>
      </c>
      <c r="AH51" s="32">
        <f>AH34/3600*1000*([1]!Enthalpy("carbon dioxide","PS","SI",AH22,[1]!Entropy("carbon dioxide","TP","SI",AH7+273.15,AH21))-[1]!Enthalpy("carbon dioxide","TP","SI",AH7+273.15,AH21))</f>
        <v>1635.7156974790894</v>
      </c>
      <c r="AI51" s="32">
        <f>AI34/3600*1000*([1]!Enthalpy("carbon dioxide","PS","SI",AI22,[1]!Entropy("carbon dioxide","TP","SI",AI7+273.15,AI21))-[1]!Enthalpy("carbon dioxide","TP","SI",AI7+273.15,AI21))</f>
        <v>2025.3328452842729</v>
      </c>
      <c r="AJ51" s="32">
        <f>AJ34/3600*1000*([1]!Enthalpy("carbon dioxide","PS","SI",AJ22,[1]!Entropy("carbon dioxide","TP","SI",AJ7+273.15,AJ21))-[1]!Enthalpy("carbon dioxide","TP","SI",AJ7+273.15,AJ21))</f>
        <v>2045.5281664056495</v>
      </c>
      <c r="AK51" s="32">
        <f>AK34/3600*1000*([1]!Enthalpy("carbon dioxide","PS","SI",AK22,[1]!Entropy("carbon dioxide","TP","SI",AK7+273.15,AK21))-[1]!Enthalpy("carbon dioxide","TP","SI",AK7+273.15,AK21))</f>
        <v>1390.4284362455628</v>
      </c>
      <c r="AL51" s="32">
        <f>AL34/3600*1000*([1]!Enthalpy("carbon dioxide","PS","SI",AL22,[1]!Entropy("carbon dioxide","TP","SI",AL7+273.15,AL21))-[1]!Enthalpy("carbon dioxide","TP","SI",AL7+273.15,AL21))</f>
        <v>1346.2697633500293</v>
      </c>
      <c r="AM51" s="32">
        <f>AM34/3600*1000*([1]!Enthalpy("carbon dioxide","PS","SI",AM22,[1]!Entropy("carbon dioxide","TP","SI",AM7+273.15,AM21))-[1]!Enthalpy("carbon dioxide","TP","SI",AM7+273.15,AM21))</f>
        <v>1319.1184011556541</v>
      </c>
      <c r="AN51" s="42">
        <f>AN34/3600*1000*([1]!Enthalpy("carbon dioxide","PS","SI",AN22,[1]!Entropy("carbon dioxide","TP","SI",AN7+273.15,AN21))-[1]!Enthalpy("carbon dioxide","TP","SI",AN7+273.15,AN21))</f>
        <v>1264.1841087557243</v>
      </c>
      <c r="AO51" s="42">
        <f>AO34/3600*1000*([1]!Enthalpy("carbon dioxide","PS","SI",AO22,[1]!Entropy("carbon dioxide","TP","SI",AO7+273.15,AO21))-[1]!Enthalpy("carbon dioxide","TP","SI",AO7+273.15,AO21))</f>
        <v>1714.7874343242972</v>
      </c>
      <c r="AP51" s="42">
        <f>AP34/3600*1000*([1]!Enthalpy("carbon dioxide","PS","SI",AP22,[1]!Entropy("carbon dioxide","TP","SI",AP7+273.15,AP21))-[1]!Enthalpy("carbon dioxide","TP","SI",AP7+273.15,AP21))</f>
        <v>1694.0565815678588</v>
      </c>
      <c r="AQ51" s="42">
        <f>AQ34/3600*1000*([1]!Enthalpy("carbon dioxide","PS","SI",AQ22,[1]!Entropy("carbon dioxide","TP","SI",AQ7+273.15,AQ21))-[1]!Enthalpy("carbon dioxide","TP","SI",AQ7+273.15,AQ21))</f>
        <v>1619.0315607250682</v>
      </c>
      <c r="AR51" s="42">
        <f>AR34/3600*1000*([1]!Enthalpy("carbon dioxide","PS","SI",AR22,[1]!Entropy("carbon dioxide","TP","SI",AR7+273.15,AR21))-[1]!Enthalpy("carbon dioxide","TP","SI",AR7+273.15,AR21))</f>
        <v>1996.8530950252225</v>
      </c>
      <c r="AS51" s="42">
        <f>AS34/3600*1000*([1]!Enthalpy("carbon dioxide","PS","SI",AS22,[1]!Entropy("carbon dioxide","TP","SI",AS7+273.15,AS21))-[1]!Enthalpy("carbon dioxide","TP","SI",AS7+273.15,AS21))</f>
        <v>2032.5163065158392</v>
      </c>
      <c r="AT51" s="42"/>
      <c r="AU51" s="42">
        <f>AU34/3600*1000*([1]!Enthalpy("carbon dioxide","PS","SI",AU22,[1]!Entropy("carbon dioxide","TP","SI",AU7+273.15,AU21))-[1]!Enthalpy("carbon dioxide","TP","SI",AU7+273.15,AU21))</f>
        <v>1394.4633576348651</v>
      </c>
      <c r="AV51" s="42">
        <f>AV34/3600*1000*([1]!Enthalpy("carbon dioxide","PS","SI",AV22,[1]!Entropy("carbon dioxide","TP","SI",AV7+273.15,AV21))-[1]!Enthalpy("carbon dioxide","TP","SI",AV7+273.15,AV21))</f>
        <v>1366.2108007646329</v>
      </c>
      <c r="AW51" s="42">
        <f>AW34/3600*1000*([1]!Enthalpy("carbon dioxide","PS","SI",AW22,[1]!Entropy("carbon dioxide","TP","SI",AW7+273.15,AW21))-[1]!Enthalpy("carbon dioxide","TP","SI",AW7+273.15,AW21))</f>
        <v>1327.5888474005924</v>
      </c>
      <c r="AX51" s="42">
        <f>AX34/3600*1000*([1]!Enthalpy("carbon dioxide","PS","SI",AX22,[1]!Entropy("carbon dioxide","TP","SI",AX7+273.15,AX21))-[1]!Enthalpy("carbon dioxide","TP","SI",AX7+273.15,AX21))</f>
        <v>1259.092468591916</v>
      </c>
      <c r="AY51" s="42">
        <f>AY34/3600*1000*([1]!Enthalpy("carbon dioxide","PS","SI",AY22,[1]!Entropy("carbon dioxide","TP","SI",AY7+273.15,AY21))-[1]!Enthalpy("carbon dioxide","TP","SI",AY7+273.15,AY21))</f>
        <v>1694.0125473498208</v>
      </c>
      <c r="AZ51" s="42">
        <f>AZ34/3600*1000*([1]!Enthalpy("carbon dioxide","PS","SI",AZ22,[1]!Entropy("carbon dioxide","TP","SI",AZ7+273.15,AZ21))-[1]!Enthalpy("carbon dioxide","TP","SI",AZ7+273.15,AZ21))</f>
        <v>1684.8561216737678</v>
      </c>
      <c r="BA51" s="42">
        <f>BA34/3600*1000*([1]!Enthalpy("carbon dioxide","PS","SI",BA22,[1]!Entropy("carbon dioxide","TP","SI",BA7+273.15,BA21))-[1]!Enthalpy("carbon dioxide","TP","SI",BA7+273.15,BA21))</f>
        <v>1624.3382579547688</v>
      </c>
      <c r="BB51" s="42">
        <f>BB34/3600*1000*([1]!Enthalpy("carbon dioxide","PS","SI",BB22,[1]!Entropy("carbon dioxide","TP","SI",BB7+273.15,BB21))-[1]!Enthalpy("carbon dioxide","TP","SI",BB7+273.15,BB21))</f>
        <v>2013.8983964387708</v>
      </c>
      <c r="BC51" s="42">
        <f>BC34/3600*1000*([1]!Enthalpy("carbon dioxide","PS","SI",BC22,[1]!Entropy("carbon dioxide","TP","SI",BC7+273.15,BC21))-[1]!Enthalpy("carbon dioxide","TP","SI",BC7+273.15,BC21))</f>
        <v>2012.0204305207369</v>
      </c>
      <c r="BD51" s="44"/>
      <c r="BE51" s="42">
        <f>BE34/3600*1000*([1]!Enthalpy("carbon dioxide","PS","SI",BE22,[1]!Entropy("carbon dioxide","TP","SI",BE7+273.15,BE21))-[1]!Enthalpy("carbon dioxide","TP","SI",BE7+273.15,BE21))</f>
        <v>257.3527321743573</v>
      </c>
      <c r="BF51" s="42" t="e">
        <f>BF34/3600*1000*([1]!Enthalpy("carbon dioxide","PS","SI",BF22,[1]!Entropy("carbon dioxide","TP","SI",BF7+273.15,BF21))-[1]!Enthalpy("carbon dioxide","TP","SI",BF7+273.15,BF21))</f>
        <v>#VALUE!</v>
      </c>
      <c r="BG51" s="42" t="e">
        <f>BG34/3600*1000*([1]!Enthalpy("carbon dioxide","PS","SI",BG22,[1]!Entropy("carbon dioxide","TP","SI",BG7+273.15,BG21))-[1]!Enthalpy("carbon dioxide","TP","SI",BG7+273.15,BG21))</f>
        <v>#VALUE!</v>
      </c>
      <c r="BH51" s="44" t="e">
        <f>BH34/3600*1000*([1]!Enthalpy("carbon dioxide","PS","SI",BH22,[1]!Entropy("carbon dioxide","TP","SI",BH7+273.15,BH21))-[1]!Enthalpy("carbon dioxide","TP","SI",BH7+273.15,BH21))</f>
        <v>#VALUE!</v>
      </c>
      <c r="BI51" s="44" t="e">
        <f>BI34/3600*1000*([1]!Enthalpy("carbon dioxide","PS","SI",BI22,[1]!Entropy("carbon dioxide","TP","SI",BI7+273.15,BI21))-[1]!Enthalpy("carbon dioxide","TP","SI",BI7+273.15,BI21))</f>
        <v>#VALUE!</v>
      </c>
      <c r="BJ51" s="44" t="e">
        <f>BJ34/3600*1000*([1]!Enthalpy("carbon dioxide","PS","SI",BJ22,[1]!Entropy("carbon dioxide","TP","SI",BJ7+273.15,BJ21))-[1]!Enthalpy("carbon dioxide","TP","SI",BJ7+273.15,BJ21))</f>
        <v>#VALUE!</v>
      </c>
      <c r="BK51" s="44" t="e">
        <f>BK34/3600*1000*([1]!Enthalpy("carbon dioxide","PS","SI",BK22,[1]!Entropy("carbon dioxide","TP","SI",BK7+273.15,BK21))-[1]!Enthalpy("carbon dioxide","TP","SI",BK7+273.15,BK21))</f>
        <v>#VALUE!</v>
      </c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Z51" s="36"/>
    </row>
    <row r="52" spans="1:78" x14ac:dyDescent="0.4">
      <c r="A52" s="49"/>
      <c r="B52" s="11" t="s">
        <v>56</v>
      </c>
      <c r="C52" s="32">
        <f t="shared" ref="C52:AM52" si="24">C22/C21</f>
        <v>2.740524781341108</v>
      </c>
      <c r="D52" s="32">
        <f t="shared" ref="D52" si="25">D22/D21</f>
        <v>2.6801152737752161</v>
      </c>
      <c r="E52" s="45">
        <f t="shared" si="24"/>
        <v>2.7103064066852371</v>
      </c>
      <c r="F52" s="45">
        <f t="shared" si="24"/>
        <v>2.6436464088397789</v>
      </c>
      <c r="G52" s="45">
        <f t="shared" si="24"/>
        <v>2.4148936170212769</v>
      </c>
      <c r="H52" s="45">
        <f t="shared" si="24"/>
        <v>2.5162162162162161</v>
      </c>
      <c r="I52" s="32">
        <f t="shared" si="24"/>
        <v>2.7089947089947093</v>
      </c>
      <c r="J52" s="32">
        <f t="shared" si="24"/>
        <v>2.4704370179948585</v>
      </c>
      <c r="K52" s="32">
        <f t="shared" si="24"/>
        <v>2.31</v>
      </c>
      <c r="L52" s="32">
        <f t="shared" si="24"/>
        <v>2.1274038461538458</v>
      </c>
      <c r="M52" s="34"/>
      <c r="N52" s="32">
        <f t="shared" si="24"/>
        <v>3.0314960629921259</v>
      </c>
      <c r="O52" s="32">
        <f t="shared" si="24"/>
        <v>2.9371727748691101</v>
      </c>
      <c r="P52" s="32">
        <f t="shared" si="24"/>
        <v>2.8363636363636364</v>
      </c>
      <c r="Q52" s="32">
        <f t="shared" si="24"/>
        <v>2.7157622739018086</v>
      </c>
      <c r="R52" s="32">
        <f t="shared" si="24"/>
        <v>2.5303030303030303</v>
      </c>
      <c r="S52" s="32">
        <f t="shared" si="24"/>
        <v>2.9162011173184355</v>
      </c>
      <c r="T52" s="32">
        <f t="shared" si="24"/>
        <v>3.050847457627119</v>
      </c>
      <c r="U52" s="42">
        <f t="shared" ref="U52:Y52" si="26">U22/U21</f>
        <v>3.1586402266288953</v>
      </c>
      <c r="V52" s="42">
        <f t="shared" si="26"/>
        <v>3.254237288135593</v>
      </c>
      <c r="W52" s="42">
        <f t="shared" si="26"/>
        <v>3.2727272727272729</v>
      </c>
      <c r="X52" s="42">
        <f t="shared" si="26"/>
        <v>3.4202453987730066</v>
      </c>
      <c r="Y52" s="42">
        <f t="shared" si="26"/>
        <v>3.5323076923076924</v>
      </c>
      <c r="Z52" s="34"/>
      <c r="AA52" s="32">
        <f t="shared" si="24"/>
        <v>2.6963350785340316</v>
      </c>
      <c r="AB52" s="32">
        <f t="shared" si="24"/>
        <v>2.5647668393782386</v>
      </c>
      <c r="AC52" s="32">
        <f t="shared" si="24"/>
        <v>2.454081632653061</v>
      </c>
      <c r="AD52" s="32">
        <f t="shared" si="24"/>
        <v>2.2058823529411766</v>
      </c>
      <c r="AE52" s="32">
        <f t="shared" si="24"/>
        <v>2.4936061381074168</v>
      </c>
      <c r="AF52" s="32">
        <f t="shared" si="24"/>
        <v>2.6914600550964187</v>
      </c>
      <c r="AG52" s="32">
        <f t="shared" si="24"/>
        <v>2.6284153005464477</v>
      </c>
      <c r="AH52" s="32">
        <f t="shared" si="24"/>
        <v>2.3910761154855642</v>
      </c>
      <c r="AI52" s="32">
        <f t="shared" si="24"/>
        <v>2.6524216524216526</v>
      </c>
      <c r="AJ52" s="32">
        <f t="shared" si="24"/>
        <v>2.745664739884393</v>
      </c>
      <c r="AK52" s="32">
        <f t="shared" si="24"/>
        <v>2.6597402597402597</v>
      </c>
      <c r="AL52" s="32">
        <f t="shared" si="24"/>
        <v>2.5435897435897434</v>
      </c>
      <c r="AM52" s="32">
        <f t="shared" si="24"/>
        <v>2.4267676767676765</v>
      </c>
      <c r="AN52" s="42">
        <f t="shared" ref="AN52:BG52" si="27">AN22/AN21</f>
        <v>2.1835748792270531</v>
      </c>
      <c r="AO52" s="42">
        <f t="shared" si="27"/>
        <v>2.6868131868131866</v>
      </c>
      <c r="AP52" s="42">
        <f t="shared" si="27"/>
        <v>2.6114130434782608</v>
      </c>
      <c r="AQ52" s="42">
        <f t="shared" si="27"/>
        <v>2.3584415584415583</v>
      </c>
      <c r="AR52" s="42">
        <f t="shared" si="27"/>
        <v>2.6271186440677967</v>
      </c>
      <c r="AS52" s="42">
        <f t="shared" si="27"/>
        <v>2.7106017191977076</v>
      </c>
      <c r="AT52" s="42"/>
      <c r="AU52" s="42">
        <f t="shared" si="27"/>
        <v>2.6994818652849744</v>
      </c>
      <c r="AV52" s="42">
        <f t="shared" si="27"/>
        <v>2.5835475578406171</v>
      </c>
      <c r="AW52" s="42">
        <f t="shared" si="27"/>
        <v>2.4110275689223055</v>
      </c>
      <c r="AX52" s="42">
        <f t="shared" si="27"/>
        <v>2.1706730769230766</v>
      </c>
      <c r="AY52" s="42">
        <f t="shared" si="27"/>
        <v>2.6931506849315068</v>
      </c>
      <c r="AZ52" s="42">
        <f t="shared" si="27"/>
        <v>2.6043360433604335</v>
      </c>
      <c r="BA52" s="42">
        <f t="shared" si="27"/>
        <v>2.351421188630491</v>
      </c>
      <c r="BB52" s="42">
        <f t="shared" si="27"/>
        <v>2.6050420168067232</v>
      </c>
      <c r="BC52" s="42">
        <f t="shared" si="27"/>
        <v>2.7285714285714286</v>
      </c>
      <c r="BD52" s="44"/>
      <c r="BE52" s="42">
        <f t="shared" si="27"/>
        <v>2.7851002865329515</v>
      </c>
      <c r="BF52" s="42" t="e">
        <f t="shared" si="27"/>
        <v>#DIV/0!</v>
      </c>
      <c r="BG52" s="42" t="e">
        <f t="shared" si="27"/>
        <v>#DIV/0!</v>
      </c>
      <c r="BH52" s="44" t="e">
        <f t="shared" ref="BH52:BK52" si="28">BH22/BH21</f>
        <v>#DIV/0!</v>
      </c>
      <c r="BI52" s="44" t="e">
        <f t="shared" si="28"/>
        <v>#DIV/0!</v>
      </c>
      <c r="BJ52" s="44" t="e">
        <f t="shared" si="28"/>
        <v>#DIV/0!</v>
      </c>
      <c r="BK52" s="44" t="e">
        <f t="shared" si="28"/>
        <v>#DIV/0!</v>
      </c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Z52" s="36"/>
    </row>
    <row r="53" spans="1:78" x14ac:dyDescent="0.4">
      <c r="A53" s="49"/>
      <c r="B53" s="11" t="s">
        <v>57</v>
      </c>
      <c r="C53" s="32">
        <f>C50/C40</f>
        <v>0.89132058462484598</v>
      </c>
      <c r="D53" s="32">
        <f>D50/D40</f>
        <v>0.89011237460086701</v>
      </c>
      <c r="E53" s="45">
        <f t="shared" ref="E53:AM53" si="29">E50/E40</f>
        <v>0.88688300670604492</v>
      </c>
      <c r="F53" s="45">
        <f t="shared" si="29"/>
        <v>0.88242685762220907</v>
      </c>
      <c r="G53" s="45">
        <f t="shared" si="29"/>
        <v>0.88663649131340549</v>
      </c>
      <c r="H53" s="45">
        <f t="shared" si="29"/>
        <v>1.0471526914309575</v>
      </c>
      <c r="I53" s="32">
        <f t="shared" si="29"/>
        <v>0.87979548617987224</v>
      </c>
      <c r="J53" s="32">
        <f t="shared" si="29"/>
        <v>0.87745216333472109</v>
      </c>
      <c r="K53" s="32">
        <f t="shared" si="29"/>
        <v>0.8952016982502774</v>
      </c>
      <c r="L53" s="32">
        <f t="shared" si="29"/>
        <v>0.86654368850655583</v>
      </c>
      <c r="M53" s="34"/>
      <c r="N53" s="32">
        <f t="shared" si="29"/>
        <v>0.84880731095368767</v>
      </c>
      <c r="O53" s="32">
        <f t="shared" si="29"/>
        <v>0.84842930935423178</v>
      </c>
      <c r="P53" s="32">
        <f t="shared" si="29"/>
        <v>0.82965934795235841</v>
      </c>
      <c r="Q53" s="32">
        <f t="shared" si="29"/>
        <v>0.82690020644029105</v>
      </c>
      <c r="R53" s="32">
        <f t="shared" si="29"/>
        <v>0.80152238228979722</v>
      </c>
      <c r="S53" s="32">
        <f t="shared" si="29"/>
        <v>0.81208294789859525</v>
      </c>
      <c r="T53" s="32">
        <f t="shared" si="29"/>
        <v>0.81600571351469497</v>
      </c>
      <c r="U53" s="42">
        <f t="shared" ref="U53:Y53" si="30">U50/U40</f>
        <v>0.82269420579424246</v>
      </c>
      <c r="V53" s="42">
        <f t="shared" si="30"/>
        <v>0.83929213000158265</v>
      </c>
      <c r="W53" s="42">
        <f t="shared" si="30"/>
        <v>0.7964190403475675</v>
      </c>
      <c r="X53" s="42">
        <f t="shared" si="30"/>
        <v>0.80406389156677049</v>
      </c>
      <c r="Y53" s="42">
        <f t="shared" si="30"/>
        <v>0.81386114897798711</v>
      </c>
      <c r="Z53" s="34"/>
      <c r="AA53" s="32">
        <f t="shared" si="29"/>
        <v>0.87806603695951946</v>
      </c>
      <c r="AB53" s="32">
        <f t="shared" si="29"/>
        <v>0.86827562503636857</v>
      </c>
      <c r="AC53" s="32">
        <f t="shared" si="29"/>
        <v>0.88012342167700841</v>
      </c>
      <c r="AD53" s="32">
        <f t="shared" si="29"/>
        <v>0.88300647264971233</v>
      </c>
      <c r="AE53" s="32">
        <f t="shared" si="29"/>
        <v>0.88191285608339998</v>
      </c>
      <c r="AF53" s="32">
        <f t="shared" si="29"/>
        <v>0.89684515652729813</v>
      </c>
      <c r="AG53" s="32">
        <f t="shared" si="29"/>
        <v>0.89142853434470215</v>
      </c>
      <c r="AH53" s="32">
        <f t="shared" si="29"/>
        <v>0.88647461330992949</v>
      </c>
      <c r="AI53" s="32">
        <f t="shared" si="29"/>
        <v>0.89610466122673849</v>
      </c>
      <c r="AJ53" s="32">
        <f t="shared" si="29"/>
        <v>0.89985720576545547</v>
      </c>
      <c r="AK53" s="32">
        <f t="shared" si="29"/>
        <v>0.87942247535556206</v>
      </c>
      <c r="AL53" s="32">
        <f t="shared" si="29"/>
        <v>0.88953721266568597</v>
      </c>
      <c r="AM53" s="32">
        <f t="shared" si="29"/>
        <v>0.88800832514071193</v>
      </c>
      <c r="AN53" s="42">
        <f t="shared" ref="AN53:BG53" si="31">AN50/AN40</f>
        <v>0.89449801483914815</v>
      </c>
      <c r="AO53" s="42">
        <f t="shared" si="31"/>
        <v>0.88812604112500382</v>
      </c>
      <c r="AP53" s="42">
        <f t="shared" si="31"/>
        <v>0.89143438400592956</v>
      </c>
      <c r="AQ53" s="42">
        <f t="shared" si="31"/>
        <v>0.85727643998786573</v>
      </c>
      <c r="AR53" s="42">
        <f t="shared" si="31"/>
        <v>0.89647462642939713</v>
      </c>
      <c r="AS53" s="42">
        <f t="shared" si="31"/>
        <v>0.89179437361020886</v>
      </c>
      <c r="AT53" s="42"/>
      <c r="AU53" s="42">
        <f t="shared" si="31"/>
        <v>0.8928235443793785</v>
      </c>
      <c r="AV53" s="42">
        <f t="shared" si="31"/>
        <v>0.89040720194966616</v>
      </c>
      <c r="AW53" s="42">
        <f t="shared" si="31"/>
        <v>0.89923977838984082</v>
      </c>
      <c r="AX53" s="42">
        <f t="shared" si="31"/>
        <v>0.88823940617383823</v>
      </c>
      <c r="AY53" s="42">
        <f t="shared" si="31"/>
        <v>0.88696839081683554</v>
      </c>
      <c r="AZ53" s="42">
        <f t="shared" si="31"/>
        <v>0.88354699886148091</v>
      </c>
      <c r="BA53" s="42">
        <f t="shared" si="31"/>
        <v>0.89114928355746537</v>
      </c>
      <c r="BB53" s="42">
        <f t="shared" si="31"/>
        <v>0.89049891727948427</v>
      </c>
      <c r="BC53" s="42">
        <f t="shared" si="31"/>
        <v>0.89068898984479306</v>
      </c>
      <c r="BD53" s="44"/>
      <c r="BE53" s="42">
        <f t="shared" si="31"/>
        <v>-4.979000595196071E-2</v>
      </c>
      <c r="BF53" s="42" t="e">
        <f t="shared" si="31"/>
        <v>#VALUE!</v>
      </c>
      <c r="BG53" s="42" t="e">
        <f t="shared" si="31"/>
        <v>#VALUE!</v>
      </c>
      <c r="BH53" s="44" t="e">
        <f t="shared" ref="BH53:BK53" si="32">BH50/BH40</f>
        <v>#VALUE!</v>
      </c>
      <c r="BI53" s="44" t="e">
        <f t="shared" si="32"/>
        <v>#VALUE!</v>
      </c>
      <c r="BJ53" s="44" t="e">
        <f t="shared" si="32"/>
        <v>#VALUE!</v>
      </c>
      <c r="BK53" s="44" t="e">
        <f t="shared" si="32"/>
        <v>#VALUE!</v>
      </c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Z53" s="36"/>
    </row>
    <row r="54" spans="1:78" x14ac:dyDescent="0.4">
      <c r="A54" s="49"/>
      <c r="B54" s="11" t="s">
        <v>58</v>
      </c>
      <c r="C54" s="32">
        <f t="shared" ref="C54:AM54" si="33">C51/C50</f>
        <v>0.70039953412173883</v>
      </c>
      <c r="D54" s="32">
        <f t="shared" ref="D54" si="34">D51/D50</f>
        <v>0.70230879311991601</v>
      </c>
      <c r="E54" s="45">
        <f t="shared" si="33"/>
        <v>0.70840984322912348</v>
      </c>
      <c r="F54" s="45">
        <f t="shared" si="33"/>
        <v>0.7151099756587429</v>
      </c>
      <c r="G54" s="45">
        <f t="shared" si="33"/>
        <v>0.73184565109726973</v>
      </c>
      <c r="H54" s="45">
        <f t="shared" si="33"/>
        <v>0.60552534358686871</v>
      </c>
      <c r="I54" s="32">
        <f t="shared" si="33"/>
        <v>0.6954833522357059</v>
      </c>
      <c r="J54" s="32">
        <f t="shared" si="33"/>
        <v>0.72258376935011071</v>
      </c>
      <c r="K54" s="32">
        <f t="shared" si="33"/>
        <v>0.74356027081845522</v>
      </c>
      <c r="L54" s="32">
        <f t="shared" si="33"/>
        <v>0.75739509535497418</v>
      </c>
      <c r="M54" s="34"/>
      <c r="N54" s="32">
        <f t="shared" si="33"/>
        <v>0.67006012574934415</v>
      </c>
      <c r="O54" s="32">
        <f t="shared" si="33"/>
        <v>0.68698351893967091</v>
      </c>
      <c r="P54" s="32">
        <f t="shared" si="33"/>
        <v>0.7065269448968472</v>
      </c>
      <c r="Q54" s="32">
        <f t="shared" si="33"/>
        <v>0.73562290344179748</v>
      </c>
      <c r="R54" s="32">
        <f t="shared" si="33"/>
        <v>0.79040658141090259</v>
      </c>
      <c r="S54" s="32">
        <f t="shared" si="33"/>
        <v>0.75468363861951893</v>
      </c>
      <c r="T54" s="32">
        <f t="shared" si="33"/>
        <v>0.72265067822322016</v>
      </c>
      <c r="U54" s="42">
        <f t="shared" ref="U54:Y54" si="35">U51/U50</f>
        <v>0.69237758985879438</v>
      </c>
      <c r="V54" s="42">
        <f t="shared" si="35"/>
        <v>0.6614391943351815</v>
      </c>
      <c r="W54" s="42">
        <f t="shared" si="35"/>
        <v>0.74519429639722978</v>
      </c>
      <c r="X54" s="42">
        <f t="shared" si="35"/>
        <v>0.72134081854682908</v>
      </c>
      <c r="Y54" s="42">
        <f t="shared" si="35"/>
        <v>0.69492233123599212</v>
      </c>
      <c r="Z54" s="34"/>
      <c r="AA54" s="32">
        <f t="shared" si="33"/>
        <v>0.69335284906690076</v>
      </c>
      <c r="AB54" s="32">
        <f t="shared" si="33"/>
        <v>0.7124190582525044</v>
      </c>
      <c r="AC54" s="32">
        <f t="shared" si="33"/>
        <v>0.72135570519860437</v>
      </c>
      <c r="AD54" s="32">
        <f t="shared" si="33"/>
        <v>0.73218321675612452</v>
      </c>
      <c r="AE54" s="32">
        <f t="shared" si="33"/>
        <v>0.70643107782542458</v>
      </c>
      <c r="AF54" s="32">
        <f t="shared" si="33"/>
        <v>0.70158781324730168</v>
      </c>
      <c r="AG54" s="32">
        <f t="shared" si="33"/>
        <v>0.70857199476540544</v>
      </c>
      <c r="AH54" s="32">
        <f t="shared" si="33"/>
        <v>0.72275433270026834</v>
      </c>
      <c r="AI54" s="32">
        <f t="shared" si="33"/>
        <v>0.69693250537948048</v>
      </c>
      <c r="AJ54" s="32">
        <f t="shared" si="33"/>
        <v>0.68634351916868563</v>
      </c>
      <c r="AK54" s="32">
        <f t="shared" si="33"/>
        <v>0.68400170250417902</v>
      </c>
      <c r="AL54" s="32">
        <f t="shared" si="33"/>
        <v>0.6854391429881429</v>
      </c>
      <c r="AM54" s="32">
        <f t="shared" si="33"/>
        <v>0.70012007464917592</v>
      </c>
      <c r="AN54" s="42">
        <f t="shared" ref="AN54:BG54" si="36">AN51/AN50</f>
        <v>0.73151598991855349</v>
      </c>
      <c r="AO54" s="42">
        <f t="shared" si="36"/>
        <v>0.69092606093125997</v>
      </c>
      <c r="AP54" s="42">
        <f t="shared" si="36"/>
        <v>0.69725613440586665</v>
      </c>
      <c r="AQ54" s="42">
        <f t="shared" si="36"/>
        <v>0.71092634141116473</v>
      </c>
      <c r="AR54" s="42">
        <f t="shared" si="36"/>
        <v>0.68684883375890848</v>
      </c>
      <c r="AS54" s="42">
        <f t="shared" si="36"/>
        <v>0.68814345308377511</v>
      </c>
      <c r="AT54" s="42"/>
      <c r="AU54" s="42">
        <f t="shared" si="36"/>
        <v>0.665753509683916</v>
      </c>
      <c r="AV54" s="42">
        <f t="shared" si="36"/>
        <v>0.68422131390138274</v>
      </c>
      <c r="AW54" s="42">
        <f t="shared" si="36"/>
        <v>0.701518543524563</v>
      </c>
      <c r="AX54" s="42">
        <f t="shared" si="36"/>
        <v>0.73370329188284855</v>
      </c>
      <c r="AY54" s="42">
        <f t="shared" si="36"/>
        <v>0.68344625139614312</v>
      </c>
      <c r="AZ54" s="42">
        <f t="shared" si="36"/>
        <v>0.69965989053366995</v>
      </c>
      <c r="BA54" s="42">
        <f t="shared" si="36"/>
        <v>0.71396216244219468</v>
      </c>
      <c r="BB54" s="42">
        <f t="shared" si="36"/>
        <v>0.69736028692694574</v>
      </c>
      <c r="BC54" s="42">
        <f t="shared" si="36"/>
        <v>0.67501818537315028</v>
      </c>
      <c r="BD54" s="44"/>
      <c r="BE54" s="42">
        <f t="shared" si="36"/>
        <v>-1.5287674747401609</v>
      </c>
      <c r="BF54" s="42" t="e">
        <f t="shared" si="36"/>
        <v>#VALUE!</v>
      </c>
      <c r="BG54" s="42" t="e">
        <f t="shared" si="36"/>
        <v>#VALUE!</v>
      </c>
      <c r="BH54" s="44" t="e">
        <f t="shared" ref="BH54:BK54" si="37">BH51/BH50</f>
        <v>#VALUE!</v>
      </c>
      <c r="BI54" s="44" t="e">
        <f t="shared" si="37"/>
        <v>#VALUE!</v>
      </c>
      <c r="BJ54" s="44" t="e">
        <f t="shared" si="37"/>
        <v>#VALUE!</v>
      </c>
      <c r="BK54" s="44" t="e">
        <f t="shared" si="37"/>
        <v>#VALUE!</v>
      </c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Z54" s="36"/>
    </row>
    <row r="55" spans="1:78" x14ac:dyDescent="0.4">
      <c r="A55" s="49"/>
      <c r="B55" s="11" t="s">
        <v>59</v>
      </c>
      <c r="C55" s="32">
        <f>C34/((C32*5.8/1000000)*60*[1]!Density("carbon dioxide","TP","SI",C7+273.15,C21))</f>
        <v>0.91276850319914893</v>
      </c>
      <c r="D55" s="32">
        <f>D34/((D32*5.8/1000000)*60*[1]!Density("carbon dioxide","TP","SI",D7+273.15,D21))</f>
        <v>0.91641086704994934</v>
      </c>
      <c r="E55" s="45">
        <f>E34/((E32*5.8/1000000)*60*[1]!Density("carbon dioxide","TP","SI",E7+273.15,E21))</f>
        <v>0.89733888047674182</v>
      </c>
      <c r="F55" s="45">
        <f>F34/((F32*5.8/1000000)*60*[1]!Density("carbon dioxide","TP","SI",F7+273.15,F21))</f>
        <v>0.9077955949282549</v>
      </c>
      <c r="G55" s="45">
        <f>G34/((G32*5.8/1000000)*60*[1]!Density("carbon dioxide","TP","SI",G7+273.15,G21))</f>
        <v>0.93762336564806004</v>
      </c>
      <c r="H55" s="45">
        <f>H34/((H32*5.8/1000000)*60*[1]!Density("carbon dioxide","TP","SI",H7+273.15,H21))</f>
        <v>0.92146938013540258</v>
      </c>
      <c r="I55" s="32">
        <f>I34/((I32*5.8/1000000)*60*[1]!Density("carbon dioxide","TP","SI",I7+273.15,I21))</f>
        <v>0.86846319606810873</v>
      </c>
      <c r="J55" s="32">
        <f>J34/((J32*5.8/1000000)*60*[1]!Density("carbon dioxide","TP","SI",J7+273.15,J21))</f>
        <v>0.90121890189095566</v>
      </c>
      <c r="K55" s="32">
        <f>K34/((K32*5.8/1000000)*60*[1]!Density("carbon dioxide","TP","SI",K7+273.15,K21))</f>
        <v>0.93679961912720544</v>
      </c>
      <c r="L55" s="32">
        <f>L34/((L32*5.8/1000000)*60*[1]!Density("carbon dioxide","TP","SI",L7+273.15,L21))</f>
        <v>0.94257016319374798</v>
      </c>
      <c r="M55" s="34"/>
      <c r="N55" s="32">
        <f>N34/((N32*5.8/1000000)*60*[1]!Density("carbon dioxide","TP","SI",N7+273.15,N21))</f>
        <v>0.8119415552105127</v>
      </c>
      <c r="O55" s="32">
        <f>O34/((O32*5.8/1000000)*60*[1]!Density("carbon dioxide","TP","SI",O7+273.15,O21))</f>
        <v>0.82439118348549489</v>
      </c>
      <c r="P55" s="32">
        <f>P34/((P32*5.8/1000000)*60*[1]!Density("carbon dioxide","TP","SI",P7+273.15,P21))</f>
        <v>0.83085099884980884</v>
      </c>
      <c r="Q55" s="32">
        <f>Q34/((Q32*5.8/1000000)*60*[1]!Density("carbon dioxide","TP","SI",Q7+273.15,Q21))</f>
        <v>0.86260334341543132</v>
      </c>
      <c r="R55" s="32">
        <f>R34/((R32*5.8/1000000)*60*[1]!Density("carbon dioxide","TP","SI",R7+273.15,R21))</f>
        <v>0.89775897023014717</v>
      </c>
      <c r="S55" s="32">
        <f>S34/((S32*5.8/1000000)*60*[1]!Density("carbon dioxide","TP","SI",S7+273.15,S21))</f>
        <v>0.87888697928460735</v>
      </c>
      <c r="T55" s="32">
        <f>T34/((T32*5.8/1000000)*60*[1]!Density("carbon dioxide","TP","SI",T7+273.15,T21))</f>
        <v>0.85355088035305071</v>
      </c>
      <c r="U55" s="42">
        <f>U34/((U32*5.8/1000000)*60*[1]!Density("carbon dioxide","TP","SI",U7+273.15,U21))</f>
        <v>0.82454541633645784</v>
      </c>
      <c r="V55" s="42">
        <f>V34/((V32*5.8/1000000)*60*[1]!Density("carbon dioxide","TP","SI",V7+273.15,V21))</f>
        <v>0.8026534754683996</v>
      </c>
      <c r="W55" s="42">
        <f>W34/((W32*5.8/1000000)*60*[1]!Density("carbon dioxide","TP","SI",W7+273.15,W21))</f>
        <v>0.86740114532581436</v>
      </c>
      <c r="X55" s="42">
        <f>X34/((X32*5.8/1000000)*60*[1]!Density("carbon dioxide","TP","SI",X7+273.15,X21))</f>
        <v>0.84531496273775597</v>
      </c>
      <c r="Y55" s="42">
        <f>Y34/((Y32*5.8/1000000)*60*[1]!Density("carbon dioxide","TP","SI",Y7+273.15,Y21))</f>
        <v>0.8236266596319457</v>
      </c>
      <c r="Z55" s="34"/>
      <c r="AA55" s="32">
        <f>AA34/((AA32*5.8/1000000)*60*[1]!Density("carbon dioxide","TP","SI",AA7+273.15,AA21))</f>
        <v>0.85940661613313285</v>
      </c>
      <c r="AB55" s="32">
        <f>AB34/((AB32*5.8/1000000)*60*[1]!Density("carbon dioxide","TP","SI",AB7+273.15,AB21))</f>
        <v>0.87446297811927243</v>
      </c>
      <c r="AC55" s="32">
        <f>AC34/((AC32*5.8/1000000)*60*[1]!Density("carbon dioxide","TP","SI",AC7+273.15,AC21))</f>
        <v>0.90276227459988845</v>
      </c>
      <c r="AD55" s="32">
        <f>AD34/((AD32*5.8/1000000)*60*[1]!Density("carbon dioxide","TP","SI",AD7+273.15,AD21))</f>
        <v>0.93256933693488142</v>
      </c>
      <c r="AE55" s="32">
        <f>AE34/((AE32*5.8/1000000)*60*[1]!Density("carbon dioxide","TP","SI",AE7+273.15,AE21))</f>
        <v>0.88502278209192886</v>
      </c>
      <c r="AF55" s="32">
        <f>AF34/((AF32*5.8/1000000)*60*[1]!Density("carbon dioxide","TP","SI",AF7+273.15,AF21))</f>
        <v>0.89563957937859162</v>
      </c>
      <c r="AG55" s="32">
        <f>AG34/((AG32*5.8/1000000)*60*[1]!Density("carbon dioxide","TP","SI",AG7+273.15,AG21))</f>
        <v>0.90459374948563331</v>
      </c>
      <c r="AH55" s="32">
        <f>AH34/((AH32*5.8/1000000)*60*[1]!Density("carbon dioxide","TP","SI",AH7+273.15,AH21))</f>
        <v>0.92495310627333216</v>
      </c>
      <c r="AI55" s="32">
        <f>AI34/((AI32*5.8/1000000)*60*[1]!Density("carbon dioxide","TP","SI",AI7+273.15,AI21))</f>
        <v>0.91569682841407574</v>
      </c>
      <c r="AJ55" s="32">
        <f>AJ34/((AJ32*5.8/1000000)*60*[1]!Density("carbon dioxide","TP","SI",AJ7+273.15,AJ21))</f>
        <v>0.90263623712059449</v>
      </c>
      <c r="AK55" s="32">
        <f>AK34/((AK32*5.8/1000000)*60*[1]!Density("carbon dioxide","TP","SI",AK7+273.15,AK21))</f>
        <v>0.8555390270389569</v>
      </c>
      <c r="AL55" s="32">
        <f>AL34/((AL32*5.8/1000000)*60*[1]!Density("carbon dioxide","TP","SI",AL7+273.15,AL21))</f>
        <v>0.86132866091276505</v>
      </c>
      <c r="AM55" s="32">
        <f>AM34/((AM32*5.8/1000000)*60*[1]!Density("carbon dioxide","TP","SI",AM7+273.15,AM21))</f>
        <v>0.87999114060501871</v>
      </c>
      <c r="AN55" s="42">
        <f>AN34/((AN32*5.8/1000000)*60*[1]!Density("carbon dioxide","TP","SI",AN7+273.15,AN21))</f>
        <v>0.92659058282231477</v>
      </c>
      <c r="AO55" s="42">
        <f>AO34/((AO32*5.8/1000000)*60*[1]!Density("carbon dioxide","TP","SI",AO7+273.15,AO21))</f>
        <v>0.88359974237507999</v>
      </c>
      <c r="AP55" s="42">
        <f>AP34/((AP32*5.8/1000000)*60*[1]!Density("carbon dioxide","TP","SI",AP7+273.15,AP21))</f>
        <v>0.89188463311105359</v>
      </c>
      <c r="AQ55" s="42">
        <f>AQ34/((AQ32*5.8/1000000)*60*[1]!Density("carbon dioxide","TP","SI",AQ7+273.15,AQ21))</f>
        <v>0.92184964265660607</v>
      </c>
      <c r="AR55" s="42">
        <f>AR34/((AR32*5.8/1000000)*60*[1]!Density("carbon dioxide","TP","SI",AR7+273.15,AR21))</f>
        <v>0.90496116115461012</v>
      </c>
      <c r="AS55" s="42">
        <f>AS34/((AS32*5.8/1000000)*60*[1]!Density("carbon dioxide","TP","SI",AS7+273.15,AS21))</f>
        <v>0.90190460188260047</v>
      </c>
      <c r="AT55" s="42"/>
      <c r="AU55" s="42">
        <f>AU34/((AU32*5.8/1000000)*60*[1]!Density("carbon dioxide","TP","SI",AU7+273.15,AU21))</f>
        <v>0.84143093459690022</v>
      </c>
      <c r="AV55" s="42">
        <f>AV34/((AV32*5.8/1000000)*60*[1]!Density("carbon dioxide","TP","SI",AV7+273.15,AV21))</f>
        <v>0.86034626721020824</v>
      </c>
      <c r="AW55" s="42">
        <f>AW34/((AW32*5.8/1000000)*60*[1]!Density("carbon dioxide","TP","SI",AW7+273.15,AW21))</f>
        <v>0.88603085833664186</v>
      </c>
      <c r="AX55" s="42">
        <f>AX34/((AX32*5.8/1000000)*60*[1]!Density("carbon dioxide","TP","SI",AX7+273.15,AX21))</f>
        <v>0.92601643370245723</v>
      </c>
      <c r="AY55" s="42">
        <f>AY34/((AY32*5.8/1000000)*60*[1]!Density("carbon dioxide","TP","SI",AY7+273.15,AY21))</f>
        <v>0.86814049662417925</v>
      </c>
      <c r="AZ55" s="42">
        <f>AZ34/((AZ32*5.8/1000000)*60*[1]!Density("carbon dioxide","TP","SI",AZ7+273.15,AZ21))</f>
        <v>0.88739817444353242</v>
      </c>
      <c r="BA55" s="42">
        <f>BA34/((BA32*5.8/1000000)*60*[1]!Density("carbon dioxide","TP","SI",BA7+273.15,BA21))</f>
        <v>0.92347383812676442</v>
      </c>
      <c r="BB55" s="42">
        <f>BB34/((BB32*5.8/1000000)*60*[1]!Density("carbon dioxide","TP","SI",BB7+273.15,BB21))</f>
        <v>0.91366826193656803</v>
      </c>
      <c r="BC55" s="42">
        <f>BC34/((BC32*5.8/1000000)*60*[1]!Density("carbon dioxide","TP","SI",BC7+273.15,BC21))</f>
        <v>0.88361328306216802</v>
      </c>
      <c r="BD55" s="44"/>
      <c r="BE55" s="42">
        <f>BE34/((BE32*5.8/1000000)*60*[1]!Density("carbon dioxide","TP","SI",BE7+273.15,BE21))</f>
        <v>7.1982836769823907E-2</v>
      </c>
      <c r="BF55" s="42" t="e">
        <f>BF34/((BF32*5.8/1000000)*60*[1]!Density("carbon dioxide","TP","SI",BF7+273.15,BF21))</f>
        <v>#VALUE!</v>
      </c>
      <c r="BG55" s="42" t="e">
        <f>BG34/((BG32*5.8/1000000)*60*[1]!Density("carbon dioxide","TP","SI",BG7+273.15,BG21))</f>
        <v>#VALUE!</v>
      </c>
      <c r="BH55" s="44" t="e">
        <f>BH34/((BH32*5.8/1000000)*60*[1]!Density("carbon dioxide","TP","SI",BH7+273.15,BH21))</f>
        <v>#VALUE!</v>
      </c>
      <c r="BI55" s="44" t="e">
        <f>BI34/((BI32*5.8/1000000)*60*[1]!Density("carbon dioxide","TP","SI",BI7+273.15,BI21))</f>
        <v>#VALUE!</v>
      </c>
      <c r="BJ55" s="44" t="e">
        <f>BJ34/((BJ32*5.8/1000000)*60*[1]!Density("carbon dioxide","TP","SI",BJ7+273.15,BJ21))</f>
        <v>#VALUE!</v>
      </c>
      <c r="BK55" s="44" t="e">
        <f>BK34/((BK32*5.8/1000000)*60*[1]!Density("carbon dioxide","TP","SI",BK7+273.15,BK21))</f>
        <v>#VALUE!</v>
      </c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Z55" s="36"/>
    </row>
    <row r="56" spans="1:78" x14ac:dyDescent="0.4">
      <c r="A56" s="49"/>
      <c r="B56" s="11" t="s">
        <v>60</v>
      </c>
      <c r="C56" s="32">
        <f>C53*C54</f>
        <v>0.62428052222435804</v>
      </c>
      <c r="D56" s="32">
        <f>D53*D54</f>
        <v>0.62513374754703743</v>
      </c>
      <c r="E56" s="45">
        <f t="shared" ref="E56:AM56" si="38">E53*E54</f>
        <v>0.62827665174320291</v>
      </c>
      <c r="F56" s="45">
        <f t="shared" si="38"/>
        <v>0.63103224867483887</v>
      </c>
      <c r="G56" s="45">
        <f t="shared" si="38"/>
        <v>0.64888106027185799</v>
      </c>
      <c r="H56" s="45">
        <f t="shared" si="38"/>
        <v>0.63407749326664486</v>
      </c>
      <c r="I56" s="32">
        <f t="shared" si="38"/>
        <v>0.61188311401022022</v>
      </c>
      <c r="J56" s="32">
        <f t="shared" si="38"/>
        <v>0.63403269160681175</v>
      </c>
      <c r="K56" s="32">
        <f t="shared" si="38"/>
        <v>0.66563641718811728</v>
      </c>
      <c r="L56" s="32">
        <f t="shared" si="38"/>
        <v>0.65631593958567391</v>
      </c>
      <c r="M56" s="34"/>
      <c r="N56" s="32">
        <f t="shared" si="38"/>
        <v>0.56875193351459064</v>
      </c>
      <c r="O56" s="32">
        <f t="shared" si="38"/>
        <v>0.58285695251172476</v>
      </c>
      <c r="P56" s="32">
        <f t="shared" si="38"/>
        <v>0.58617668441389015</v>
      </c>
      <c r="Q56" s="32">
        <f t="shared" si="38"/>
        <v>0.60828673071822859</v>
      </c>
      <c r="R56" s="32">
        <f t="shared" si="38"/>
        <v>0.63352856611000119</v>
      </c>
      <c r="S56" s="32">
        <f t="shared" si="38"/>
        <v>0.61286571398097711</v>
      </c>
      <c r="T56" s="32">
        <f t="shared" si="38"/>
        <v>0.589687082305417</v>
      </c>
      <c r="U56" s="42">
        <f t="shared" ref="U56:Y56" si="39">U53*U54</f>
        <v>0.56961503139861258</v>
      </c>
      <c r="V56" s="42">
        <f t="shared" si="39"/>
        <v>0.55514071028010525</v>
      </c>
      <c r="W56" s="42">
        <f t="shared" si="39"/>
        <v>0.59348692640916256</v>
      </c>
      <c r="X56" s="42">
        <f t="shared" si="39"/>
        <v>0.58000410570672301</v>
      </c>
      <c r="Y56" s="42">
        <f t="shared" si="39"/>
        <v>0.56557028695018585</v>
      </c>
      <c r="Z56" s="34"/>
      <c r="AA56" s="32">
        <f t="shared" si="38"/>
        <v>0.6088095883947654</v>
      </c>
      <c r="AB56" s="32">
        <f t="shared" si="38"/>
        <v>0.61857610309201427</v>
      </c>
      <c r="AC56" s="32">
        <f t="shared" si="38"/>
        <v>0.63488205150562704</v>
      </c>
      <c r="AD56" s="32">
        <f t="shared" si="38"/>
        <v>0.64652251956114526</v>
      </c>
      <c r="AE56" s="32">
        <f t="shared" si="38"/>
        <v>0.62301064947109475</v>
      </c>
      <c r="AF56" s="32">
        <f t="shared" si="38"/>
        <v>0.62921563218942111</v>
      </c>
      <c r="AG56" s="32">
        <f t="shared" si="38"/>
        <v>0.63164129477142739</v>
      </c>
      <c r="AH56" s="32">
        <f t="shared" si="38"/>
        <v>0.64070336759854651</v>
      </c>
      <c r="AI56" s="32">
        <f t="shared" si="38"/>
        <v>0.62452446663098149</v>
      </c>
      <c r="AJ56" s="32">
        <f t="shared" si="38"/>
        <v>0.61761116135436278</v>
      </c>
      <c r="AK56" s="32">
        <f t="shared" si="38"/>
        <v>0.60152647036364382</v>
      </c>
      <c r="AL56" s="32">
        <f t="shared" si="38"/>
        <v>0.60972362470562924</v>
      </c>
      <c r="AM56" s="32">
        <f t="shared" si="38"/>
        <v>0.62171245488660487</v>
      </c>
      <c r="AN56" s="42">
        <f t="shared" ref="AN56:BG56" si="40">AN53*AN54</f>
        <v>0.65433960080524045</v>
      </c>
      <c r="AO56" s="42">
        <f t="shared" si="40"/>
        <v>0.61362942720497304</v>
      </c>
      <c r="AP56" s="42">
        <f t="shared" si="40"/>
        <v>0.62155809266844941</v>
      </c>
      <c r="AQ56" s="42">
        <f t="shared" si="40"/>
        <v>0.60946040305856131</v>
      </c>
      <c r="AR56" s="42">
        <f t="shared" si="40"/>
        <v>0.61574255165748459</v>
      </c>
      <c r="AS56" s="42">
        <f t="shared" si="40"/>
        <v>0.61368245969681134</v>
      </c>
      <c r="AT56" s="42"/>
      <c r="AU56" s="42">
        <f t="shared" si="40"/>
        <v>0.59440040819900475</v>
      </c>
      <c r="AV56" s="42">
        <f t="shared" si="40"/>
        <v>0.60923558562525437</v>
      </c>
      <c r="AW56" s="42">
        <f t="shared" si="40"/>
        <v>0.63083337961539188</v>
      </c>
      <c r="AX56" s="42">
        <f t="shared" si="40"/>
        <v>0.6517041762898117</v>
      </c>
      <c r="AY56" s="42">
        <f t="shared" si="40"/>
        <v>0.60619522181063545</v>
      </c>
      <c r="AZ56" s="42">
        <f t="shared" si="40"/>
        <v>0.61818239650477635</v>
      </c>
      <c r="BA56" s="42">
        <f t="shared" si="40"/>
        <v>0.63624686954750054</v>
      </c>
      <c r="BB56" s="42">
        <f t="shared" si="40"/>
        <v>0.62099858046215561</v>
      </c>
      <c r="BC56" s="42">
        <f t="shared" si="40"/>
        <v>0.60123126565687646</v>
      </c>
      <c r="BD56" s="44"/>
      <c r="BE56" s="42">
        <f t="shared" si="40"/>
        <v>7.611734166647656E-2</v>
      </c>
      <c r="BF56" s="42" t="e">
        <f t="shared" si="40"/>
        <v>#VALUE!</v>
      </c>
      <c r="BG56" s="42" t="e">
        <f t="shared" si="40"/>
        <v>#VALUE!</v>
      </c>
      <c r="BH56" s="44" t="e">
        <f t="shared" ref="BH56:BK56" si="41">BH53*BH54</f>
        <v>#VALUE!</v>
      </c>
      <c r="BI56" s="44" t="e">
        <f t="shared" si="41"/>
        <v>#VALUE!</v>
      </c>
      <c r="BJ56" s="44" t="e">
        <f t="shared" si="41"/>
        <v>#VALUE!</v>
      </c>
      <c r="BK56" s="44" t="e">
        <f t="shared" si="41"/>
        <v>#VALUE!</v>
      </c>
      <c r="BL56" s="36"/>
      <c r="BM56" s="36"/>
      <c r="BN56" s="36"/>
      <c r="BO56" s="36"/>
      <c r="BP56" s="36"/>
      <c r="BQ56" s="36"/>
      <c r="BR56" s="36"/>
      <c r="BS56" s="36"/>
      <c r="BT56" s="36"/>
      <c r="BU56" s="36"/>
      <c r="BV56" s="36"/>
      <c r="BW56" s="36"/>
      <c r="BX56" s="36"/>
      <c r="BZ56" s="36"/>
    </row>
    <row r="57" spans="1:78" x14ac:dyDescent="0.4">
      <c r="A57" s="49"/>
      <c r="B57" s="11" t="s">
        <v>61</v>
      </c>
      <c r="C57" s="11"/>
      <c r="D57" s="11"/>
      <c r="E57" s="45"/>
      <c r="F57" s="45"/>
      <c r="G57" s="45"/>
      <c r="H57" s="45"/>
      <c r="I57" s="15"/>
      <c r="J57" s="24"/>
      <c r="K57" s="15"/>
      <c r="L57" s="11"/>
      <c r="M57" s="34"/>
      <c r="N57" s="11"/>
      <c r="O57" s="11"/>
      <c r="P57" s="11"/>
      <c r="Q57" s="11"/>
      <c r="R57" s="11"/>
      <c r="S57" s="11"/>
      <c r="T57" s="27"/>
      <c r="U57" s="27"/>
      <c r="V57" s="11"/>
      <c r="W57" s="11"/>
      <c r="X57" s="11"/>
      <c r="Y57" s="11"/>
      <c r="Z57" s="34"/>
      <c r="AA57" s="11"/>
      <c r="AB57" s="11"/>
      <c r="AC57" s="11"/>
      <c r="AD57" s="11"/>
      <c r="AE57" s="11"/>
      <c r="AF57" s="29"/>
      <c r="AG57" s="11"/>
      <c r="AH57" s="11"/>
      <c r="AI57" s="11"/>
      <c r="AJ57" s="29"/>
      <c r="AK57" s="11"/>
      <c r="AL57" s="11"/>
      <c r="AM57" s="11"/>
      <c r="BZ57" s="36"/>
    </row>
    <row r="58" spans="1:78" x14ac:dyDescent="0.4">
      <c r="BZ58" s="36"/>
    </row>
    <row r="59" spans="1:78" x14ac:dyDescent="0.4">
      <c r="BZ59" s="36"/>
    </row>
    <row r="60" spans="1:78" x14ac:dyDescent="0.4">
      <c r="BZ60" s="36"/>
    </row>
    <row r="61" spans="1:78" x14ac:dyDescent="0.4">
      <c r="BZ61" s="36"/>
    </row>
    <row r="62" spans="1:78" x14ac:dyDescent="0.4">
      <c r="BZ62" s="36"/>
    </row>
    <row r="63" spans="1:78" x14ac:dyDescent="0.4">
      <c r="BZ63" s="36"/>
    </row>
    <row r="64" spans="1:78" x14ac:dyDescent="0.4">
      <c r="BZ64" s="36"/>
    </row>
    <row r="65" spans="78:78" x14ac:dyDescent="0.4">
      <c r="BZ65" s="36"/>
    </row>
    <row r="66" spans="78:78" x14ac:dyDescent="0.4">
      <c r="BZ66" s="36"/>
    </row>
    <row r="67" spans="78:78" x14ac:dyDescent="0.4">
      <c r="BZ67" s="36"/>
    </row>
    <row r="68" spans="78:78" x14ac:dyDescent="0.4">
      <c r="BZ68" s="36"/>
    </row>
    <row r="69" spans="78:78" x14ac:dyDescent="0.4">
      <c r="BZ69" s="36"/>
    </row>
  </sheetData>
  <mergeCells count="4">
    <mergeCell ref="A3:A6"/>
    <mergeCell ref="A7:A20"/>
    <mergeCell ref="A21:A28"/>
    <mergeCell ref="A29:A57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qhr</cp:lastModifiedBy>
  <dcterms:created xsi:type="dcterms:W3CDTF">2015-06-05T18:19:34Z</dcterms:created>
  <dcterms:modified xsi:type="dcterms:W3CDTF">2020-02-15T06:03:40Z</dcterms:modified>
</cp:coreProperties>
</file>