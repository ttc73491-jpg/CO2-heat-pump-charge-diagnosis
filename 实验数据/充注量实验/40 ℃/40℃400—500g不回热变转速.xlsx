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qhr\OneDrive\哈哈的文件\科研相关\项目相关\东风项目\实验\第二阶段实验20191021\充注量实验\40 ℃\"/>
    </mc:Choice>
  </mc:AlternateContent>
  <xr:revisionPtr revIDLastSave="2" documentId="114_{B1807F1E-BC7B-4215-B05C-15ECE123C97F}" xr6:coauthVersionLast="45" xr6:coauthVersionMax="45" xr10:uidLastSave="{0ED5310B-BF75-4140-BCCD-38206522AABF}"/>
  <bookViews>
    <workbookView xWindow="-98" yWindow="-98" windowWidth="19396" windowHeight="1039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2" i="1" l="1"/>
  <c r="X52" i="1"/>
  <c r="Y52" i="1"/>
  <c r="W40" i="1"/>
  <c r="X40" i="1"/>
  <c r="Y40" i="1"/>
  <c r="V42" i="1"/>
  <c r="Q52" i="1"/>
  <c r="Q51" i="1"/>
  <c r="Q55" i="1"/>
  <c r="X55" i="1"/>
  <c r="X51" i="1"/>
  <c r="P51" i="1"/>
  <c r="Y50" i="1"/>
  <c r="W50" i="1"/>
  <c r="X50" i="1"/>
  <c r="Y55" i="1"/>
  <c r="W55" i="1"/>
  <c r="Y51" i="1"/>
  <c r="W51" i="1"/>
  <c r="W53" i="1" l="1"/>
  <c r="W54" i="1"/>
  <c r="Y54" i="1"/>
  <c r="Y53" i="1"/>
  <c r="X53" i="1"/>
  <c r="X54" i="1"/>
  <c r="P52" i="1"/>
  <c r="W42" i="1"/>
  <c r="X42" i="1"/>
  <c r="Y42" i="1"/>
  <c r="V52" i="1"/>
  <c r="V40" i="1"/>
  <c r="W38" i="1"/>
  <c r="P55" i="1"/>
  <c r="Q50" i="1"/>
  <c r="Y38" i="1"/>
  <c r="V50" i="1"/>
  <c r="X38" i="1"/>
  <c r="P50" i="1"/>
  <c r="V38" i="1"/>
  <c r="V55" i="1"/>
  <c r="V51" i="1"/>
  <c r="W56" i="1" l="1"/>
  <c r="W49" i="1"/>
  <c r="P54" i="1"/>
  <c r="P53" i="1"/>
  <c r="Q53" i="1"/>
  <c r="Q54" i="1"/>
  <c r="Y56" i="1"/>
  <c r="Y49" i="1"/>
  <c r="Y43" i="1"/>
  <c r="X56" i="1"/>
  <c r="X49" i="1"/>
  <c r="X43" i="1"/>
  <c r="W43" i="1"/>
  <c r="V54" i="1"/>
  <c r="V43" i="1"/>
  <c r="V49" i="1"/>
  <c r="V53" i="1"/>
  <c r="G52" i="1"/>
  <c r="H52" i="1"/>
  <c r="I52" i="1"/>
  <c r="J52" i="1"/>
  <c r="K52" i="1"/>
  <c r="J42" i="1"/>
  <c r="H40" i="1"/>
  <c r="H42" i="1" s="1"/>
  <c r="I40" i="1"/>
  <c r="I42" i="1" s="1"/>
  <c r="J40" i="1"/>
  <c r="K40" i="1"/>
  <c r="K42" i="1" s="1"/>
  <c r="G40" i="1"/>
  <c r="G42" i="1" s="1"/>
  <c r="L38" i="1"/>
  <c r="I51" i="1"/>
  <c r="H38" i="1"/>
  <c r="I55" i="1"/>
  <c r="J51" i="1"/>
  <c r="G50" i="1"/>
  <c r="G38" i="1"/>
  <c r="J50" i="1"/>
  <c r="K50" i="1"/>
  <c r="H51" i="1"/>
  <c r="I50" i="1"/>
  <c r="H50" i="1"/>
  <c r="G51" i="1"/>
  <c r="G55" i="1"/>
  <c r="H55" i="1"/>
  <c r="K51" i="1"/>
  <c r="I38" i="1"/>
  <c r="J55" i="1"/>
  <c r="K55" i="1"/>
  <c r="K38" i="1"/>
  <c r="J38" i="1"/>
  <c r="Q56" i="1" l="1"/>
  <c r="V56" i="1"/>
  <c r="P56" i="1"/>
  <c r="J49" i="1"/>
  <c r="J43" i="1"/>
  <c r="K49" i="1"/>
  <c r="K43" i="1"/>
  <c r="G49" i="1"/>
  <c r="G43" i="1"/>
  <c r="I49" i="1"/>
  <c r="I43" i="1"/>
  <c r="H43" i="1"/>
  <c r="H49" i="1"/>
  <c r="G53" i="1"/>
  <c r="H54" i="1"/>
  <c r="J54" i="1"/>
  <c r="I54" i="1"/>
  <c r="G54" i="1"/>
  <c r="K53" i="1"/>
  <c r="J53" i="1"/>
  <c r="H53" i="1"/>
  <c r="K54" i="1"/>
  <c r="I53" i="1"/>
  <c r="N40" i="1"/>
  <c r="N42" i="1" s="1"/>
  <c r="O40" i="1"/>
  <c r="O42" i="1" s="1"/>
  <c r="P40" i="1"/>
  <c r="P42" i="1" s="1"/>
  <c r="Q40" i="1"/>
  <c r="Q42" i="1" s="1"/>
  <c r="P38" i="1"/>
  <c r="Q38" i="1"/>
  <c r="O38" i="1"/>
  <c r="N38" i="1"/>
  <c r="P49" i="1" l="1"/>
  <c r="Q49" i="1"/>
  <c r="K56" i="1"/>
  <c r="J56" i="1"/>
  <c r="H56" i="1"/>
  <c r="I56" i="1"/>
  <c r="G56" i="1"/>
  <c r="N43" i="1"/>
  <c r="P43" i="1"/>
  <c r="O43" i="1"/>
  <c r="Q43" i="1"/>
  <c r="M52" i="1"/>
  <c r="N52" i="1"/>
  <c r="O52" i="1"/>
  <c r="S52" i="1"/>
  <c r="T52" i="1"/>
  <c r="M40" i="1"/>
  <c r="M42" i="1" s="1"/>
  <c r="S40" i="1"/>
  <c r="S42" i="1" s="1"/>
  <c r="T40" i="1"/>
  <c r="T42" i="1" s="1"/>
  <c r="E52" i="1"/>
  <c r="D52" i="1"/>
  <c r="C52" i="1"/>
  <c r="E40" i="1"/>
  <c r="E42" i="1" s="1"/>
  <c r="D40" i="1"/>
  <c r="D42" i="1" s="1"/>
  <c r="C40" i="1"/>
  <c r="C42" i="1" s="1"/>
  <c r="M50" i="1"/>
  <c r="D51" i="1"/>
  <c r="S51" i="1"/>
  <c r="T50" i="1"/>
  <c r="N51" i="1"/>
  <c r="T55" i="1"/>
  <c r="T51" i="1"/>
  <c r="E38" i="1"/>
  <c r="D38" i="1"/>
  <c r="D50" i="1"/>
  <c r="N55" i="1"/>
  <c r="M51" i="1"/>
  <c r="U38" i="1"/>
  <c r="C38" i="1"/>
  <c r="M55" i="1"/>
  <c r="S50" i="1"/>
  <c r="D55" i="1"/>
  <c r="C50" i="1"/>
  <c r="M38" i="1"/>
  <c r="C55" i="1"/>
  <c r="S38" i="1"/>
  <c r="O55" i="1"/>
  <c r="O51" i="1"/>
  <c r="C51" i="1"/>
  <c r="N50" i="1"/>
  <c r="T38" i="1"/>
  <c r="E51" i="1"/>
  <c r="S55" i="1"/>
  <c r="E55" i="1"/>
  <c r="E50" i="1"/>
  <c r="O50" i="1"/>
  <c r="M43" i="1" l="1"/>
  <c r="T49" i="1"/>
  <c r="S49" i="1"/>
  <c r="O49" i="1"/>
  <c r="N49" i="1"/>
  <c r="M49" i="1"/>
  <c r="S53" i="1"/>
  <c r="T54" i="1"/>
  <c r="O53" i="1"/>
  <c r="S54" i="1"/>
  <c r="N53" i="1"/>
  <c r="O54" i="1"/>
  <c r="M53" i="1"/>
  <c r="N54" i="1"/>
  <c r="M54" i="1"/>
  <c r="T53" i="1"/>
  <c r="T43" i="1"/>
  <c r="C43" i="1"/>
  <c r="C49" i="1"/>
  <c r="C54" i="1"/>
  <c r="D43" i="1"/>
  <c r="D49" i="1"/>
  <c r="E49" i="1"/>
  <c r="E43" i="1"/>
  <c r="E54" i="1"/>
  <c r="D54" i="1"/>
  <c r="S43" i="1"/>
  <c r="C53" i="1"/>
  <c r="D53" i="1"/>
  <c r="E53" i="1"/>
  <c r="C56" i="1" l="1"/>
  <c r="T56" i="1"/>
  <c r="D56" i="1"/>
  <c r="M56" i="1"/>
  <c r="N56" i="1"/>
  <c r="O56" i="1"/>
  <c r="S56" i="1"/>
  <c r="E56" i="1"/>
</calcChain>
</file>

<file path=xl/sharedStrings.xml><?xml version="1.0" encoding="utf-8"?>
<sst xmlns="http://schemas.openxmlformats.org/spreadsheetml/2006/main" count="82" uniqueCount="68">
  <si>
    <t>日期</t>
    <phoneticPr fontId="6" type="noConversion"/>
  </si>
  <si>
    <t>类别</t>
    <phoneticPr fontId="6" type="noConversion"/>
  </si>
  <si>
    <t>项目</t>
    <phoneticPr fontId="6" type="noConversion"/>
  </si>
  <si>
    <t>不回热</t>
    <phoneticPr fontId="6" type="noConversion"/>
  </si>
  <si>
    <t>环境参数</t>
    <phoneticPr fontId="6" type="noConversion"/>
  </si>
  <si>
    <t>室内干球</t>
    <phoneticPr fontId="6" type="noConversion"/>
  </si>
  <si>
    <t>室内湿球</t>
    <phoneticPr fontId="6" type="noConversion"/>
  </si>
  <si>
    <t>室外干球</t>
    <phoneticPr fontId="6" type="noConversion"/>
  </si>
  <si>
    <t>室外湿球</t>
    <phoneticPr fontId="6" type="noConversion"/>
  </si>
  <si>
    <t>温度/℃</t>
    <phoneticPr fontId="6" type="noConversion"/>
  </si>
  <si>
    <t>吸气温度</t>
    <phoneticPr fontId="6" type="noConversion"/>
  </si>
  <si>
    <t>排气温度</t>
    <phoneticPr fontId="6" type="noConversion"/>
  </si>
  <si>
    <t>室外换热进口</t>
    <phoneticPr fontId="6" type="noConversion"/>
  </si>
  <si>
    <t>室外换热出口</t>
    <phoneticPr fontId="6" type="noConversion"/>
  </si>
  <si>
    <t>回热器高压进口</t>
    <phoneticPr fontId="6" type="noConversion"/>
  </si>
  <si>
    <t>回热器高压出口</t>
    <phoneticPr fontId="6" type="noConversion"/>
  </si>
  <si>
    <t>阀前温度</t>
    <phoneticPr fontId="6" type="noConversion"/>
  </si>
  <si>
    <t>阀后温度</t>
    <phoneticPr fontId="6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</si>
  <si>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进</t>
    </r>
    <r>
      <rPr>
        <sz val="11"/>
        <color rgb="FF9C6500"/>
        <rFont val="等线"/>
        <family val="2"/>
        <charset val="134"/>
        <scheme val="minor"/>
      </rPr>
      <t>口</t>
    </r>
    <phoneticPr fontId="6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</si>
  <si>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出</t>
    </r>
    <r>
      <rPr>
        <sz val="11"/>
        <color rgb="FF9C6500"/>
        <rFont val="等线"/>
        <family val="2"/>
        <charset val="134"/>
        <scheme val="minor"/>
      </rPr>
      <t>口</t>
    </r>
    <phoneticPr fontId="6" type="noConversion"/>
  </si>
  <si>
    <t>储液器进口</t>
    <phoneticPr fontId="6" type="noConversion"/>
  </si>
  <si>
    <t>储液器出口</t>
    <phoneticPr fontId="6" type="noConversion"/>
  </si>
  <si>
    <t>回热器低压进口</t>
    <phoneticPr fontId="6" type="noConversion"/>
  </si>
  <si>
    <t>回热器低压出口</t>
    <phoneticPr fontId="6" type="noConversion"/>
  </si>
  <si>
    <t>压力/Mpa</t>
    <phoneticPr fontId="6" type="noConversion"/>
  </si>
  <si>
    <t>吸气压力</t>
    <phoneticPr fontId="6" type="noConversion"/>
  </si>
  <si>
    <t>排气压力</t>
    <phoneticPr fontId="6" type="noConversion"/>
  </si>
  <si>
    <t>气冷进口</t>
    <phoneticPr fontId="6" type="noConversion"/>
  </si>
  <si>
    <t>气冷出口</t>
    <phoneticPr fontId="6" type="noConversion"/>
  </si>
  <si>
    <t>阀前压力</t>
    <phoneticPr fontId="6" type="noConversion"/>
  </si>
  <si>
    <t>主换热器进口</t>
    <phoneticPr fontId="6" type="noConversion"/>
  </si>
  <si>
    <t>主换热器出口</t>
    <phoneticPr fontId="6" type="noConversion"/>
  </si>
  <si>
    <t>性能</t>
    <phoneticPr fontId="6" type="noConversion"/>
  </si>
  <si>
    <t>电压/V</t>
    <phoneticPr fontId="6" type="noConversion"/>
  </si>
  <si>
    <t>电流/A</t>
    <phoneticPr fontId="6" type="noConversion"/>
  </si>
  <si>
    <t>充注量/g</t>
    <phoneticPr fontId="6" type="noConversion"/>
  </si>
  <si>
    <t>压缩机转速/rpm</t>
    <phoneticPr fontId="6" type="noConversion"/>
  </si>
  <si>
    <t>膨胀阀开度</t>
    <phoneticPr fontId="6" type="noConversion"/>
  </si>
  <si>
    <r>
      <t>制冷剂流量/kg·h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6" type="noConversion"/>
  </si>
  <si>
    <r>
      <t>室内侧风量/m</t>
    </r>
    <r>
      <rPr>
        <vertAlign val="superscript"/>
        <sz val="11"/>
        <color rgb="FF3F3F76"/>
        <rFont val="等线"/>
        <family val="3"/>
        <charset val="134"/>
        <scheme val="minor"/>
      </rPr>
      <t>3</t>
    </r>
    <r>
      <rPr>
        <sz val="11"/>
        <color rgb="FF3F3F76"/>
        <rFont val="等线"/>
        <family val="2"/>
        <charset val="134"/>
        <scheme val="minor"/>
      </rPr>
      <t>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6" type="noConversion"/>
  </si>
  <si>
    <t>室外侧风量/m3·h-1</t>
    <phoneticPr fontId="6" type="noConversion"/>
  </si>
  <si>
    <t>室内侧换热量//蒸发器/W</t>
    <phoneticPr fontId="6" type="noConversion"/>
  </si>
  <si>
    <t>室内侧换热量/制冷剂/W</t>
    <phoneticPr fontId="6" type="noConversion"/>
  </si>
  <si>
    <t>室外侧换热量//冷凝器/W</t>
    <phoneticPr fontId="6" type="noConversion"/>
  </si>
  <si>
    <t>压缩机功率/W</t>
    <phoneticPr fontId="6" type="noConversion"/>
  </si>
  <si>
    <t>压缩机功率WT500</t>
    <phoneticPr fontId="6" type="noConversion"/>
  </si>
  <si>
    <t>室内侧COP</t>
    <phoneticPr fontId="6" type="noConversion"/>
  </si>
  <si>
    <t>室内侧COP/制冷剂</t>
    <phoneticPr fontId="6" type="noConversion"/>
  </si>
  <si>
    <t>室外侧COP</t>
    <phoneticPr fontId="6" type="noConversion"/>
  </si>
  <si>
    <t>室内出风干球/℃</t>
    <phoneticPr fontId="6" type="noConversion"/>
  </si>
  <si>
    <t>室内出风湿球/℃</t>
    <phoneticPr fontId="6" type="noConversion"/>
  </si>
  <si>
    <t>室外出风干球/℃</t>
    <phoneticPr fontId="6" type="noConversion"/>
  </si>
  <si>
    <t>室外出风湿球/℃</t>
    <phoneticPr fontId="6" type="noConversion"/>
  </si>
  <si>
    <t>a/r</t>
    <phoneticPr fontId="6" type="noConversion"/>
  </si>
  <si>
    <t>压缩功/W</t>
    <phoneticPr fontId="6" type="noConversion"/>
  </si>
  <si>
    <t>等熵压缩功/W</t>
    <phoneticPr fontId="6" type="noConversion"/>
  </si>
  <si>
    <t>压比</t>
    <phoneticPr fontId="6" type="noConversion"/>
  </si>
  <si>
    <t>机械效率</t>
    <phoneticPr fontId="6" type="noConversion"/>
  </si>
  <si>
    <t>等熵效率</t>
    <phoneticPr fontId="6" type="noConversion"/>
  </si>
  <si>
    <t>容积效率</t>
    <phoneticPr fontId="6" type="noConversion"/>
  </si>
  <si>
    <t>总效率</t>
    <phoneticPr fontId="6" type="noConversion"/>
  </si>
  <si>
    <t>冷凝器换热</t>
    <phoneticPr fontId="6" type="noConversion"/>
  </si>
  <si>
    <t>11151备注</t>
    <phoneticPr fontId="5" type="noConversion"/>
  </si>
  <si>
    <t>不回热</t>
    <phoneticPr fontId="5" type="noConversion"/>
  </si>
  <si>
    <t>11152备注</t>
    <phoneticPr fontId="5" type="noConversion"/>
  </si>
  <si>
    <t>11153备注</t>
  </si>
  <si>
    <t>11154备注</t>
  </si>
  <si>
    <t>11155备注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</si>
</sst>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vertAlign val="superscript"/>
      <sz val="11"/>
      <color rgb="FF3F3F76"/>
      <name val="等线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65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" fillId="5" borderId="2" applyNumberFormat="0" applyFont="0" applyAlignment="0" applyProtection="0">
      <alignment vertical="center"/>
    </xf>
  </cellStyleXfs>
  <cellXfs count="45">
    <xf numFmtId="0" fontId="0" fillId="0" borderId="0" xfId="0"/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6" borderId="3" xfId="3" applyFill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7" borderId="3" xfId="1" applyFill="1" applyBorder="1" applyAlignment="1">
      <alignment horizontal="center" vertical="center"/>
    </xf>
    <xf numFmtId="9" fontId="0" fillId="5" borderId="3" xfId="4" applyNumberFormat="1" applyFont="1" applyBorder="1" applyAlignment="1">
      <alignment horizontal="center" vertical="center"/>
    </xf>
    <xf numFmtId="0" fontId="0" fillId="5" borderId="3" xfId="4" applyNumberFormat="1" applyFont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8" borderId="3" xfId="2" applyFill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0" fillId="5" borderId="4" xfId="4" applyNumberFormat="1" applyFont="1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4" fillId="11" borderId="3" xfId="3" applyFill="1" applyBorder="1" applyAlignment="1">
      <alignment horizontal="center" vertical="center"/>
    </xf>
    <xf numFmtId="0" fontId="2" fillId="11" borderId="3" xfId="1" applyFill="1" applyBorder="1" applyAlignment="1">
      <alignment horizontal="center" vertical="center"/>
    </xf>
    <xf numFmtId="0" fontId="0" fillId="11" borderId="3" xfId="4" applyNumberFormat="1" applyFont="1" applyFill="1" applyBorder="1" applyAlignment="1">
      <alignment horizontal="center" vertical="center"/>
    </xf>
    <xf numFmtId="0" fontId="3" fillId="11" borderId="3" xfId="2" applyFill="1" applyBorder="1" applyAlignment="1">
      <alignment horizontal="center" vertical="center"/>
    </xf>
    <xf numFmtId="0" fontId="0" fillId="11" borderId="0" xfId="0" applyFill="1"/>
    <xf numFmtId="0" fontId="0" fillId="12" borderId="3" xfId="0" applyFill="1" applyBorder="1" applyAlignment="1">
      <alignment horizontal="center" vertical="center"/>
    </xf>
    <xf numFmtId="0" fontId="2" fillId="10" borderId="3" xfId="1" applyFill="1" applyBorder="1" applyAlignment="1">
      <alignment horizontal="center" vertical="center"/>
    </xf>
    <xf numFmtId="0" fontId="7" fillId="10" borderId="3" xfId="1" applyFont="1" applyFill="1" applyBorder="1" applyAlignment="1">
      <alignment horizontal="center" vertical="center"/>
    </xf>
    <xf numFmtId="0" fontId="7" fillId="11" borderId="3" xfId="1" applyFont="1" applyFill="1" applyBorder="1" applyAlignment="1">
      <alignment horizontal="center" vertical="center"/>
    </xf>
    <xf numFmtId="0" fontId="0" fillId="10" borderId="3" xfId="4" applyNumberFormat="1" applyFont="1" applyFill="1" applyBorder="1" applyAlignment="1">
      <alignment horizontal="center" vertical="center"/>
    </xf>
    <xf numFmtId="0" fontId="3" fillId="10" borderId="3" xfId="2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4" fillId="14" borderId="3" xfId="3" applyFill="1" applyBorder="1" applyAlignment="1">
      <alignment horizontal="center" vertical="center"/>
    </xf>
    <xf numFmtId="0" fontId="2" fillId="15" borderId="3" xfId="1" applyFill="1" applyBorder="1" applyAlignment="1">
      <alignment horizontal="center" vertical="center"/>
    </xf>
    <xf numFmtId="0" fontId="0" fillId="15" borderId="3" xfId="4" applyNumberFormat="1" applyFont="1" applyFill="1" applyBorder="1" applyAlignment="1">
      <alignment horizontal="center" vertical="center"/>
    </xf>
    <xf numFmtId="0" fontId="3" fillId="15" borderId="3" xfId="2" applyFill="1" applyBorder="1" applyAlignment="1">
      <alignment horizontal="center" vertical="center"/>
    </xf>
    <xf numFmtId="0" fontId="3" fillId="14" borderId="3" xfId="2" applyFill="1" applyBorder="1" applyAlignment="1">
      <alignment horizontal="center" vertical="center"/>
    </xf>
    <xf numFmtId="0" fontId="0" fillId="14" borderId="0" xfId="0" applyFill="1"/>
    <xf numFmtId="0" fontId="4" fillId="4" borderId="3" xfId="3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0" fillId="5" borderId="3" xfId="4" applyFont="1" applyBorder="1" applyAlignment="1">
      <alignment horizontal="center" vertical="center"/>
    </xf>
    <xf numFmtId="0" fontId="3" fillId="3" borderId="3" xfId="2" applyBorder="1" applyAlignment="1">
      <alignment horizontal="center" vertical="center"/>
    </xf>
  </cellXfs>
  <cellStyles count="5">
    <cellStyle name="常规" xfId="0" builtinId="0"/>
    <cellStyle name="计算" xfId="3" builtinId="22"/>
    <cellStyle name="适中" xfId="1" builtinId="28"/>
    <cellStyle name="输入" xfId="2" builtinId="20"/>
    <cellStyle name="注释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hr\AppData\Roaming\Microsoft\AddIns\REF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UserInformation"/>
      <sheetName val="Examples"/>
      <sheetName val="Mixture Examples"/>
      <sheetName val="CheckSum"/>
    </sheetNames>
    <definedNames>
      <definedName name="Density"/>
      <definedName name="Enthalpy"/>
      <definedName name="Entropy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7"/>
  <sheetViews>
    <sheetView tabSelected="1" topLeftCell="G29" zoomScaleNormal="100" workbookViewId="0">
      <selection activeCell="O37" sqref="O37"/>
    </sheetView>
  </sheetViews>
  <sheetFormatPr defaultRowHeight="13.9" x14ac:dyDescent="0.4"/>
  <cols>
    <col min="1" max="1" width="14.53125" customWidth="1"/>
    <col min="2" max="2" width="22.796875" customWidth="1"/>
    <col min="3" max="3" width="11.53125" customWidth="1"/>
    <col min="4" max="4" width="11.1328125" customWidth="1"/>
    <col min="5" max="9" width="10.86328125" customWidth="1"/>
    <col min="10" max="10" width="10.86328125" style="26" customWidth="1"/>
    <col min="11" max="15" width="10.86328125" customWidth="1"/>
    <col min="16" max="16" width="10.86328125" style="40" customWidth="1"/>
    <col min="17" max="18" width="10.86328125" customWidth="1"/>
    <col min="19" max="20" width="11.33203125" style="26" customWidth="1"/>
    <col min="24" max="24" width="9.06640625" style="40"/>
  </cols>
  <sheetData>
    <row r="1" spans="1:35" x14ac:dyDescent="0.4">
      <c r="A1" s="1"/>
      <c r="B1" s="2" t="s">
        <v>0</v>
      </c>
      <c r="C1" s="2">
        <v>20191107</v>
      </c>
      <c r="D1" s="2">
        <v>20191107</v>
      </c>
      <c r="E1" s="2">
        <v>20191107</v>
      </c>
      <c r="F1" s="2"/>
      <c r="G1" s="2" t="s">
        <v>62</v>
      </c>
      <c r="H1" s="2" t="s">
        <v>64</v>
      </c>
      <c r="I1" s="2" t="s">
        <v>65</v>
      </c>
      <c r="J1" s="21" t="s">
        <v>66</v>
      </c>
      <c r="K1" s="2" t="s">
        <v>67</v>
      </c>
      <c r="L1" s="2"/>
      <c r="M1" s="3">
        <v>11084</v>
      </c>
      <c r="N1" s="3">
        <v>11151</v>
      </c>
      <c r="O1" s="3">
        <v>11152</v>
      </c>
      <c r="P1" s="33">
        <v>11153</v>
      </c>
      <c r="Q1" s="3">
        <v>11154</v>
      </c>
      <c r="R1" s="3"/>
      <c r="S1" s="21">
        <v>20191107</v>
      </c>
      <c r="T1" s="27">
        <v>20191108</v>
      </c>
      <c r="U1" s="3">
        <v>20191108</v>
      </c>
      <c r="V1" s="3">
        <v>20191108</v>
      </c>
      <c r="W1" s="3">
        <v>20191108</v>
      </c>
      <c r="X1" s="33">
        <v>20191108</v>
      </c>
      <c r="Y1" s="3">
        <v>20191108</v>
      </c>
    </row>
    <row r="2" spans="1:35" x14ac:dyDescent="0.4">
      <c r="A2" s="1" t="s">
        <v>1</v>
      </c>
      <c r="B2" s="2" t="s">
        <v>2</v>
      </c>
      <c r="C2" s="4" t="s">
        <v>3</v>
      </c>
      <c r="D2" s="4" t="s">
        <v>3</v>
      </c>
      <c r="E2" s="4" t="s">
        <v>3</v>
      </c>
      <c r="F2" s="4"/>
      <c r="G2" s="4" t="s">
        <v>63</v>
      </c>
      <c r="H2" s="4" t="s">
        <v>63</v>
      </c>
      <c r="I2" s="4" t="s">
        <v>63</v>
      </c>
      <c r="J2" s="21" t="s">
        <v>63</v>
      </c>
      <c r="K2" s="4" t="s">
        <v>63</v>
      </c>
      <c r="L2" s="4"/>
      <c r="M2" s="4" t="s">
        <v>3</v>
      </c>
      <c r="N2" s="4" t="s">
        <v>3</v>
      </c>
      <c r="O2" s="4" t="s">
        <v>3</v>
      </c>
      <c r="P2" s="34" t="s">
        <v>3</v>
      </c>
      <c r="Q2" s="4" t="s">
        <v>3</v>
      </c>
      <c r="R2" s="4"/>
      <c r="S2" s="21" t="s">
        <v>3</v>
      </c>
      <c r="T2" s="21" t="s">
        <v>3</v>
      </c>
      <c r="U2" s="4"/>
      <c r="V2" s="4"/>
      <c r="W2" s="4"/>
      <c r="X2" s="3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 x14ac:dyDescent="0.4">
      <c r="A3" s="41" t="s">
        <v>4</v>
      </c>
      <c r="B3" s="5" t="s">
        <v>5</v>
      </c>
      <c r="C3" s="6">
        <v>27</v>
      </c>
      <c r="D3" s="6">
        <v>27</v>
      </c>
      <c r="E3" s="6">
        <v>27</v>
      </c>
      <c r="F3" s="6"/>
      <c r="G3" s="6">
        <v>27</v>
      </c>
      <c r="H3" s="6">
        <v>27</v>
      </c>
      <c r="I3" s="6">
        <v>27</v>
      </c>
      <c r="J3" s="22">
        <v>27</v>
      </c>
      <c r="K3" s="6">
        <v>27</v>
      </c>
      <c r="L3" s="6"/>
      <c r="M3" s="6">
        <v>27</v>
      </c>
      <c r="N3" s="6">
        <v>27</v>
      </c>
      <c r="O3" s="6">
        <v>27</v>
      </c>
      <c r="P3" s="35">
        <v>27</v>
      </c>
      <c r="Q3" s="6">
        <v>27</v>
      </c>
      <c r="R3" s="6"/>
      <c r="S3" s="22">
        <v>27</v>
      </c>
      <c r="T3" s="22">
        <v>27</v>
      </c>
      <c r="U3" s="6"/>
      <c r="V3" s="6">
        <v>27</v>
      </c>
      <c r="W3" s="6">
        <v>27</v>
      </c>
      <c r="X3" s="35">
        <v>27</v>
      </c>
      <c r="Y3" s="6">
        <v>27</v>
      </c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x14ac:dyDescent="0.4">
      <c r="A4" s="41"/>
      <c r="B4" s="5" t="s">
        <v>6</v>
      </c>
      <c r="C4" s="6">
        <v>19.600000000000001</v>
      </c>
      <c r="D4" s="6">
        <v>19.5</v>
      </c>
      <c r="E4" s="6">
        <v>19.5</v>
      </c>
      <c r="F4" s="6"/>
      <c r="G4" s="6">
        <v>19.5</v>
      </c>
      <c r="H4" s="6">
        <v>19.5</v>
      </c>
      <c r="I4" s="6">
        <v>19.5</v>
      </c>
      <c r="J4" s="22">
        <v>19.5</v>
      </c>
      <c r="K4" s="6">
        <v>19.5</v>
      </c>
      <c r="L4" s="6"/>
      <c r="M4" s="6">
        <v>19.5</v>
      </c>
      <c r="N4" s="6">
        <v>19.5</v>
      </c>
      <c r="O4" s="6">
        <v>19.5</v>
      </c>
      <c r="P4" s="35">
        <v>19.5</v>
      </c>
      <c r="Q4" s="6">
        <v>19.5</v>
      </c>
      <c r="R4" s="6"/>
      <c r="S4" s="22">
        <v>19.5</v>
      </c>
      <c r="T4" s="22">
        <v>19.5</v>
      </c>
      <c r="U4" s="6"/>
      <c r="V4" s="6">
        <v>19.5</v>
      </c>
      <c r="W4" s="6">
        <v>19.5</v>
      </c>
      <c r="X4" s="35">
        <v>19.5</v>
      </c>
      <c r="Y4" s="6">
        <v>19.5</v>
      </c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x14ac:dyDescent="0.4">
      <c r="A5" s="41"/>
      <c r="B5" s="5" t="s">
        <v>7</v>
      </c>
      <c r="C5" s="6">
        <v>40</v>
      </c>
      <c r="D5" s="6">
        <v>40</v>
      </c>
      <c r="E5" s="6">
        <v>40</v>
      </c>
      <c r="F5" s="6"/>
      <c r="G5" s="6">
        <v>40</v>
      </c>
      <c r="H5" s="6">
        <v>40</v>
      </c>
      <c r="I5" s="6">
        <v>40</v>
      </c>
      <c r="J5" s="22">
        <v>40</v>
      </c>
      <c r="K5" s="6">
        <v>40</v>
      </c>
      <c r="L5" s="6"/>
      <c r="M5" s="6">
        <v>40</v>
      </c>
      <c r="N5" s="6">
        <v>40</v>
      </c>
      <c r="O5" s="6">
        <v>40</v>
      </c>
      <c r="P5" s="35">
        <v>40</v>
      </c>
      <c r="Q5" s="6">
        <v>40</v>
      </c>
      <c r="R5" s="6"/>
      <c r="S5" s="22">
        <v>40</v>
      </c>
      <c r="T5" s="22">
        <v>40</v>
      </c>
      <c r="U5" s="6"/>
      <c r="V5" s="6">
        <v>40</v>
      </c>
      <c r="W5" s="6">
        <v>40</v>
      </c>
      <c r="X5" s="35">
        <v>40</v>
      </c>
      <c r="Y5" s="6">
        <v>40</v>
      </c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x14ac:dyDescent="0.4">
      <c r="A6" s="41"/>
      <c r="B6" s="5" t="s">
        <v>8</v>
      </c>
      <c r="C6" s="6">
        <v>30.2</v>
      </c>
      <c r="D6" s="6">
        <v>30.2</v>
      </c>
      <c r="E6" s="6">
        <v>30.2</v>
      </c>
      <c r="F6" s="6"/>
      <c r="G6" s="6">
        <v>30.2</v>
      </c>
      <c r="H6" s="6">
        <v>30.2</v>
      </c>
      <c r="I6" s="6">
        <v>30.2</v>
      </c>
      <c r="J6" s="22">
        <v>30.2</v>
      </c>
      <c r="K6" s="6">
        <v>30.2</v>
      </c>
      <c r="L6" s="6"/>
      <c r="M6" s="6">
        <v>30.2</v>
      </c>
      <c r="N6" s="6">
        <v>30.2</v>
      </c>
      <c r="O6" s="6">
        <v>30.2</v>
      </c>
      <c r="P6" s="35">
        <v>30.2</v>
      </c>
      <c r="Q6" s="6">
        <v>30.2</v>
      </c>
      <c r="R6" s="6"/>
      <c r="S6" s="22">
        <v>30.2</v>
      </c>
      <c r="T6" s="22">
        <v>30.2</v>
      </c>
      <c r="U6" s="6"/>
      <c r="V6" s="6">
        <v>30.2</v>
      </c>
      <c r="W6" s="6">
        <v>30.2</v>
      </c>
      <c r="X6" s="35">
        <v>30.2</v>
      </c>
      <c r="Y6" s="6">
        <v>30.2</v>
      </c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4">
      <c r="A7" s="42" t="s">
        <v>9</v>
      </c>
      <c r="B7" s="7" t="s">
        <v>10</v>
      </c>
      <c r="C7" s="7">
        <v>21.5</v>
      </c>
      <c r="D7" s="7">
        <v>17.88</v>
      </c>
      <c r="E7" s="7">
        <v>13.17</v>
      </c>
      <c r="F7" s="14"/>
      <c r="G7" s="14">
        <v>5.45</v>
      </c>
      <c r="H7" s="18">
        <v>7.4</v>
      </c>
      <c r="I7" s="18">
        <v>8.6199999999999992</v>
      </c>
      <c r="J7" s="23">
        <v>9.89</v>
      </c>
      <c r="K7" s="14">
        <v>12.63</v>
      </c>
      <c r="L7" s="7"/>
      <c r="M7" s="7">
        <v>1.31</v>
      </c>
      <c r="N7" s="7">
        <v>1.32</v>
      </c>
      <c r="O7" s="7">
        <v>2.17</v>
      </c>
      <c r="P7" s="36">
        <v>2.91</v>
      </c>
      <c r="Q7" s="7">
        <v>4.43</v>
      </c>
      <c r="R7" s="7"/>
      <c r="S7" s="28">
        <v>1.1299999999999999</v>
      </c>
      <c r="T7" s="29">
        <v>0.79</v>
      </c>
      <c r="U7" s="7"/>
      <c r="V7" s="18">
        <v>-1.92</v>
      </c>
      <c r="W7" s="7">
        <v>-2.02</v>
      </c>
      <c r="X7" s="36">
        <v>-2.02</v>
      </c>
      <c r="Y7" s="7">
        <v>-1.7</v>
      </c>
      <c r="Z7" s="7"/>
      <c r="AA7" s="7"/>
      <c r="AB7" s="7"/>
      <c r="AC7" s="7"/>
      <c r="AD7" s="7"/>
      <c r="AE7" s="7"/>
      <c r="AF7" s="7"/>
      <c r="AG7" s="7"/>
      <c r="AH7" s="7"/>
      <c r="AI7" s="7"/>
    </row>
    <row r="8" spans="1:35" x14ac:dyDescent="0.4">
      <c r="A8" s="42"/>
      <c r="B8" s="7" t="s">
        <v>11</v>
      </c>
      <c r="C8" s="7">
        <v>134.79</v>
      </c>
      <c r="D8" s="7">
        <v>135.63999999999999</v>
      </c>
      <c r="E8" s="7">
        <v>133.76</v>
      </c>
      <c r="F8" s="14"/>
      <c r="G8" s="14">
        <v>83.86</v>
      </c>
      <c r="H8" s="18">
        <v>97.54</v>
      </c>
      <c r="I8" s="18">
        <v>103.7</v>
      </c>
      <c r="J8" s="23">
        <v>110.84</v>
      </c>
      <c r="K8" s="14">
        <v>124.04</v>
      </c>
      <c r="L8" s="7"/>
      <c r="M8" s="7">
        <v>92.7</v>
      </c>
      <c r="N8" s="7">
        <v>97.77</v>
      </c>
      <c r="O8" s="7">
        <v>104.01</v>
      </c>
      <c r="P8" s="36">
        <v>109.57</v>
      </c>
      <c r="Q8" s="7">
        <v>117.73</v>
      </c>
      <c r="R8" s="7"/>
      <c r="S8" s="28">
        <v>106.24</v>
      </c>
      <c r="T8" s="29">
        <v>99.46</v>
      </c>
      <c r="U8" s="7"/>
      <c r="V8" s="18">
        <v>101.16</v>
      </c>
      <c r="W8" s="7">
        <v>104.25</v>
      </c>
      <c r="X8" s="36">
        <v>107.58</v>
      </c>
      <c r="Y8" s="7">
        <v>112.85</v>
      </c>
      <c r="Z8" s="7"/>
      <c r="AA8" s="7"/>
      <c r="AB8" s="7"/>
      <c r="AC8" s="7"/>
      <c r="AD8" s="7"/>
      <c r="AE8" s="7"/>
      <c r="AF8" s="7"/>
      <c r="AG8" s="7"/>
      <c r="AH8" s="7"/>
      <c r="AI8" s="7"/>
    </row>
    <row r="9" spans="1:35" x14ac:dyDescent="0.4">
      <c r="A9" s="42"/>
      <c r="B9" s="7" t="s">
        <v>12</v>
      </c>
      <c r="C9" s="7">
        <v>129.16</v>
      </c>
      <c r="D9" s="7">
        <v>130.5</v>
      </c>
      <c r="E9" s="7">
        <v>129.08000000000001</v>
      </c>
      <c r="F9" s="14"/>
      <c r="G9" s="14">
        <v>81.39</v>
      </c>
      <c r="H9" s="18">
        <v>95.06</v>
      </c>
      <c r="I9" s="18">
        <v>100.71</v>
      </c>
      <c r="J9" s="23">
        <v>107.43</v>
      </c>
      <c r="K9" s="14">
        <v>119.28</v>
      </c>
      <c r="L9" s="7"/>
      <c r="M9" s="7">
        <v>89.85</v>
      </c>
      <c r="N9" s="7">
        <v>94.8</v>
      </c>
      <c r="O9" s="7">
        <v>101.08</v>
      </c>
      <c r="P9" s="36">
        <v>106.17</v>
      </c>
      <c r="Q9" s="7">
        <v>113.86</v>
      </c>
      <c r="R9" s="7"/>
      <c r="S9" s="28">
        <v>103.11</v>
      </c>
      <c r="T9" s="29">
        <v>96.62</v>
      </c>
      <c r="U9" s="7"/>
      <c r="V9" s="18">
        <v>98.12</v>
      </c>
      <c r="W9" s="7">
        <v>101.12</v>
      </c>
      <c r="X9" s="36">
        <v>104.46</v>
      </c>
      <c r="Y9" s="7">
        <v>109.29</v>
      </c>
      <c r="Z9" s="7"/>
      <c r="AA9" s="7"/>
      <c r="AB9" s="7"/>
      <c r="AC9" s="7"/>
      <c r="AD9" s="7"/>
      <c r="AE9" s="7"/>
      <c r="AF9" s="7"/>
      <c r="AG9" s="7"/>
      <c r="AH9" s="7"/>
      <c r="AI9" s="7"/>
    </row>
    <row r="10" spans="1:35" x14ac:dyDescent="0.4">
      <c r="A10" s="42"/>
      <c r="B10" s="7" t="s">
        <v>13</v>
      </c>
      <c r="C10" s="7">
        <v>42.28</v>
      </c>
      <c r="D10" s="7">
        <v>42.77</v>
      </c>
      <c r="E10" s="7">
        <v>43.37</v>
      </c>
      <c r="F10" s="14"/>
      <c r="G10" s="14">
        <v>42.91</v>
      </c>
      <c r="H10" s="18">
        <v>42.82</v>
      </c>
      <c r="I10" s="18">
        <v>42.38</v>
      </c>
      <c r="J10" s="23">
        <v>41.98</v>
      </c>
      <c r="K10" s="14">
        <v>41.57</v>
      </c>
      <c r="L10" s="7"/>
      <c r="M10" s="7">
        <v>43.49</v>
      </c>
      <c r="N10" s="7">
        <v>43.29</v>
      </c>
      <c r="O10" s="7">
        <v>43.07</v>
      </c>
      <c r="P10" s="36">
        <v>42.78</v>
      </c>
      <c r="Q10" s="7">
        <v>42.44</v>
      </c>
      <c r="R10" s="7"/>
      <c r="S10" s="28">
        <v>43.03</v>
      </c>
      <c r="T10" s="29">
        <v>43.36</v>
      </c>
      <c r="U10" s="7"/>
      <c r="V10" s="18">
        <v>43.91</v>
      </c>
      <c r="W10" s="7">
        <v>43.8</v>
      </c>
      <c r="X10" s="36">
        <v>43.58</v>
      </c>
      <c r="Y10" s="7">
        <v>43.34</v>
      </c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4">
      <c r="A11" s="42"/>
      <c r="B11" s="7" t="s">
        <v>14</v>
      </c>
      <c r="C11" s="7">
        <v>42.3</v>
      </c>
      <c r="D11" s="7">
        <v>42.73</v>
      </c>
      <c r="E11" s="7">
        <v>43.27</v>
      </c>
      <c r="F11" s="14"/>
      <c r="G11" s="14">
        <v>42.76</v>
      </c>
      <c r="H11" s="18">
        <v>42.74</v>
      </c>
      <c r="I11" s="18">
        <v>42.34</v>
      </c>
      <c r="J11" s="23">
        <v>41.95</v>
      </c>
      <c r="K11" s="14">
        <v>41.57</v>
      </c>
      <c r="L11" s="7"/>
      <c r="M11" s="7">
        <v>43.32</v>
      </c>
      <c r="N11" s="7">
        <v>43.14</v>
      </c>
      <c r="O11" s="7">
        <v>42.98</v>
      </c>
      <c r="P11" s="36">
        <v>42.72</v>
      </c>
      <c r="Q11" s="7">
        <v>42.38</v>
      </c>
      <c r="R11" s="7"/>
      <c r="S11" s="28">
        <v>42.99</v>
      </c>
      <c r="T11" s="29">
        <v>43.29</v>
      </c>
      <c r="U11" s="7"/>
      <c r="V11" s="18">
        <v>43.75</v>
      </c>
      <c r="W11" s="7">
        <v>43.69</v>
      </c>
      <c r="X11" s="36">
        <v>43.46</v>
      </c>
      <c r="Y11" s="7">
        <v>43.24</v>
      </c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 spans="1:35" x14ac:dyDescent="0.4">
      <c r="A12" s="42"/>
      <c r="B12" s="7" t="s">
        <v>15</v>
      </c>
      <c r="C12" s="8">
        <v>42.04</v>
      </c>
      <c r="D12" s="7">
        <v>42.35</v>
      </c>
      <c r="E12" s="7">
        <v>42.74</v>
      </c>
      <c r="F12" s="14"/>
      <c r="G12" s="14">
        <v>42.08</v>
      </c>
      <c r="H12" s="18">
        <v>42.37</v>
      </c>
      <c r="I12" s="18">
        <v>42.01</v>
      </c>
      <c r="J12" s="23">
        <v>41.69</v>
      </c>
      <c r="K12" s="14">
        <v>41.36</v>
      </c>
      <c r="L12" s="7"/>
      <c r="M12" s="7">
        <v>42.64</v>
      </c>
      <c r="N12" s="7">
        <v>42.6</v>
      </c>
      <c r="O12" s="7">
        <v>42.56</v>
      </c>
      <c r="P12" s="36">
        <v>42.35</v>
      </c>
      <c r="Q12" s="7">
        <v>42.09</v>
      </c>
      <c r="R12" s="7"/>
      <c r="S12" s="28">
        <v>42.61</v>
      </c>
      <c r="T12" s="29">
        <v>42.77</v>
      </c>
      <c r="U12" s="7"/>
      <c r="V12" s="18">
        <v>43.1</v>
      </c>
      <c r="W12" s="7">
        <v>43.08</v>
      </c>
      <c r="X12" s="36">
        <v>42.94</v>
      </c>
      <c r="Y12" s="7">
        <v>42.81</v>
      </c>
      <c r="Z12" s="7"/>
      <c r="AA12" s="7"/>
      <c r="AB12" s="7"/>
      <c r="AC12" s="7"/>
      <c r="AD12" s="7"/>
      <c r="AE12" s="7"/>
      <c r="AF12" s="7"/>
      <c r="AG12" s="7"/>
      <c r="AH12" s="7"/>
      <c r="AI12" s="7"/>
    </row>
    <row r="13" spans="1:35" x14ac:dyDescent="0.4">
      <c r="A13" s="42"/>
      <c r="B13" s="8" t="s">
        <v>16</v>
      </c>
      <c r="C13" s="7">
        <v>41.23</v>
      </c>
      <c r="D13" s="8">
        <v>41.56</v>
      </c>
      <c r="E13" s="7">
        <v>42.1</v>
      </c>
      <c r="F13" s="14"/>
      <c r="G13" s="14">
        <v>41.51</v>
      </c>
      <c r="H13" s="18">
        <v>41.7</v>
      </c>
      <c r="I13" s="18">
        <v>41.24</v>
      </c>
      <c r="J13" s="23">
        <v>40.86</v>
      </c>
      <c r="K13" s="14">
        <v>40.39</v>
      </c>
      <c r="L13" s="7"/>
      <c r="M13" s="7">
        <v>42.06</v>
      </c>
      <c r="N13" s="7">
        <v>41.99</v>
      </c>
      <c r="O13" s="7">
        <v>41.87</v>
      </c>
      <c r="P13" s="36">
        <v>41.6</v>
      </c>
      <c r="Q13" s="7">
        <v>41.24</v>
      </c>
      <c r="R13" s="7"/>
      <c r="S13" s="23">
        <v>41.93</v>
      </c>
      <c r="T13" s="30">
        <v>42.13</v>
      </c>
      <c r="U13" s="7"/>
      <c r="V13" s="18">
        <v>42.49</v>
      </c>
      <c r="W13" s="7">
        <v>42.5</v>
      </c>
      <c r="X13" s="36">
        <v>42.3</v>
      </c>
      <c r="Y13" s="7">
        <v>42.1</v>
      </c>
      <c r="Z13" s="7"/>
      <c r="AA13" s="7"/>
      <c r="AB13" s="7"/>
      <c r="AC13" s="7"/>
      <c r="AD13" s="7"/>
      <c r="AE13" s="7"/>
      <c r="AF13" s="7"/>
      <c r="AG13" s="7"/>
      <c r="AH13" s="7"/>
      <c r="AI13" s="7"/>
    </row>
    <row r="14" spans="1:35" x14ac:dyDescent="0.4">
      <c r="A14" s="42"/>
      <c r="B14" s="7" t="s">
        <v>17</v>
      </c>
      <c r="C14" s="7">
        <v>3.05</v>
      </c>
      <c r="D14" s="7">
        <v>4.71</v>
      </c>
      <c r="E14" s="7">
        <v>6.43</v>
      </c>
      <c r="F14" s="14"/>
      <c r="G14" s="14">
        <v>11.7</v>
      </c>
      <c r="H14" s="18">
        <v>9.94</v>
      </c>
      <c r="I14" s="18">
        <v>9.11</v>
      </c>
      <c r="J14" s="23">
        <v>8.27</v>
      </c>
      <c r="K14" s="14">
        <v>7.32</v>
      </c>
      <c r="L14" s="7"/>
      <c r="M14" s="7">
        <v>10.43</v>
      </c>
      <c r="N14" s="7">
        <v>9.48</v>
      </c>
      <c r="O14" s="7">
        <v>8.82</v>
      </c>
      <c r="P14" s="36">
        <v>8.1999999999999993</v>
      </c>
      <c r="Q14" s="7">
        <v>7.63</v>
      </c>
      <c r="R14" s="7"/>
      <c r="S14" s="28">
        <v>8.3000000000000007</v>
      </c>
      <c r="T14" s="29">
        <v>9.06</v>
      </c>
      <c r="U14" s="7"/>
      <c r="V14" s="18">
        <v>9.51</v>
      </c>
      <c r="W14" s="7">
        <v>9.06</v>
      </c>
      <c r="X14" s="36">
        <v>8.52</v>
      </c>
      <c r="Y14" s="7">
        <v>7.89</v>
      </c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4">
      <c r="A15" s="42"/>
      <c r="B15" s="7" t="s">
        <v>18</v>
      </c>
      <c r="C15" s="7">
        <v>2.84</v>
      </c>
      <c r="D15" s="7">
        <v>4.55</v>
      </c>
      <c r="E15" s="7">
        <v>6.01</v>
      </c>
      <c r="F15" s="14"/>
      <c r="G15" s="14">
        <v>11.52</v>
      </c>
      <c r="H15" s="18">
        <v>9.7100000000000009</v>
      </c>
      <c r="I15" s="18">
        <v>9.0500000000000007</v>
      </c>
      <c r="J15" s="23">
        <v>8.3699999999999992</v>
      </c>
      <c r="K15" s="14">
        <v>7.5</v>
      </c>
      <c r="L15" s="7"/>
      <c r="M15" s="7">
        <v>10.14</v>
      </c>
      <c r="N15" s="18">
        <v>9.3000000000000007</v>
      </c>
      <c r="O15" s="7">
        <v>8.59</v>
      </c>
      <c r="P15" s="36">
        <v>8.14</v>
      </c>
      <c r="Q15" s="7">
        <v>7.55</v>
      </c>
      <c r="R15" s="7"/>
      <c r="S15" s="28">
        <v>8.1199999999999992</v>
      </c>
      <c r="T15" s="29">
        <v>8.7799999999999994</v>
      </c>
      <c r="U15" s="7"/>
      <c r="V15" s="18">
        <v>9.16</v>
      </c>
      <c r="W15" s="7">
        <v>8.73</v>
      </c>
      <c r="X15" s="36">
        <v>8.24</v>
      </c>
      <c r="Y15" s="7">
        <v>7.74</v>
      </c>
      <c r="Z15" s="7"/>
      <c r="AA15" s="7"/>
      <c r="AB15" s="7"/>
      <c r="AC15" s="7"/>
      <c r="AD15" s="7"/>
      <c r="AE15" s="7"/>
      <c r="AF15" s="7"/>
      <c r="AG15" s="7"/>
      <c r="AH15" s="7"/>
      <c r="AI15" s="7"/>
    </row>
    <row r="16" spans="1:35" x14ac:dyDescent="0.4">
      <c r="A16" s="42"/>
      <c r="B16" s="7" t="s">
        <v>19</v>
      </c>
      <c r="C16" s="7">
        <v>20.260000000000002</v>
      </c>
      <c r="D16" s="7">
        <v>18.47</v>
      </c>
      <c r="E16" s="7">
        <v>15.32</v>
      </c>
      <c r="F16" s="14"/>
      <c r="G16" s="14">
        <v>7.89</v>
      </c>
      <c r="H16" s="18">
        <v>8.7100000000000009</v>
      </c>
      <c r="I16" s="18">
        <v>9.5500000000000007</v>
      </c>
      <c r="J16" s="23">
        <v>10.5</v>
      </c>
      <c r="K16" s="14">
        <v>12.6</v>
      </c>
      <c r="L16" s="7"/>
      <c r="M16" s="7">
        <v>5.27</v>
      </c>
      <c r="N16" s="18">
        <v>4.7699999999999996</v>
      </c>
      <c r="O16" s="7">
        <v>5.0199999999999996</v>
      </c>
      <c r="P16" s="36">
        <v>5.37</v>
      </c>
      <c r="Q16" s="7">
        <v>6.33</v>
      </c>
      <c r="R16" s="7"/>
      <c r="S16" s="28">
        <v>3.91</v>
      </c>
      <c r="T16" s="29">
        <v>4.3099999999999996</v>
      </c>
      <c r="U16" s="7"/>
      <c r="V16" s="18">
        <v>3.39</v>
      </c>
      <c r="W16" s="7">
        <v>3.01</v>
      </c>
      <c r="X16" s="36">
        <v>2.7</v>
      </c>
      <c r="Y16" s="7">
        <v>2.48</v>
      </c>
      <c r="Z16" s="7"/>
      <c r="AA16" s="7"/>
      <c r="AB16" s="7"/>
      <c r="AC16" s="7"/>
      <c r="AD16" s="7"/>
      <c r="AE16" s="7"/>
      <c r="AF16" s="7"/>
      <c r="AG16" s="7"/>
      <c r="AH16" s="7"/>
      <c r="AI16" s="7"/>
    </row>
    <row r="17" spans="1:35" x14ac:dyDescent="0.4">
      <c r="A17" s="42"/>
      <c r="B17" s="7" t="s">
        <v>20</v>
      </c>
      <c r="C17" s="7">
        <v>20.2</v>
      </c>
      <c r="D17" s="7">
        <v>17.5</v>
      </c>
      <c r="E17" s="7">
        <v>14</v>
      </c>
      <c r="F17" s="14"/>
      <c r="G17" s="14">
        <v>6.75</v>
      </c>
      <c r="H17" s="18">
        <v>8.0299999999999994</v>
      </c>
      <c r="I17" s="18">
        <v>8.7200000000000006</v>
      </c>
      <c r="J17" s="23">
        <v>9.61</v>
      </c>
      <c r="K17" s="14">
        <v>11.78</v>
      </c>
      <c r="L17" s="7"/>
      <c r="M17" s="7">
        <v>3.88</v>
      </c>
      <c r="N17" s="18">
        <v>3.38</v>
      </c>
      <c r="O17" s="7">
        <v>3.79</v>
      </c>
      <c r="P17" s="36">
        <v>4.18</v>
      </c>
      <c r="Q17" s="7">
        <v>5.22</v>
      </c>
      <c r="R17" s="7"/>
      <c r="S17" s="28">
        <v>2.95</v>
      </c>
      <c r="T17" s="29">
        <v>3.29</v>
      </c>
      <c r="U17" s="7"/>
      <c r="V17" s="18">
        <v>1.72</v>
      </c>
      <c r="W17" s="7">
        <v>1.41</v>
      </c>
      <c r="X17" s="36">
        <v>1.1200000000000001</v>
      </c>
      <c r="Y17" s="7">
        <v>0.95</v>
      </c>
      <c r="Z17" s="7"/>
      <c r="AA17" s="7"/>
      <c r="AB17" s="7"/>
      <c r="AC17" s="7"/>
      <c r="AD17" s="7"/>
      <c r="AE17" s="7"/>
      <c r="AF17" s="7"/>
      <c r="AG17" s="7"/>
      <c r="AH17" s="7"/>
      <c r="AI17" s="7"/>
    </row>
    <row r="18" spans="1:35" x14ac:dyDescent="0.4">
      <c r="A18" s="42"/>
      <c r="B18" s="7" t="s">
        <v>21</v>
      </c>
      <c r="C18" s="7">
        <v>20.84</v>
      </c>
      <c r="D18" s="7">
        <v>18.13</v>
      </c>
      <c r="E18" s="7">
        <v>14.46</v>
      </c>
      <c r="F18" s="14"/>
      <c r="G18" s="14">
        <v>6.85</v>
      </c>
      <c r="H18" s="18">
        <v>8.3000000000000007</v>
      </c>
      <c r="I18" s="18">
        <v>9.15</v>
      </c>
      <c r="J18" s="23">
        <v>10.224</v>
      </c>
      <c r="K18" s="14">
        <v>12.53</v>
      </c>
      <c r="L18" s="7"/>
      <c r="M18" s="7">
        <v>3.43</v>
      </c>
      <c r="N18" s="18">
        <v>3.37</v>
      </c>
      <c r="O18" s="7">
        <v>3.9</v>
      </c>
      <c r="P18" s="36">
        <v>4.42</v>
      </c>
      <c r="Q18" s="7">
        <v>5.53</v>
      </c>
      <c r="R18" s="7"/>
      <c r="S18" s="28">
        <v>2.66</v>
      </c>
      <c r="T18" s="29">
        <v>2.66</v>
      </c>
      <c r="U18" s="7"/>
      <c r="V18" s="18">
        <v>1.04</v>
      </c>
      <c r="W18" s="7">
        <v>0.85</v>
      </c>
      <c r="X18" s="36">
        <v>0.68</v>
      </c>
      <c r="Y18" s="7">
        <v>0.75</v>
      </c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4">
      <c r="A19" s="42"/>
      <c r="B19" s="7" t="s">
        <v>22</v>
      </c>
      <c r="C19" s="7">
        <v>41.5</v>
      </c>
      <c r="D19" s="7">
        <v>41.62</v>
      </c>
      <c r="E19" s="7">
        <v>41.97</v>
      </c>
      <c r="F19" s="14"/>
      <c r="G19" s="14">
        <v>41.28</v>
      </c>
      <c r="H19" s="18">
        <v>41.54</v>
      </c>
      <c r="I19" s="18">
        <v>41.22</v>
      </c>
      <c r="J19" s="23">
        <v>41.06</v>
      </c>
      <c r="K19" s="14">
        <v>40.85</v>
      </c>
      <c r="L19" s="7"/>
      <c r="M19" s="7">
        <v>41.68</v>
      </c>
      <c r="N19" s="18">
        <v>41.63</v>
      </c>
      <c r="O19" s="7">
        <v>41.66</v>
      </c>
      <c r="P19" s="36">
        <v>41.45</v>
      </c>
      <c r="Q19" s="7">
        <v>41.34</v>
      </c>
      <c r="R19" s="7"/>
      <c r="S19" s="28">
        <v>41.82</v>
      </c>
      <c r="T19" s="29">
        <v>41.85</v>
      </c>
      <c r="U19" s="7"/>
      <c r="V19" s="18">
        <v>41.96</v>
      </c>
      <c r="W19" s="7">
        <v>42</v>
      </c>
      <c r="X19" s="36">
        <v>41.88</v>
      </c>
      <c r="Y19" s="7">
        <v>41.77</v>
      </c>
      <c r="Z19" s="7"/>
      <c r="AA19" s="7"/>
      <c r="AB19" s="7"/>
      <c r="AC19" s="7"/>
      <c r="AD19" s="7"/>
      <c r="AE19" s="7"/>
      <c r="AF19" s="7"/>
      <c r="AG19" s="7"/>
      <c r="AH19" s="7"/>
      <c r="AI19" s="7"/>
    </row>
    <row r="20" spans="1:35" x14ac:dyDescent="0.4">
      <c r="A20" s="42"/>
      <c r="B20" s="7" t="s">
        <v>23</v>
      </c>
      <c r="C20" s="7">
        <v>40.799999999999997</v>
      </c>
      <c r="D20" s="7">
        <v>40.659999999999997</v>
      </c>
      <c r="E20" s="7">
        <v>40.75</v>
      </c>
      <c r="F20" s="14"/>
      <c r="G20" s="14">
        <v>39.57</v>
      </c>
      <c r="H20" s="18">
        <v>39.909999999999997</v>
      </c>
      <c r="I20" s="18">
        <v>39.67</v>
      </c>
      <c r="J20" s="23">
        <v>39.549999999999997</v>
      </c>
      <c r="K20" s="14">
        <v>39.409999999999997</v>
      </c>
      <c r="L20" s="7"/>
      <c r="M20" s="7">
        <v>39.65</v>
      </c>
      <c r="N20" s="7">
        <v>39.549999999999997</v>
      </c>
      <c r="O20" s="7">
        <v>39.57</v>
      </c>
      <c r="P20" s="36">
        <v>39.479999999999997</v>
      </c>
      <c r="Q20" s="7">
        <v>39.409999999999997</v>
      </c>
      <c r="R20" s="7"/>
      <c r="S20" s="28">
        <v>39.909999999999997</v>
      </c>
      <c r="T20" s="29">
        <v>39.909999999999997</v>
      </c>
      <c r="U20" s="7"/>
      <c r="V20" s="18">
        <v>39.68</v>
      </c>
      <c r="W20" s="7">
        <v>39.659999999999997</v>
      </c>
      <c r="X20" s="36">
        <v>39.54</v>
      </c>
      <c r="Y20" s="7">
        <v>39.47</v>
      </c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 spans="1:35" x14ac:dyDescent="0.4">
      <c r="A21" s="43" t="s">
        <v>24</v>
      </c>
      <c r="B21" s="9" t="s">
        <v>25</v>
      </c>
      <c r="C21" s="10">
        <v>3.21</v>
      </c>
      <c r="D21" s="10">
        <v>3.12</v>
      </c>
      <c r="E21" s="10">
        <v>3.04</v>
      </c>
      <c r="F21" s="10"/>
      <c r="G21" s="10">
        <v>3.89</v>
      </c>
      <c r="H21" s="10">
        <v>3.79</v>
      </c>
      <c r="I21" s="10">
        <v>3.76</v>
      </c>
      <c r="J21" s="24">
        <v>3.72</v>
      </c>
      <c r="K21" s="10">
        <v>3.68</v>
      </c>
      <c r="L21" s="10"/>
      <c r="M21" s="10">
        <v>3.54</v>
      </c>
      <c r="N21" s="10">
        <v>3.49</v>
      </c>
      <c r="O21" s="10">
        <v>3.48</v>
      </c>
      <c r="P21" s="37">
        <v>3.47</v>
      </c>
      <c r="Q21" s="10">
        <v>3.47</v>
      </c>
      <c r="R21" s="10"/>
      <c r="S21" s="31">
        <v>3.47</v>
      </c>
      <c r="T21" s="31">
        <v>3.49</v>
      </c>
      <c r="U21" s="10"/>
      <c r="V21" s="10">
        <v>3.27</v>
      </c>
      <c r="W21" s="10">
        <v>3.25</v>
      </c>
      <c r="X21" s="37">
        <v>3.23</v>
      </c>
      <c r="Y21" s="10">
        <v>3.22</v>
      </c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x14ac:dyDescent="0.4">
      <c r="A22" s="43"/>
      <c r="B22" s="9" t="s">
        <v>26</v>
      </c>
      <c r="C22" s="10">
        <v>9.9</v>
      </c>
      <c r="D22" s="10">
        <v>10.02</v>
      </c>
      <c r="E22" s="10">
        <v>10.09</v>
      </c>
      <c r="F22" s="10"/>
      <c r="G22" s="10">
        <v>10.039999999999999</v>
      </c>
      <c r="H22" s="10">
        <v>10.53</v>
      </c>
      <c r="I22" s="10">
        <v>10.76</v>
      </c>
      <c r="J22" s="24">
        <v>11.04</v>
      </c>
      <c r="K22" s="10">
        <v>11.5</v>
      </c>
      <c r="L22" s="10"/>
      <c r="M22" s="10">
        <v>10.46</v>
      </c>
      <c r="N22" s="10">
        <v>10.74</v>
      </c>
      <c r="O22" s="10">
        <v>11.01</v>
      </c>
      <c r="P22" s="37">
        <v>11.22</v>
      </c>
      <c r="Q22" s="10">
        <v>11.51</v>
      </c>
      <c r="R22" s="10"/>
      <c r="S22" s="31">
        <v>11.22</v>
      </c>
      <c r="T22" s="31">
        <v>10.84</v>
      </c>
      <c r="U22" s="10"/>
      <c r="V22" s="10">
        <v>10.79</v>
      </c>
      <c r="W22" s="10">
        <v>10.99</v>
      </c>
      <c r="X22" s="37">
        <v>11.18</v>
      </c>
      <c r="Y22" s="10">
        <v>11.48</v>
      </c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x14ac:dyDescent="0.4">
      <c r="A23" s="43"/>
      <c r="B23" s="9" t="s">
        <v>27</v>
      </c>
      <c r="C23" s="10">
        <v>9.93</v>
      </c>
      <c r="D23" s="10">
        <v>10.023</v>
      </c>
      <c r="E23" s="10">
        <v>10.109</v>
      </c>
      <c r="F23" s="10"/>
      <c r="G23" s="10">
        <v>10.065</v>
      </c>
      <c r="H23" s="10">
        <v>10.443</v>
      </c>
      <c r="I23" s="10">
        <v>10.696999999999999</v>
      </c>
      <c r="J23" s="24">
        <v>11.084</v>
      </c>
      <c r="K23" s="10">
        <v>11.531000000000001</v>
      </c>
      <c r="L23" s="10"/>
      <c r="M23" s="10">
        <v>10.474</v>
      </c>
      <c r="N23" s="10">
        <v>10.763999999999999</v>
      </c>
      <c r="O23" s="10">
        <v>10.997999999999999</v>
      </c>
      <c r="P23" s="37">
        <v>11.122</v>
      </c>
      <c r="Q23" s="10">
        <v>11.456</v>
      </c>
      <c r="R23" s="10"/>
      <c r="S23" s="31">
        <v>11.260999999999999</v>
      </c>
      <c r="T23" s="31">
        <v>10.833</v>
      </c>
      <c r="U23" s="10"/>
      <c r="V23" s="10">
        <v>10.68</v>
      </c>
      <c r="W23" s="10">
        <v>10.875999999999999</v>
      </c>
      <c r="X23" s="37">
        <v>11.07</v>
      </c>
      <c r="Y23" s="10">
        <v>11.481999999999999</v>
      </c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x14ac:dyDescent="0.4">
      <c r="A24" s="43"/>
      <c r="B24" s="9" t="s">
        <v>28</v>
      </c>
      <c r="C24" s="10">
        <v>9.8960000000000008</v>
      </c>
      <c r="D24" s="10">
        <v>9.9629999999999992</v>
      </c>
      <c r="E24" s="10">
        <v>9.9570000000000007</v>
      </c>
      <c r="F24" s="10"/>
      <c r="G24" s="10">
        <v>9.8849999999999998</v>
      </c>
      <c r="H24" s="10">
        <v>10.343</v>
      </c>
      <c r="I24" s="10">
        <v>10.667</v>
      </c>
      <c r="J24" s="24">
        <v>10.946</v>
      </c>
      <c r="K24" s="10">
        <v>11.468</v>
      </c>
      <c r="L24" s="10"/>
      <c r="M24" s="10">
        <v>10.269</v>
      </c>
      <c r="N24" s="10">
        <v>10.57</v>
      </c>
      <c r="O24" s="10">
        <v>10.871</v>
      </c>
      <c r="P24" s="37">
        <v>10.989000000000001</v>
      </c>
      <c r="Q24" s="10">
        <v>11.313000000000001</v>
      </c>
      <c r="R24" s="10"/>
      <c r="S24" s="31">
        <v>11.084</v>
      </c>
      <c r="T24" s="31">
        <v>10.686</v>
      </c>
      <c r="U24" s="10"/>
      <c r="V24" s="10">
        <v>10.459</v>
      </c>
      <c r="W24" s="10">
        <v>10.68</v>
      </c>
      <c r="X24" s="37">
        <v>10.882</v>
      </c>
      <c r="Y24" s="10">
        <v>11</v>
      </c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x14ac:dyDescent="0.4">
      <c r="A25" s="43"/>
      <c r="B25" s="9" t="s">
        <v>29</v>
      </c>
      <c r="C25" s="10">
        <v>9.8249999999999993</v>
      </c>
      <c r="D25" s="10">
        <v>9.8190000000000008</v>
      </c>
      <c r="E25" s="10">
        <v>9.8079999999999998</v>
      </c>
      <c r="F25" s="10"/>
      <c r="G25" s="10">
        <v>9.6760000000000002</v>
      </c>
      <c r="H25" s="10">
        <v>10.202</v>
      </c>
      <c r="I25" s="10">
        <v>10.555999999999999</v>
      </c>
      <c r="J25" s="24">
        <v>10.877000000000001</v>
      </c>
      <c r="K25" s="10">
        <v>11.379</v>
      </c>
      <c r="L25" s="10"/>
      <c r="M25" s="10">
        <v>10.041</v>
      </c>
      <c r="N25" s="16">
        <v>10.37</v>
      </c>
      <c r="O25" s="10">
        <v>10.693</v>
      </c>
      <c r="P25" s="37">
        <v>10.824999999999999</v>
      </c>
      <c r="Q25" s="10">
        <v>11.173</v>
      </c>
      <c r="R25" s="10"/>
      <c r="S25" s="31">
        <v>10.936</v>
      </c>
      <c r="T25" s="31">
        <v>10.505000000000001</v>
      </c>
      <c r="U25" s="10"/>
      <c r="V25" s="10">
        <v>10.234999999999999</v>
      </c>
      <c r="W25" s="10">
        <v>10.452999999999999</v>
      </c>
      <c r="X25" s="37">
        <v>10.677</v>
      </c>
      <c r="Y25" s="10">
        <v>11.117000000000001</v>
      </c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 x14ac:dyDescent="0.4">
      <c r="A26" s="43"/>
      <c r="B26" s="9" t="s">
        <v>30</v>
      </c>
      <c r="C26" s="10">
        <v>3.7549999999999999</v>
      </c>
      <c r="D26" s="10">
        <v>4.0830000000000002</v>
      </c>
      <c r="E26" s="10">
        <v>4.1639999999999997</v>
      </c>
      <c r="F26" s="10"/>
      <c r="G26" s="10">
        <v>4.6390000000000002</v>
      </c>
      <c r="H26" s="10">
        <v>4.319</v>
      </c>
      <c r="I26" s="10">
        <v>4.3540000000000001</v>
      </c>
      <c r="J26" s="24">
        <v>4.2809999999999997</v>
      </c>
      <c r="K26" s="10">
        <v>4.1779999999999999</v>
      </c>
      <c r="L26" s="10"/>
      <c r="M26" s="10">
        <v>4.4870000000000001</v>
      </c>
      <c r="N26" s="10">
        <v>4.3760000000000003</v>
      </c>
      <c r="O26" s="10">
        <v>4.3079999999999998</v>
      </c>
      <c r="P26" s="37">
        <v>4.1509999999999998</v>
      </c>
      <c r="Q26" s="10">
        <v>4.0910000000000002</v>
      </c>
      <c r="R26" s="10"/>
      <c r="S26" s="31">
        <v>4.2759999999999998</v>
      </c>
      <c r="T26" s="31">
        <v>4.3490000000000002</v>
      </c>
      <c r="U26" s="10"/>
      <c r="V26" s="10">
        <v>4.2699999999999996</v>
      </c>
      <c r="W26" s="10">
        <v>4.2190000000000003</v>
      </c>
      <c r="X26" s="37">
        <v>4.1669999999999998</v>
      </c>
      <c r="Y26" s="10">
        <v>4.2080000000000002</v>
      </c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x14ac:dyDescent="0.4">
      <c r="A27" s="43"/>
      <c r="B27" s="9" t="s">
        <v>31</v>
      </c>
      <c r="C27" s="10">
        <v>3.4447999999999999</v>
      </c>
      <c r="D27" s="10">
        <v>3.5619999999999998</v>
      </c>
      <c r="E27" s="10">
        <v>3.6</v>
      </c>
      <c r="F27" s="10"/>
      <c r="G27" s="10">
        <v>4.1859999999999999</v>
      </c>
      <c r="H27" s="10">
        <v>3.948</v>
      </c>
      <c r="I27" s="10">
        <v>3.9990000000000001</v>
      </c>
      <c r="J27" s="24">
        <v>3.9529999999999998</v>
      </c>
      <c r="K27" s="10">
        <v>3.8980000000000001</v>
      </c>
      <c r="L27" s="10"/>
      <c r="M27" s="10">
        <v>3.9470000000000001</v>
      </c>
      <c r="N27" s="10">
        <v>3.871</v>
      </c>
      <c r="O27" s="10">
        <v>3.8279999999999998</v>
      </c>
      <c r="P27" s="37">
        <v>3.706</v>
      </c>
      <c r="Q27" s="10">
        <v>3.6680000000000001</v>
      </c>
      <c r="R27" s="10"/>
      <c r="S27" s="31">
        <v>3.8330000000000002</v>
      </c>
      <c r="T27" s="31">
        <v>3.8690000000000002</v>
      </c>
      <c r="U27" s="10"/>
      <c r="V27" s="10">
        <v>3.6520000000000001</v>
      </c>
      <c r="W27" s="10">
        <v>3.617</v>
      </c>
      <c r="X27" s="37">
        <v>3.5790000000000002</v>
      </c>
      <c r="Y27" s="10">
        <v>3.6509999999999998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x14ac:dyDescent="0.4">
      <c r="A28" s="43"/>
      <c r="B28" s="10" t="s">
        <v>20</v>
      </c>
      <c r="C28" s="10"/>
      <c r="D28" s="10"/>
      <c r="E28" s="10"/>
      <c r="F28" s="10"/>
      <c r="G28" s="10"/>
      <c r="H28" s="10"/>
      <c r="I28" s="10"/>
      <c r="J28" s="24"/>
      <c r="K28" s="10"/>
      <c r="L28" s="10"/>
      <c r="M28" s="10"/>
      <c r="N28" s="10"/>
      <c r="O28" s="10"/>
      <c r="P28" s="37"/>
      <c r="Q28" s="10"/>
      <c r="R28" s="10"/>
      <c r="S28" s="31"/>
      <c r="T28" s="31"/>
      <c r="U28" s="10"/>
      <c r="V28" s="10"/>
      <c r="W28" s="10"/>
      <c r="X28" s="37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1:35" x14ac:dyDescent="0.4">
      <c r="A29" s="44" t="s">
        <v>32</v>
      </c>
      <c r="B29" s="11" t="s">
        <v>33</v>
      </c>
      <c r="C29" s="11">
        <v>345</v>
      </c>
      <c r="D29" s="11">
        <v>345</v>
      </c>
      <c r="E29" s="11">
        <v>345</v>
      </c>
      <c r="F29" s="15"/>
      <c r="G29" s="15">
        <v>345</v>
      </c>
      <c r="H29" s="15">
        <v>345</v>
      </c>
      <c r="I29" s="15">
        <v>345</v>
      </c>
      <c r="J29" s="25">
        <v>345</v>
      </c>
      <c r="K29" s="15">
        <v>345</v>
      </c>
      <c r="L29" s="11"/>
      <c r="M29" s="11">
        <v>345</v>
      </c>
      <c r="N29" s="11">
        <v>345</v>
      </c>
      <c r="O29" s="11">
        <v>345</v>
      </c>
      <c r="P29" s="38">
        <v>345</v>
      </c>
      <c r="Q29" s="11">
        <v>345</v>
      </c>
      <c r="R29" s="11"/>
      <c r="S29" s="32">
        <v>345</v>
      </c>
      <c r="T29" s="32">
        <v>345</v>
      </c>
      <c r="U29" s="11"/>
      <c r="V29" s="19">
        <v>345</v>
      </c>
      <c r="W29" s="19">
        <v>345</v>
      </c>
      <c r="X29" s="38">
        <v>345</v>
      </c>
      <c r="Y29" s="19">
        <v>345</v>
      </c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 spans="1:35" x14ac:dyDescent="0.4">
      <c r="A30" s="44"/>
      <c r="B30" s="11" t="s">
        <v>34</v>
      </c>
      <c r="C30" s="11">
        <v>6.5</v>
      </c>
      <c r="D30" s="11">
        <v>8.3000000000000007</v>
      </c>
      <c r="E30" s="11">
        <v>10.1</v>
      </c>
      <c r="F30" s="15"/>
      <c r="G30" s="15">
        <v>6.5</v>
      </c>
      <c r="H30" s="19">
        <v>6.9</v>
      </c>
      <c r="I30" s="19">
        <v>7.1</v>
      </c>
      <c r="J30" s="25">
        <v>7.3</v>
      </c>
      <c r="K30" s="15">
        <v>7.6</v>
      </c>
      <c r="L30" s="11"/>
      <c r="M30" s="11">
        <v>8.8000000000000007</v>
      </c>
      <c r="N30" s="11">
        <v>9</v>
      </c>
      <c r="O30" s="11">
        <v>9.1999999999999993</v>
      </c>
      <c r="P30" s="38">
        <v>9.4</v>
      </c>
      <c r="Q30" s="11">
        <v>9.6</v>
      </c>
      <c r="R30" s="11"/>
      <c r="S30" s="32">
        <v>9.4</v>
      </c>
      <c r="T30" s="32">
        <v>9.1</v>
      </c>
      <c r="U30" s="11"/>
      <c r="V30" s="19">
        <v>11</v>
      </c>
      <c r="W30" s="11">
        <v>11.1</v>
      </c>
      <c r="X30" s="38">
        <v>11.3</v>
      </c>
      <c r="Y30" s="11">
        <v>11.6</v>
      </c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 spans="1:35" x14ac:dyDescent="0.4">
      <c r="A31" s="44"/>
      <c r="B31" s="11" t="s">
        <v>35</v>
      </c>
      <c r="C31" s="11">
        <v>400</v>
      </c>
      <c r="D31" s="11">
        <v>400</v>
      </c>
      <c r="E31" s="11">
        <v>400</v>
      </c>
      <c r="F31" s="15"/>
      <c r="G31" s="15">
        <v>500</v>
      </c>
      <c r="H31" s="15">
        <v>500</v>
      </c>
      <c r="I31" s="15">
        <v>500</v>
      </c>
      <c r="J31" s="25">
        <v>500</v>
      </c>
      <c r="K31" s="15">
        <v>500</v>
      </c>
      <c r="L31" s="11"/>
      <c r="M31" s="11">
        <v>500</v>
      </c>
      <c r="N31" s="19">
        <v>500</v>
      </c>
      <c r="O31" s="19">
        <v>500</v>
      </c>
      <c r="P31" s="38">
        <v>500</v>
      </c>
      <c r="Q31" s="19">
        <v>500</v>
      </c>
      <c r="R31" s="11"/>
      <c r="S31" s="32">
        <v>500</v>
      </c>
      <c r="T31" s="32">
        <v>500</v>
      </c>
      <c r="U31" s="11"/>
      <c r="V31" s="19">
        <v>500</v>
      </c>
      <c r="W31" s="20">
        <v>500</v>
      </c>
      <c r="X31" s="38">
        <v>500</v>
      </c>
      <c r="Y31" s="20">
        <v>500</v>
      </c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 spans="1:35" x14ac:dyDescent="0.4">
      <c r="A32" s="44"/>
      <c r="B32" s="11" t="s">
        <v>36</v>
      </c>
      <c r="C32" s="12">
        <v>4000</v>
      </c>
      <c r="D32" s="12">
        <v>5000</v>
      </c>
      <c r="E32" s="12">
        <v>6000</v>
      </c>
      <c r="F32" s="12"/>
      <c r="G32" s="12">
        <v>4000</v>
      </c>
      <c r="H32" s="12">
        <v>4000</v>
      </c>
      <c r="I32" s="12">
        <v>4000</v>
      </c>
      <c r="J32" s="25">
        <v>4000</v>
      </c>
      <c r="K32" s="12">
        <v>4000</v>
      </c>
      <c r="L32" s="12"/>
      <c r="M32" s="12">
        <v>5000</v>
      </c>
      <c r="N32" s="12">
        <v>5000</v>
      </c>
      <c r="O32" s="12">
        <v>5000</v>
      </c>
      <c r="P32" s="39">
        <v>5000</v>
      </c>
      <c r="Q32" s="12">
        <v>5000</v>
      </c>
      <c r="R32" s="12"/>
      <c r="S32" s="25">
        <v>5000</v>
      </c>
      <c r="T32" s="25">
        <v>5000</v>
      </c>
      <c r="U32" s="12"/>
      <c r="V32" s="12">
        <v>6000</v>
      </c>
      <c r="W32" s="12">
        <v>6000</v>
      </c>
      <c r="X32" s="39">
        <v>6000</v>
      </c>
      <c r="Y32" s="12">
        <v>6000</v>
      </c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 spans="1:35" x14ac:dyDescent="0.4">
      <c r="A33" s="44"/>
      <c r="B33" s="11" t="s">
        <v>37</v>
      </c>
      <c r="C33" s="11">
        <v>277</v>
      </c>
      <c r="D33" s="11">
        <v>320</v>
      </c>
      <c r="E33" s="11">
        <v>440</v>
      </c>
      <c r="F33" s="15"/>
      <c r="G33" s="15">
        <v>570</v>
      </c>
      <c r="H33" s="19">
        <v>350</v>
      </c>
      <c r="I33" s="19">
        <v>287</v>
      </c>
      <c r="J33" s="25">
        <v>278</v>
      </c>
      <c r="K33" s="15">
        <v>270</v>
      </c>
      <c r="L33" s="11"/>
      <c r="M33" s="11">
        <v>576</v>
      </c>
      <c r="N33" s="11">
        <v>465</v>
      </c>
      <c r="O33" s="11">
        <v>380</v>
      </c>
      <c r="P33" s="38">
        <v>325</v>
      </c>
      <c r="Q33" s="11">
        <v>282</v>
      </c>
      <c r="R33" s="11"/>
      <c r="S33" s="32">
        <v>340</v>
      </c>
      <c r="T33" s="32">
        <v>435</v>
      </c>
      <c r="U33" s="11"/>
      <c r="V33" s="19">
        <v>576</v>
      </c>
      <c r="W33" s="11">
        <v>510</v>
      </c>
      <c r="X33" s="38">
        <v>446</v>
      </c>
      <c r="Y33" s="11">
        <v>380</v>
      </c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spans="1:35" ht="16.149999999999999" x14ac:dyDescent="0.4">
      <c r="A34" s="44"/>
      <c r="B34" s="11" t="s">
        <v>38</v>
      </c>
      <c r="C34" s="11">
        <v>81.8</v>
      </c>
      <c r="D34" s="11">
        <v>101.6</v>
      </c>
      <c r="E34" s="11">
        <v>121.2</v>
      </c>
      <c r="F34" s="15"/>
      <c r="G34" s="15">
        <v>140.19999999999999</v>
      </c>
      <c r="H34" s="19">
        <v>123.3</v>
      </c>
      <c r="I34" s="19">
        <v>117.2</v>
      </c>
      <c r="J34" s="25">
        <v>111.5</v>
      </c>
      <c r="K34" s="15">
        <v>103.8</v>
      </c>
      <c r="L34" s="11"/>
      <c r="M34" s="11">
        <v>154.19999999999999</v>
      </c>
      <c r="N34" s="11">
        <v>148.19999999999999</v>
      </c>
      <c r="O34" s="11">
        <v>140</v>
      </c>
      <c r="P34" s="38">
        <v>135.5</v>
      </c>
      <c r="Q34" s="11">
        <v>127.9</v>
      </c>
      <c r="R34" s="11"/>
      <c r="S34" s="32">
        <v>138.1</v>
      </c>
      <c r="T34" s="32">
        <v>144.4</v>
      </c>
      <c r="U34" s="11"/>
      <c r="V34" s="19">
        <v>164.5</v>
      </c>
      <c r="W34" s="11">
        <v>161.19999999999999</v>
      </c>
      <c r="X34" s="38">
        <v>157.80000000000001</v>
      </c>
      <c r="Y34" s="11">
        <v>152.9</v>
      </c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 spans="1:35" ht="16.149999999999999" x14ac:dyDescent="0.4">
      <c r="A35" s="44"/>
      <c r="B35" s="11" t="s">
        <v>39</v>
      </c>
      <c r="C35" s="11">
        <v>479.75200000000001</v>
      </c>
      <c r="D35" s="11">
        <v>481.98500000000001</v>
      </c>
      <c r="E35" s="11">
        <v>480.82799999999997</v>
      </c>
      <c r="F35" s="15"/>
      <c r="G35" s="15">
        <v>484.41300000000001</v>
      </c>
      <c r="H35" s="19">
        <v>482.44</v>
      </c>
      <c r="I35" s="19">
        <v>484.26499999999999</v>
      </c>
      <c r="J35" s="25">
        <v>483.37700000000001</v>
      </c>
      <c r="K35" s="15">
        <v>484.82499999999999</v>
      </c>
      <c r="L35" s="11"/>
      <c r="M35" s="11">
        <v>483.64699999999999</v>
      </c>
      <c r="N35" s="11">
        <v>482.46600000000001</v>
      </c>
      <c r="O35" s="11">
        <v>483.70400000000001</v>
      </c>
      <c r="P35" s="38">
        <v>482.62700000000001</v>
      </c>
      <c r="Q35" s="11">
        <v>481.47699999999998</v>
      </c>
      <c r="R35" s="11"/>
      <c r="S35" s="32">
        <v>481.654</v>
      </c>
      <c r="T35" s="32">
        <v>481.87400000000002</v>
      </c>
      <c r="U35" s="11"/>
      <c r="V35" s="19">
        <v>482.553</v>
      </c>
      <c r="W35" s="11">
        <v>482.39</v>
      </c>
      <c r="X35" s="38">
        <v>481.42500000000001</v>
      </c>
      <c r="Y35" s="11">
        <v>482.78</v>
      </c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spans="1:35" x14ac:dyDescent="0.4">
      <c r="A36" s="44"/>
      <c r="B36" s="11" t="s">
        <v>40</v>
      </c>
      <c r="C36" s="11">
        <v>45475.94</v>
      </c>
      <c r="D36" s="11">
        <v>4513.03</v>
      </c>
      <c r="E36" s="11">
        <v>4595.8599999999997</v>
      </c>
      <c r="F36" s="15"/>
      <c r="G36" s="15">
        <v>4516.99</v>
      </c>
      <c r="H36" s="19">
        <v>4514.43</v>
      </c>
      <c r="I36" s="19">
        <v>4518.92</v>
      </c>
      <c r="J36" s="25">
        <v>4530.1899999999996</v>
      </c>
      <c r="K36" s="15">
        <v>4518.33</v>
      </c>
      <c r="L36" s="11"/>
      <c r="M36" s="11">
        <v>4535.13</v>
      </c>
      <c r="N36" s="17">
        <v>4517.58</v>
      </c>
      <c r="O36" s="11">
        <v>4529.07</v>
      </c>
      <c r="P36" s="38">
        <v>4516.25</v>
      </c>
      <c r="Q36" s="11">
        <v>4531.62</v>
      </c>
      <c r="R36" s="11"/>
      <c r="S36" s="32">
        <v>4519.45</v>
      </c>
      <c r="T36" s="32">
        <v>4512.67</v>
      </c>
      <c r="U36" s="11"/>
      <c r="V36" s="19">
        <v>4528.0600000000004</v>
      </c>
      <c r="W36" s="11">
        <v>4535.33</v>
      </c>
      <c r="X36" s="38">
        <v>4530.53</v>
      </c>
      <c r="Y36" s="11">
        <v>4531.4799999999996</v>
      </c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spans="1:35" x14ac:dyDescent="0.4">
      <c r="A37" s="44"/>
      <c r="B37" s="11" t="s">
        <v>41</v>
      </c>
      <c r="C37" s="11">
        <v>2759.08</v>
      </c>
      <c r="D37" s="11">
        <v>3472.15</v>
      </c>
      <c r="E37" s="11">
        <v>3632.93</v>
      </c>
      <c r="F37" s="15"/>
      <c r="G37" s="15">
        <v>3057</v>
      </c>
      <c r="H37" s="19">
        <v>3369.06</v>
      </c>
      <c r="I37" s="19">
        <v>3484.29</v>
      </c>
      <c r="J37" s="25">
        <v>3585</v>
      </c>
      <c r="K37" s="15">
        <v>3677.12</v>
      </c>
      <c r="L37" s="11"/>
      <c r="M37" s="11">
        <v>3491.47</v>
      </c>
      <c r="N37" s="11">
        <v>3689.68</v>
      </c>
      <c r="O37" s="11">
        <v>3811</v>
      </c>
      <c r="P37" s="38">
        <v>3938.54</v>
      </c>
      <c r="Q37" s="11">
        <v>4003.18</v>
      </c>
      <c r="R37" s="11"/>
      <c r="S37" s="32">
        <v>3862.35</v>
      </c>
      <c r="T37" s="32">
        <v>3724.58</v>
      </c>
      <c r="U37" s="11"/>
      <c r="V37" s="19">
        <v>3908.44</v>
      </c>
      <c r="W37" s="11">
        <v>3976.58</v>
      </c>
      <c r="X37" s="38">
        <v>4167.16</v>
      </c>
      <c r="Y37" s="11">
        <v>4202.74</v>
      </c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spans="1:35" x14ac:dyDescent="0.4">
      <c r="A38" s="44"/>
      <c r="B38" s="11" t="s">
        <v>42</v>
      </c>
      <c r="C38" s="11">
        <f>C34/3600*([1]!Enthalpy("carbon dioxide","TP","SI",C16+273.15,C27)-[1]!Enthalpy("carbon dioxide","TP","SI",C13+273.15,C25))*1000</f>
        <v>3142.1302143093917</v>
      </c>
      <c r="D38" s="11">
        <f>D34/3600*([1]!Enthalpy("carbon dioxide","TP","SI",D16+273.15,D27)-[1]!Enthalpy("carbon dioxide","TP","SI",D13+273.15,D25))*1000</f>
        <v>3712.3635373097045</v>
      </c>
      <c r="E38" s="11">
        <f>E34/3600*([1]!Enthalpy("carbon dioxide","TP","SI",E16+273.15,E27)-[1]!Enthalpy("carbon dioxide","TP","SI",E13+273.15,E25))*1000</f>
        <v>4111.072956582022</v>
      </c>
      <c r="F38" s="15"/>
      <c r="G38" s="15">
        <f>G34/3600*([1]!Enthalpy("carbon dioxide","TP","SI",G16+273.15,G27)-[1]!Enthalpy("carbon dioxide","TP","SI",G13+273.15,G25))*1000</f>
        <v>3795.4948289445242</v>
      </c>
      <c r="H38" s="15">
        <f>H34/3600*([1]!Enthalpy("carbon dioxide","TP","SI",H16+273.15,H27)-[1]!Enthalpy("carbon dioxide","TP","SI",H13+273.15,H25))*1000</f>
        <v>3964.7766562401825</v>
      </c>
      <c r="I38" s="15">
        <f>I34/3600*([1]!Enthalpy("carbon dioxide","TP","SI",I16+273.15,I27)-[1]!Enthalpy("carbon dioxide","TP","SI",I13+273.15,I25))*1000</f>
        <v>4023.2639355037954</v>
      </c>
      <c r="J38" s="25">
        <f>J34/3600*([1]!Enthalpy("carbon dioxide","TP","SI",J16+273.15,J27)-[1]!Enthalpy("carbon dioxide","TP","SI",J13+273.15,J25))*1000</f>
        <v>4072.2786841792072</v>
      </c>
      <c r="K38" s="15">
        <f>K34/3600*([1]!Enthalpy("carbon dioxide","TP","SI",K16+273.15,K27)-[1]!Enthalpy("carbon dioxide","TP","SI",K13+273.15,K25))*1000</f>
        <v>4098.2389338234707</v>
      </c>
      <c r="L38" s="15" t="e">
        <f>L34/3600*([1]!Enthalpy("carbon dioxide","TP","SI",L16+273.15,L27)-[1]!Enthalpy("carbon dioxide","TP","SI",L13+273.15,L25))*1000</f>
        <v>#VALUE!</v>
      </c>
      <c r="M38" s="11">
        <f>M34/3600*([1]!Enthalpy("carbon dioxide","TP","SI",M16+273.15,M27)-[1]!Enthalpy("carbon dioxide","TP","SI",M13+273.15,M25))*1000</f>
        <v>4443.3340859952823</v>
      </c>
      <c r="N38" s="13">
        <f>N34/3600*([1]!Enthalpy("carbon dioxide","TP","SI",N16+273.15,N27)-[1]!Enthalpy("carbon dioxide","TP","SI",N13+273.15,N25))*1000</f>
        <v>4576.2441567202586</v>
      </c>
      <c r="O38" s="13">
        <f>O34/3600*([1]!Enthalpy("carbon dioxide","TP","SI",O16+273.15,O27)-[1]!Enthalpy("carbon dioxide","TP","SI",O13+273.15,O25))*1000</f>
        <v>4580.2748752882489</v>
      </c>
      <c r="P38" s="38">
        <f>P34/3600*([1]!Enthalpy("carbon dioxide","TP","SI",P16+273.15,P27)-[1]!Enthalpy("carbon dioxide","TP","SI",P13+273.15,P25))*1000</f>
        <v>4676.6305522039229</v>
      </c>
      <c r="Q38" s="13">
        <f>Q34/3600*([1]!Enthalpy("carbon dioxide","TP","SI",Q16+273.15,Q27)-[1]!Enthalpy("carbon dioxide","TP","SI",Q13+273.15,Q25))*1000</f>
        <v>4676.5699858513281</v>
      </c>
      <c r="R38" s="11"/>
      <c r="S38" s="32">
        <f>S34/3600*([1]!Enthalpy("carbon dioxide","TP","SI",S16+273.15,S27)-[1]!Enthalpy("carbon dioxide","TP","SI",S13+273.15,S25))*1000</f>
        <v>4519.7181416205494</v>
      </c>
      <c r="T38" s="32">
        <f>T34/3600*([1]!Enthalpy("carbon dioxide","TP","SI",T16+273.15,T27)-[1]!Enthalpy("carbon dioxide","TP","SI",T13+273.15,T25))*1000</f>
        <v>4472.4779839897428</v>
      </c>
      <c r="U38" s="11" t="e">
        <f>U34/3600*([1]!Enthalpy("carbon dioxide","TP","SI",U16+273.15,U27)-[1]!Enthalpy("carbon dioxide","TP","SI",U13+273.15,U25))*1000</f>
        <v>#VALUE!</v>
      </c>
      <c r="V38" s="19">
        <f>V34/3600*([1]!Enthalpy("carbon dioxide","TP","SI",V16+273.15,V27)-[1]!Enthalpy("carbon dioxide","TP","SI",V13+273.15,V25))*1000</f>
        <v>4981.7769103928849</v>
      </c>
      <c r="W38" s="19">
        <f>W34/3600*([1]!Enthalpy("carbon dioxide","TP","SI",W16+273.15,W27)-[1]!Enthalpy("carbon dioxide","TP","SI",W13+273.15,W25))*1000</f>
        <v>5054.3568027784668</v>
      </c>
      <c r="X38" s="38">
        <f>X34/3600*([1]!Enthalpy("carbon dioxide","TP","SI",X16+273.15,X27)-[1]!Enthalpy("carbon dioxide","TP","SI",X13+273.15,X25))*1000</f>
        <v>5149.0867873195602</v>
      </c>
      <c r="Y38" s="19">
        <f>Y34/3600*([1]!Enthalpy("carbon dioxide","TP","SI",Y16+273.15,Y27)-[1]!Enthalpy("carbon dioxide","TP","SI",Y13+273.15,Y25))*1000</f>
        <v>5136.792446239032</v>
      </c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spans="1:35" x14ac:dyDescent="0.4">
      <c r="A39" s="44"/>
      <c r="B39" s="11" t="s">
        <v>43</v>
      </c>
      <c r="C39" s="11"/>
      <c r="D39" s="11"/>
      <c r="E39" s="11"/>
      <c r="F39" s="15"/>
      <c r="G39" s="15"/>
      <c r="H39" s="15"/>
      <c r="I39" s="15"/>
      <c r="J39" s="25"/>
      <c r="K39" s="15"/>
      <c r="L39" s="11"/>
      <c r="M39" s="11"/>
      <c r="N39" s="11"/>
      <c r="O39" s="11"/>
      <c r="P39" s="38"/>
      <c r="Q39" s="11"/>
      <c r="R39" s="11"/>
      <c r="S39" s="32"/>
      <c r="T39" s="32"/>
      <c r="U39" s="11"/>
      <c r="V39" s="19"/>
      <c r="W39" s="11"/>
      <c r="X39" s="38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 spans="1:35" x14ac:dyDescent="0.4">
      <c r="A40" s="44"/>
      <c r="B40" s="11" t="s">
        <v>44</v>
      </c>
      <c r="C40" s="11">
        <f t="shared" ref="C40:T40" si="0">C29*C30</f>
        <v>2242.5</v>
      </c>
      <c r="D40" s="11">
        <f t="shared" si="0"/>
        <v>2863.5000000000005</v>
      </c>
      <c r="E40" s="11">
        <f t="shared" si="0"/>
        <v>3484.5</v>
      </c>
      <c r="F40" s="15"/>
      <c r="G40" s="15">
        <f t="shared" ref="G40:K40" si="1">G29*G30</f>
        <v>2242.5</v>
      </c>
      <c r="H40" s="15">
        <f t="shared" si="1"/>
        <v>2380.5</v>
      </c>
      <c r="I40" s="15">
        <f t="shared" si="1"/>
        <v>2449.5</v>
      </c>
      <c r="J40" s="25">
        <f t="shared" si="1"/>
        <v>2518.5</v>
      </c>
      <c r="K40" s="15">
        <f t="shared" si="1"/>
        <v>2622</v>
      </c>
      <c r="L40" s="13"/>
      <c r="M40" s="11">
        <f t="shared" si="0"/>
        <v>3036.0000000000005</v>
      </c>
      <c r="N40" s="13">
        <f t="shared" si="0"/>
        <v>3105</v>
      </c>
      <c r="O40" s="13">
        <f t="shared" si="0"/>
        <v>3173.9999999999995</v>
      </c>
      <c r="P40" s="38">
        <f t="shared" si="0"/>
        <v>3243</v>
      </c>
      <c r="Q40" s="13">
        <f t="shared" si="0"/>
        <v>3312</v>
      </c>
      <c r="R40" s="11"/>
      <c r="S40" s="32">
        <f t="shared" si="0"/>
        <v>3243</v>
      </c>
      <c r="T40" s="32">
        <f t="shared" si="0"/>
        <v>3139.5</v>
      </c>
      <c r="U40" s="11"/>
      <c r="V40" s="19">
        <f t="shared" ref="V40:Y40" si="2">V29*V30</f>
        <v>3795</v>
      </c>
      <c r="W40" s="19">
        <f t="shared" si="2"/>
        <v>3829.5</v>
      </c>
      <c r="X40" s="38">
        <f t="shared" si="2"/>
        <v>3898.5000000000005</v>
      </c>
      <c r="Y40" s="19">
        <f t="shared" si="2"/>
        <v>4002</v>
      </c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 spans="1:35" x14ac:dyDescent="0.4">
      <c r="A41" s="44"/>
      <c r="B41" s="11" t="s">
        <v>45</v>
      </c>
      <c r="C41" s="11"/>
      <c r="D41" s="11"/>
      <c r="E41" s="11"/>
      <c r="F41" s="15"/>
      <c r="G41" s="15"/>
      <c r="H41" s="15"/>
      <c r="I41" s="15"/>
      <c r="J41" s="25"/>
      <c r="K41" s="15"/>
      <c r="L41" s="11"/>
      <c r="M41" s="11"/>
      <c r="N41" s="11"/>
      <c r="O41" s="11"/>
      <c r="P41" s="38"/>
      <c r="Q41" s="11"/>
      <c r="R41" s="11"/>
      <c r="S41" s="32"/>
      <c r="T41" s="32"/>
      <c r="U41" s="11"/>
      <c r="V41" s="19"/>
      <c r="W41" s="11"/>
      <c r="X41" s="38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 spans="1:35" x14ac:dyDescent="0.4">
      <c r="A42" s="44"/>
      <c r="B42" s="11" t="s">
        <v>46</v>
      </c>
      <c r="C42" s="11">
        <f>C37/C40</f>
        <v>1.2303589743589742</v>
      </c>
      <c r="D42" s="11">
        <f t="shared" ref="D42:T42" si="3">D37/D40</f>
        <v>1.2125545660904486</v>
      </c>
      <c r="E42" s="11">
        <f t="shared" si="3"/>
        <v>1.0425972162433634</v>
      </c>
      <c r="F42" s="15"/>
      <c r="G42" s="15">
        <f t="shared" ref="G42:K42" si="4">G37/G40</f>
        <v>1.3632107023411371</v>
      </c>
      <c r="H42" s="15">
        <f t="shared" si="4"/>
        <v>1.4152741020793951</v>
      </c>
      <c r="I42" s="15">
        <f t="shared" si="4"/>
        <v>1.4224494794856093</v>
      </c>
      <c r="J42" s="25">
        <f t="shared" si="4"/>
        <v>1.4234663490172721</v>
      </c>
      <c r="K42" s="15">
        <f t="shared" si="4"/>
        <v>1.402410373760488</v>
      </c>
      <c r="L42" s="13"/>
      <c r="M42" s="11">
        <f t="shared" ref="M42:Q42" si="5">M37/M40</f>
        <v>1.1500230566534912</v>
      </c>
      <c r="N42" s="13">
        <f t="shared" si="5"/>
        <v>1.1883027375201287</v>
      </c>
      <c r="O42" s="13">
        <f t="shared" si="5"/>
        <v>1.2006931316950222</v>
      </c>
      <c r="P42" s="38">
        <f t="shared" si="5"/>
        <v>1.2144742522355843</v>
      </c>
      <c r="Q42" s="13">
        <f t="shared" si="5"/>
        <v>1.2086896135265699</v>
      </c>
      <c r="R42" s="11"/>
      <c r="S42" s="32">
        <f t="shared" si="3"/>
        <v>1.1909805735430157</v>
      </c>
      <c r="T42" s="32">
        <f t="shared" si="3"/>
        <v>1.1863608854913203</v>
      </c>
      <c r="U42" s="11"/>
      <c r="V42" s="19">
        <f t="shared" ref="V42:Y42" si="6">V37/V40</f>
        <v>1.0298919631093544</v>
      </c>
      <c r="W42" s="19">
        <f t="shared" si="6"/>
        <v>1.0384071027549289</v>
      </c>
      <c r="X42" s="38">
        <f t="shared" si="6"/>
        <v>1.0689136847505449</v>
      </c>
      <c r="Y42" s="19">
        <f t="shared" si="6"/>
        <v>1.05015992003998</v>
      </c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 spans="1:35" x14ac:dyDescent="0.4">
      <c r="A43" s="44"/>
      <c r="B43" s="11" t="s">
        <v>47</v>
      </c>
      <c r="C43" s="11">
        <f>C38/C40</f>
        <v>1.4011728937834522</v>
      </c>
      <c r="D43" s="11">
        <f t="shared" ref="D43:T43" si="7">D38/D40</f>
        <v>1.2964426531551263</v>
      </c>
      <c r="E43" s="11">
        <f t="shared" si="7"/>
        <v>1.1798171779543756</v>
      </c>
      <c r="F43" s="15"/>
      <c r="G43" s="15">
        <f t="shared" si="7"/>
        <v>1.6925283518147265</v>
      </c>
      <c r="H43" s="15">
        <f t="shared" si="7"/>
        <v>1.6655226449234122</v>
      </c>
      <c r="I43" s="15">
        <f t="shared" si="7"/>
        <v>1.6424837458680528</v>
      </c>
      <c r="J43" s="25">
        <f t="shared" si="7"/>
        <v>1.6169460727334553</v>
      </c>
      <c r="K43" s="15">
        <f t="shared" si="7"/>
        <v>1.5630201883384709</v>
      </c>
      <c r="L43" s="11"/>
      <c r="M43" s="11">
        <f t="shared" ref="M43:Q43" si="8">M38/M40</f>
        <v>1.4635487766782878</v>
      </c>
      <c r="N43" s="13">
        <f t="shared" si="8"/>
        <v>1.4738306462867177</v>
      </c>
      <c r="O43" s="13">
        <f t="shared" si="8"/>
        <v>1.4430607672615783</v>
      </c>
      <c r="P43" s="38">
        <f t="shared" si="8"/>
        <v>1.4420692421227022</v>
      </c>
      <c r="Q43" s="13">
        <f t="shared" si="8"/>
        <v>1.4120078459696039</v>
      </c>
      <c r="R43" s="11"/>
      <c r="S43" s="32">
        <f t="shared" si="7"/>
        <v>1.3936842866545018</v>
      </c>
      <c r="T43" s="32">
        <f t="shared" si="7"/>
        <v>1.4245828902658839</v>
      </c>
      <c r="U43" s="11"/>
      <c r="V43" s="19">
        <f t="shared" ref="V43:Y43" si="9">V38/V40</f>
        <v>1.3127211885093242</v>
      </c>
      <c r="W43" s="19">
        <f t="shared" si="9"/>
        <v>1.3198477093036862</v>
      </c>
      <c r="X43" s="38">
        <f t="shared" si="9"/>
        <v>1.3207866582838423</v>
      </c>
      <c r="Y43" s="19">
        <f t="shared" si="9"/>
        <v>1.2835563333930615</v>
      </c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1:35" x14ac:dyDescent="0.4">
      <c r="A44" s="44"/>
      <c r="B44" s="11" t="s">
        <v>48</v>
      </c>
      <c r="C44" s="11"/>
      <c r="D44" s="11"/>
      <c r="E44" s="11"/>
      <c r="F44" s="15"/>
      <c r="G44" s="15"/>
      <c r="H44" s="15"/>
      <c r="I44" s="15"/>
      <c r="J44" s="25"/>
      <c r="K44" s="15"/>
      <c r="L44" s="11"/>
      <c r="M44" s="11"/>
      <c r="N44" s="11"/>
      <c r="O44" s="11"/>
      <c r="P44" s="38"/>
      <c r="Q44" s="11"/>
      <c r="R44" s="11"/>
      <c r="S44" s="32"/>
      <c r="T44" s="32"/>
      <c r="U44" s="11"/>
      <c r="V44" s="19"/>
      <c r="W44" s="11"/>
      <c r="X44" s="38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 x14ac:dyDescent="0.4">
      <c r="A45" s="44"/>
      <c r="B45" s="11" t="s">
        <v>49</v>
      </c>
      <c r="C45" s="11">
        <v>14.07</v>
      </c>
      <c r="D45" s="11">
        <v>12.33</v>
      </c>
      <c r="E45" s="11">
        <v>11.58</v>
      </c>
      <c r="F45" s="15"/>
      <c r="G45" s="15">
        <v>13.33</v>
      </c>
      <c r="H45" s="19">
        <v>12.45</v>
      </c>
      <c r="I45" s="19">
        <v>12.18</v>
      </c>
      <c r="J45" s="25">
        <v>11.9</v>
      </c>
      <c r="K45" s="15">
        <v>11.67</v>
      </c>
      <c r="L45" s="11"/>
      <c r="M45" s="11">
        <v>12.11</v>
      </c>
      <c r="N45" s="11">
        <v>11.59</v>
      </c>
      <c r="O45" s="11">
        <v>11.27</v>
      </c>
      <c r="P45" s="38">
        <v>10.99</v>
      </c>
      <c r="Q45" s="11">
        <v>10.77</v>
      </c>
      <c r="R45" s="11"/>
      <c r="S45" s="32">
        <v>11.33</v>
      </c>
      <c r="T45" s="32">
        <v>11.62</v>
      </c>
      <c r="U45" s="11"/>
      <c r="V45" s="19">
        <v>11.06</v>
      </c>
      <c r="W45" s="11">
        <v>10.84</v>
      </c>
      <c r="X45" s="38">
        <v>10.52</v>
      </c>
      <c r="Y45" s="11">
        <v>10.23</v>
      </c>
      <c r="Z45" s="11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35" x14ac:dyDescent="0.4">
      <c r="A46" s="44"/>
      <c r="B46" s="11" t="s">
        <v>50</v>
      </c>
      <c r="C46" s="11">
        <v>13.62</v>
      </c>
      <c r="D46" s="11">
        <v>11.87</v>
      </c>
      <c r="E46" s="11">
        <v>11.44</v>
      </c>
      <c r="F46" s="15"/>
      <c r="G46" s="15">
        <v>12.88</v>
      </c>
      <c r="H46" s="19">
        <v>12.12</v>
      </c>
      <c r="I46" s="19">
        <v>11.86</v>
      </c>
      <c r="J46" s="25">
        <v>11.62</v>
      </c>
      <c r="K46" s="15">
        <v>11.41</v>
      </c>
      <c r="L46" s="11"/>
      <c r="M46" s="11">
        <v>11.84</v>
      </c>
      <c r="N46" s="11">
        <v>11.31</v>
      </c>
      <c r="O46" s="11">
        <v>11</v>
      </c>
      <c r="P46" s="38">
        <v>10.71</v>
      </c>
      <c r="Q46" s="11">
        <v>10.53</v>
      </c>
      <c r="R46" s="11"/>
      <c r="S46" s="32">
        <v>10.88</v>
      </c>
      <c r="T46" s="32">
        <v>11.23</v>
      </c>
      <c r="U46" s="11"/>
      <c r="V46" s="19">
        <v>10.76</v>
      </c>
      <c r="W46" s="11">
        <v>10.6</v>
      </c>
      <c r="X46" s="38">
        <v>10.29</v>
      </c>
      <c r="Y46" s="11">
        <v>10.02</v>
      </c>
      <c r="Z46" s="11"/>
      <c r="AA46" s="11"/>
      <c r="AB46" s="11"/>
      <c r="AC46" s="11"/>
      <c r="AD46" s="11"/>
      <c r="AE46" s="11"/>
      <c r="AF46" s="11"/>
      <c r="AG46" s="11"/>
      <c r="AH46" s="11"/>
      <c r="AI46" s="11"/>
    </row>
    <row r="47" spans="1:35" x14ac:dyDescent="0.4">
      <c r="A47" s="44"/>
      <c r="B47" s="11" t="s">
        <v>51</v>
      </c>
      <c r="C47" s="11">
        <v>39.450000000000003</v>
      </c>
      <c r="D47" s="11">
        <v>46.11</v>
      </c>
      <c r="E47" s="11">
        <v>46.64</v>
      </c>
      <c r="F47" s="15"/>
      <c r="G47" s="15">
        <v>45.19</v>
      </c>
      <c r="H47" s="19">
        <v>45.59</v>
      </c>
      <c r="I47" s="19">
        <v>45.7</v>
      </c>
      <c r="J47" s="25">
        <v>45.82</v>
      </c>
      <c r="K47" s="15">
        <v>45.9</v>
      </c>
      <c r="L47" s="11"/>
      <c r="M47" s="11">
        <v>46.12</v>
      </c>
      <c r="N47" s="11">
        <v>46.3</v>
      </c>
      <c r="O47" s="11">
        <v>46.53</v>
      </c>
      <c r="P47" s="38">
        <v>46.62</v>
      </c>
      <c r="Q47" s="11">
        <v>46.75</v>
      </c>
      <c r="R47" s="11"/>
      <c r="S47" s="32">
        <v>46.73</v>
      </c>
      <c r="T47" s="32">
        <v>46.5</v>
      </c>
      <c r="U47" s="11"/>
      <c r="V47" s="19">
        <v>47.01</v>
      </c>
      <c r="W47" s="11">
        <v>47.15</v>
      </c>
      <c r="X47" s="38">
        <v>47.21</v>
      </c>
      <c r="Y47" s="11">
        <v>47.4</v>
      </c>
      <c r="Z47" s="11"/>
      <c r="AA47" s="11"/>
      <c r="AB47" s="11"/>
      <c r="AC47" s="11"/>
      <c r="AD47" s="11"/>
      <c r="AE47" s="11"/>
      <c r="AF47" s="11"/>
      <c r="AG47" s="11"/>
      <c r="AH47" s="11"/>
      <c r="AI47" s="11"/>
    </row>
    <row r="48" spans="1:35" x14ac:dyDescent="0.4">
      <c r="A48" s="44"/>
      <c r="B48" s="11" t="s">
        <v>52</v>
      </c>
      <c r="C48" s="11">
        <v>34.96</v>
      </c>
      <c r="D48" s="11">
        <v>36.78</v>
      </c>
      <c r="E48" s="11">
        <v>37.659999999999997</v>
      </c>
      <c r="F48" s="15"/>
      <c r="G48" s="15">
        <v>33.590000000000003</v>
      </c>
      <c r="H48" s="19">
        <v>34.409999999999997</v>
      </c>
      <c r="I48" s="19">
        <v>33.89</v>
      </c>
      <c r="J48" s="25">
        <v>34.03</v>
      </c>
      <c r="K48" s="15">
        <v>33.65</v>
      </c>
      <c r="L48" s="11"/>
      <c r="M48" s="11">
        <v>33.99</v>
      </c>
      <c r="N48" s="11">
        <v>33.75</v>
      </c>
      <c r="O48" s="11">
        <v>33.92</v>
      </c>
      <c r="P48" s="38">
        <v>33.880000000000003</v>
      </c>
      <c r="Q48" s="11">
        <v>34.020000000000003</v>
      </c>
      <c r="R48" s="11"/>
      <c r="S48" s="32">
        <v>36.1</v>
      </c>
      <c r="T48" s="32">
        <v>34.590000000000003</v>
      </c>
      <c r="U48" s="11"/>
      <c r="V48" s="19">
        <v>33.85</v>
      </c>
      <c r="W48" s="11">
        <v>33.950000000000003</v>
      </c>
      <c r="X48" s="38">
        <v>34.11</v>
      </c>
      <c r="Y48" s="11">
        <v>34.25</v>
      </c>
      <c r="Z48" s="11"/>
      <c r="AA48" s="11"/>
      <c r="AB48" s="11"/>
      <c r="AC48" s="11"/>
      <c r="AD48" s="11"/>
      <c r="AE48" s="11"/>
      <c r="AF48" s="11"/>
      <c r="AG48" s="11"/>
      <c r="AH48" s="11"/>
      <c r="AI48" s="11"/>
    </row>
    <row r="49" spans="1:35" x14ac:dyDescent="0.4">
      <c r="A49" s="44"/>
      <c r="B49" s="11" t="s">
        <v>53</v>
      </c>
      <c r="C49" s="11">
        <f>C37/C38</f>
        <v>0.87809218963460989</v>
      </c>
      <c r="D49" s="11">
        <f t="shared" ref="D49:E49" si="10">D37/D38</f>
        <v>0.93529363843397095</v>
      </c>
      <c r="E49" s="11">
        <f t="shared" si="10"/>
        <v>0.88369387708955816</v>
      </c>
      <c r="F49" s="15"/>
      <c r="G49" s="15">
        <f t="shared" ref="G49:K49" si="11">G37/G38</f>
        <v>0.80542857724037797</v>
      </c>
      <c r="H49" s="15">
        <f t="shared" si="11"/>
        <v>0.84974773918158009</v>
      </c>
      <c r="I49" s="15">
        <f t="shared" si="11"/>
        <v>0.86603565061999721</v>
      </c>
      <c r="J49" s="25">
        <f t="shared" si="11"/>
        <v>0.88034250060726849</v>
      </c>
      <c r="K49" s="15">
        <f t="shared" si="11"/>
        <v>0.89724392827663024</v>
      </c>
      <c r="L49" s="11"/>
      <c r="M49" s="11">
        <f t="shared" ref="M49:T49" si="12">M37/M38</f>
        <v>0.78577706119478741</v>
      </c>
      <c r="N49" s="11">
        <f t="shared" si="12"/>
        <v>0.80626816962588621</v>
      </c>
      <c r="O49" s="11">
        <f t="shared" si="12"/>
        <v>0.8320461334234146</v>
      </c>
      <c r="P49" s="38">
        <f t="shared" si="12"/>
        <v>0.84217471447341763</v>
      </c>
      <c r="Q49" s="19">
        <f t="shared" si="12"/>
        <v>0.85600771764591832</v>
      </c>
      <c r="R49" s="11"/>
      <c r="S49" s="32">
        <f t="shared" si="12"/>
        <v>0.85455550080278908</v>
      </c>
      <c r="T49" s="32">
        <f t="shared" si="12"/>
        <v>0.83277771591788385</v>
      </c>
      <c r="U49" s="11"/>
      <c r="V49" s="19">
        <f t="shared" ref="V49:Y49" si="13">V37/V38</f>
        <v>0.78454737542467823</v>
      </c>
      <c r="W49" s="19">
        <f t="shared" si="13"/>
        <v>0.78676281773657242</v>
      </c>
      <c r="X49" s="38">
        <f t="shared" si="13"/>
        <v>0.80930078907628622</v>
      </c>
      <c r="Y49" s="19">
        <f t="shared" si="13"/>
        <v>0.81816426183952384</v>
      </c>
      <c r="Z49" s="11"/>
      <c r="AA49" s="11"/>
      <c r="AB49" s="11"/>
      <c r="AC49" s="11"/>
      <c r="AD49" s="11"/>
      <c r="AE49" s="11"/>
      <c r="AF49" s="11"/>
      <c r="AG49" s="11"/>
      <c r="AH49" s="11"/>
      <c r="AI49" s="11"/>
    </row>
    <row r="50" spans="1:35" x14ac:dyDescent="0.4">
      <c r="A50" s="44"/>
      <c r="B50" s="11" t="s">
        <v>54</v>
      </c>
      <c r="C50" s="11">
        <f>C34/3600*([1]!Enthalpy("carbon dioxide","TP","SI",C8+273.15,C22)-[1]!Enthalpy("carbon dioxide","TP","SI",C7+273.15,C21))*1000</f>
        <v>1948.9467253306786</v>
      </c>
      <c r="D50" s="11">
        <f>D34/3600*([1]!Enthalpy("carbon dioxide","TP","SI",D8+273.15,D22)-[1]!Enthalpy("carbon dioxide","TP","SI",D7+273.15,D21))*1000</f>
        <v>2523.1309606807163</v>
      </c>
      <c r="E50" s="11">
        <f>E34/3600*([1]!Enthalpy("carbon dioxide","TP","SI",E8+273.15,E22)-[1]!Enthalpy("carbon dioxide","TP","SI",E7+273.15,E21))*1000</f>
        <v>3073.134337868566</v>
      </c>
      <c r="F50" s="15"/>
      <c r="G50" s="15">
        <f>G34/3600*([1]!Enthalpy("carbon dioxide","TP","SI",G8+273.15,G22)-[1]!Enthalpy("carbon dioxide","TP","SI",G7+273.15,G21))*1000</f>
        <v>1822.6611211264794</v>
      </c>
      <c r="H50" s="15">
        <f>H34/3600*([1]!Enthalpy("carbon dioxide","TP","SI",H8+273.15,H22)-[1]!Enthalpy("carbon dioxide","TP","SI",H7+273.15,H21))*1000</f>
        <v>2024.4607533856911</v>
      </c>
      <c r="I50" s="15">
        <f>I34/3600*([1]!Enthalpy("carbon dioxide","TP","SI",I8+273.15,I22)-[1]!Enthalpy("carbon dioxide","TP","SI",I7+273.15,I21))*1000</f>
        <v>2089.3007544753455</v>
      </c>
      <c r="J50" s="25">
        <f>J34/3600*([1]!Enthalpy("carbon dioxide","TP","SI",J8+273.15,J22)-[1]!Enthalpy("carbon dioxide","TP","SI",J7+273.15,J21))*1000</f>
        <v>2169.1452194470321</v>
      </c>
      <c r="K50" s="15">
        <f>K34/3600*([1]!Enthalpy("carbon dioxide","TP","SI",K8+273.15,K22)-[1]!Enthalpy("carbon dioxide","TP","SI",K7+273.15,K21))*1000</f>
        <v>2342.2250922560738</v>
      </c>
      <c r="L50" s="11"/>
      <c r="M50" s="11">
        <f>M34/3600*([1]!Enthalpy("carbon dioxide","TP","SI",M8+273.15,M22)-[1]!Enthalpy("carbon dioxide","TP","SI",M7+273.15,M21))*1000</f>
        <v>2427.3288490511682</v>
      </c>
      <c r="N50" s="11">
        <f>N34/3600*([1]!Enthalpy("carbon dioxide","TP","SI",N8+273.15,N22)-[1]!Enthalpy("carbon dioxide","TP","SI",N7+273.15,N21))*1000</f>
        <v>2522.5103045707274</v>
      </c>
      <c r="O50" s="11">
        <f>O34/3600*([1]!Enthalpy("carbon dioxide","TP","SI",O8+273.15,O22)-[1]!Enthalpy("carbon dioxide","TP","SI",O7+273.15,O21))*1000</f>
        <v>2617.9386041560992</v>
      </c>
      <c r="P50" s="38">
        <f>P34/3600*([1]!Enthalpy("carbon dioxide","TP","SI",P8+273.15,P22)-[1]!Enthalpy("carbon dioxide","TP","SI",P7+273.15,P21))*1000</f>
        <v>2742.4201893523159</v>
      </c>
      <c r="Q50" s="19">
        <f>Q34/3600*([1]!Enthalpy("carbon dioxide","TP","SI",Q8+273.15,Q22)-[1]!Enthalpy("carbon dioxide","TP","SI",Q7+273.15,Q21))*1000</f>
        <v>2863.361667948509</v>
      </c>
      <c r="R50" s="11"/>
      <c r="S50" s="32">
        <f>S34/3600*([1]!Enthalpy("carbon dioxide","TP","SI",S8+273.15,S22)-[1]!Enthalpy("carbon dioxide","TP","SI",S7+273.15,S21))*1000</f>
        <v>2715.2372056287304</v>
      </c>
      <c r="T50" s="32">
        <f>T34/3600*([1]!Enthalpy("carbon dioxide","TP","SI",T8+273.15,T22)-[1]!Enthalpy("carbon dioxide","TP","SI",T7+273.15,T21))*1000</f>
        <v>2572.5424399079902</v>
      </c>
      <c r="U50" s="11"/>
      <c r="V50" s="19">
        <f>V34/3600*([1]!Enthalpy("carbon dioxide","TP","SI",V8+273.15,V22)-[1]!Enthalpy("carbon dioxide","TP","SI",V7+273.15,V21))*1000</f>
        <v>3038.6956257654797</v>
      </c>
      <c r="W50" s="19">
        <f>W34/3600*([1]!Enthalpy("carbon dioxide","TP","SI",W8+273.15,W22)-[1]!Enthalpy("carbon dioxide","TP","SI",W7+273.15,W21))*1000</f>
        <v>3110.1333896907217</v>
      </c>
      <c r="X50" s="38">
        <f>X34/3600*([1]!Enthalpy("carbon dioxide","TP","SI",X8+273.15,X22)-[1]!Enthalpy("carbon dioxide","TP","SI",X7+273.15,X21))*1000</f>
        <v>3186.7126916714346</v>
      </c>
      <c r="Y50" s="19">
        <f>Y34/3600*([1]!Enthalpy("carbon dioxide","TP","SI",Y8+273.15,Y22)-[1]!Enthalpy("carbon dioxide","TP","SI",Y7+273.15,Y21))*1000</f>
        <v>3305.3467198554104</v>
      </c>
      <c r="Z50" s="11"/>
      <c r="AA50" s="11"/>
      <c r="AB50" s="11"/>
      <c r="AC50" s="11"/>
      <c r="AD50" s="11"/>
      <c r="AE50" s="11"/>
      <c r="AF50" s="11"/>
      <c r="AG50" s="11"/>
      <c r="AH50" s="11"/>
      <c r="AI50" s="11"/>
    </row>
    <row r="51" spans="1:35" x14ac:dyDescent="0.4">
      <c r="A51" s="44"/>
      <c r="B51" s="11" t="s">
        <v>55</v>
      </c>
      <c r="C51" s="11">
        <f>C34/3600*1000*([1]!Enthalpy("carbon dioxide","PS","SI",C22,[1]!Entropy("carbon dioxide","TP","SI",C7+273.15,C21))-[1]!Enthalpy("carbon dioxide","TP","SI",C7+273.15,C21))</f>
        <v>1303.9906778370323</v>
      </c>
      <c r="D51" s="11">
        <f>D34/3600*1000*([1]!Enthalpy("carbon dioxide","PS","SI",D22,[1]!Entropy("carbon dioxide","TP","SI",D7+273.15,D21))-[1]!Enthalpy("carbon dioxide","TP","SI",D7+273.15,D21))</f>
        <v>1657.5309331221488</v>
      </c>
      <c r="E51" s="11">
        <f>E34/3600*1000*([1]!Enthalpy("carbon dioxide","PS","SI",E22,[1]!Entropy("carbon dioxide","TP","SI",E7+273.15,E21))-[1]!Enthalpy("carbon dioxide","TP","SI",E7+273.15,E21))</f>
        <v>1988.5639925298099</v>
      </c>
      <c r="F51" s="15"/>
      <c r="G51" s="15">
        <f>G34/3600*1000*([1]!Enthalpy("carbon dioxide","PS","SI",G22,[1]!Entropy("carbon dioxide","TP","SI",G7+273.15,G21))-[1]!Enthalpy("carbon dioxide","TP","SI",G7+273.15,G21))</f>
        <v>1459.9416520349605</v>
      </c>
      <c r="H51" s="15">
        <f>H34/3600*1000*([1]!Enthalpy("carbon dioxide","PS","SI",H22,[1]!Entropy("carbon dioxide","TP","SI",H7+273.15,H21))-[1]!Enthalpy("carbon dioxide","TP","SI",H7+273.15,H21))</f>
        <v>1457.9012572550932</v>
      </c>
      <c r="I51" s="15">
        <f>I34/3600*1000*([1]!Enthalpy("carbon dioxide","PS","SI",I22,[1]!Entropy("carbon dioxide","TP","SI",I7+273.15,I21))-[1]!Enthalpy("carbon dioxide","TP","SI",I7+273.15,I21))</f>
        <v>1458.4272169140343</v>
      </c>
      <c r="J51" s="25">
        <f>J34/3600*1000*([1]!Enthalpy("carbon dioxide","PS","SI",J22,[1]!Entropy("carbon dioxide","TP","SI",J7+273.15,J21))-[1]!Enthalpy("carbon dioxide","TP","SI",J7+273.15,J21))</f>
        <v>1470.7214674407489</v>
      </c>
      <c r="K51" s="15">
        <f>K34/3600*1000*([1]!Enthalpy("carbon dioxide","PS","SI",K22,[1]!Entropy("carbon dioxide","TP","SI",K7+273.15,K21))-[1]!Enthalpy("carbon dioxide","TP","SI",K7+273.15,K21))</f>
        <v>1491.5549499658098</v>
      </c>
      <c r="L51" s="11"/>
      <c r="M51" s="11">
        <f>M34/3600*1000*([1]!Enthalpy("carbon dioxide","PS","SI",M22,[1]!Entropy("carbon dioxide","TP","SI",M7+273.15,M21))-[1]!Enthalpy("carbon dioxide","TP","SI",M7+273.15,M21))</f>
        <v>1886.0996898485787</v>
      </c>
      <c r="N51" s="11">
        <f>N34/3600*1000*([1]!Enthalpy("carbon dioxide","PS","SI",N22,[1]!Entropy("carbon dioxide","TP","SI",N7+273.15,N21))-[1]!Enthalpy("carbon dioxide","TP","SI",N7+273.15,N21))</f>
        <v>1908.1459037212237</v>
      </c>
      <c r="O51" s="11">
        <f>O34/3600*1000*([1]!Enthalpy("carbon dioxide","PS","SI",O22,[1]!Entropy("carbon dioxide","TP","SI",O7+273.15,O21))-[1]!Enthalpy("carbon dioxide","TP","SI",O7+273.15,O21))</f>
        <v>1876.1718841601232</v>
      </c>
      <c r="P51" s="38">
        <f>P34/3600*1000*([1]!Enthalpy("carbon dioxide","PS","SI",P22,[1]!Entropy("carbon dioxide","TP","SI",P7+273.15,P21))-[1]!Enthalpy("carbon dioxide","TP","SI",P7+273.15,P21))</f>
        <v>1874.6831451693283</v>
      </c>
      <c r="Q51" s="19">
        <f>Q34/3600*1000*([1]!Enthalpy("carbon dioxide","PS","SI",Q22,[1]!Entropy("carbon dioxide","TP","SI",Q7+273.15,Q21))-[1]!Enthalpy("carbon dioxide","TP","SI",Q7+273.15,Q21))</f>
        <v>1845.1428252355263</v>
      </c>
      <c r="R51" s="11"/>
      <c r="S51" s="32">
        <f>S34/3600*1000*([1]!Enthalpy("carbon dioxide","PS","SI",S22,[1]!Entropy("carbon dioxide","TP","SI",S7+273.15,S21))-[1]!Enthalpy("carbon dioxide","TP","SI",S7+273.15,S21))</f>
        <v>1870.8013329600999</v>
      </c>
      <c r="T51" s="32">
        <f>T34/3600*1000*([1]!Enthalpy("carbon dioxide","PS","SI",T22,[1]!Entropy("carbon dioxide","TP","SI",T7+273.15,T21))-[1]!Enthalpy("carbon dioxide","TP","SI",T7+273.15,T21))</f>
        <v>1864.4493383934384</v>
      </c>
      <c r="U51" s="11"/>
      <c r="V51" s="19">
        <f>V34/3600*1000*([1]!Enthalpy("carbon dioxide","PS","SI",V22,[1]!Entropy("carbon dioxide","TP","SI",V7+273.15,V21))-[1]!Enthalpy("carbon dioxide","TP","SI",V7+273.15,V21))</f>
        <v>2269.148387705799</v>
      </c>
      <c r="W51" s="19">
        <f>W34/3600*1000*([1]!Enthalpy("carbon dioxide","PS","SI",W22,[1]!Entropy("carbon dioxide","TP","SI",W7+273.15,W21))-[1]!Enthalpy("carbon dioxide","TP","SI",W7+273.15,W21))</f>
        <v>2281.9371830534074</v>
      </c>
      <c r="X51" s="38">
        <f>X34/3600*1000*([1]!Enthalpy("carbon dioxide","PS","SI",X22,[1]!Entropy("carbon dioxide","TP","SI",X7+273.15,X21))-[1]!Enthalpy("carbon dioxide","TP","SI",X7+273.15,X21))</f>
        <v>2291.558597757371</v>
      </c>
      <c r="Y51" s="19">
        <f>Y34/3600*1000*([1]!Enthalpy("carbon dioxide","PS","SI",Y22,[1]!Entropy("carbon dioxide","TP","SI",Y7+273.15,Y21))-[1]!Enthalpy("carbon dioxide","TP","SI",Y7+273.15,Y21))</f>
        <v>2294.6159718472804</v>
      </c>
      <c r="Z51" s="11"/>
      <c r="AA51" s="11"/>
      <c r="AB51" s="11"/>
      <c r="AC51" s="11"/>
      <c r="AD51" s="11"/>
      <c r="AE51" s="11"/>
      <c r="AF51" s="11"/>
      <c r="AG51" s="11"/>
      <c r="AH51" s="11"/>
      <c r="AI51" s="11"/>
    </row>
    <row r="52" spans="1:35" x14ac:dyDescent="0.4">
      <c r="A52" s="44"/>
      <c r="B52" s="11" t="s">
        <v>56</v>
      </c>
      <c r="C52" s="11">
        <f t="shared" ref="C52:E52" si="14">C22/C21</f>
        <v>3.0841121495327104</v>
      </c>
      <c r="D52" s="11">
        <f t="shared" si="14"/>
        <v>3.2115384615384612</v>
      </c>
      <c r="E52" s="11">
        <f t="shared" si="14"/>
        <v>3.3190789473684208</v>
      </c>
      <c r="F52" s="15"/>
      <c r="G52" s="15">
        <f t="shared" ref="G52:K52" si="15">G22/G21</f>
        <v>2.5809768637532131</v>
      </c>
      <c r="H52" s="15">
        <f t="shared" si="15"/>
        <v>2.7783641160949868</v>
      </c>
      <c r="I52" s="15">
        <f t="shared" si="15"/>
        <v>2.8617021276595747</v>
      </c>
      <c r="J52" s="25">
        <f t="shared" si="15"/>
        <v>2.9677419354838706</v>
      </c>
      <c r="K52" s="15">
        <f t="shared" si="15"/>
        <v>3.125</v>
      </c>
      <c r="L52" s="11"/>
      <c r="M52" s="11">
        <f t="shared" ref="M52:T52" si="16">M22/M21</f>
        <v>2.9548022598870061</v>
      </c>
      <c r="N52" s="11">
        <f t="shared" si="16"/>
        <v>3.0773638968481376</v>
      </c>
      <c r="O52" s="11">
        <f t="shared" si="16"/>
        <v>3.1637931034482758</v>
      </c>
      <c r="P52" s="38">
        <f t="shared" si="16"/>
        <v>3.23342939481268</v>
      </c>
      <c r="Q52" s="19">
        <f t="shared" si="16"/>
        <v>3.3170028818443802</v>
      </c>
      <c r="R52" s="11"/>
      <c r="S52" s="32">
        <f t="shared" si="16"/>
        <v>3.23342939481268</v>
      </c>
      <c r="T52" s="32">
        <f t="shared" si="16"/>
        <v>3.1060171919770769</v>
      </c>
      <c r="U52" s="11"/>
      <c r="V52" s="19">
        <f t="shared" ref="V52:Y52" si="17">V22/V21</f>
        <v>3.2996941896024463</v>
      </c>
      <c r="W52" s="19">
        <f t="shared" si="17"/>
        <v>3.3815384615384616</v>
      </c>
      <c r="X52" s="38">
        <f t="shared" si="17"/>
        <v>3.4613003095975232</v>
      </c>
      <c r="Y52" s="19">
        <f t="shared" si="17"/>
        <v>3.5652173913043477</v>
      </c>
      <c r="Z52" s="11"/>
      <c r="AA52" s="11"/>
      <c r="AB52" s="11"/>
      <c r="AC52" s="11"/>
      <c r="AD52" s="11"/>
      <c r="AE52" s="11"/>
      <c r="AF52" s="11"/>
      <c r="AG52" s="11"/>
      <c r="AH52" s="11"/>
      <c r="AI52" s="11"/>
    </row>
    <row r="53" spans="1:35" x14ac:dyDescent="0.4">
      <c r="A53" s="44"/>
      <c r="B53" s="11" t="s">
        <v>57</v>
      </c>
      <c r="C53" s="11">
        <f>C50/C40</f>
        <v>0.86909552969038062</v>
      </c>
      <c r="D53" s="11">
        <f t="shared" ref="D53:E53" si="18">D50/D40</f>
        <v>0.88113531017311542</v>
      </c>
      <c r="E53" s="11">
        <f t="shared" si="18"/>
        <v>0.88194413484533396</v>
      </c>
      <c r="F53" s="15"/>
      <c r="G53" s="15">
        <f t="shared" ref="G53:K53" si="19">G50/G40</f>
        <v>0.81278087898616702</v>
      </c>
      <c r="H53" s="15">
        <f t="shared" si="19"/>
        <v>0.85043509909081749</v>
      </c>
      <c r="I53" s="15">
        <f t="shared" si="19"/>
        <v>0.85294988955923468</v>
      </c>
      <c r="J53" s="25">
        <f t="shared" si="19"/>
        <v>0.86128458187295298</v>
      </c>
      <c r="K53" s="15">
        <f t="shared" si="19"/>
        <v>0.89329713663465826</v>
      </c>
      <c r="L53" s="11"/>
      <c r="M53" s="11">
        <f t="shared" ref="M53:T53" si="20">M50/M40</f>
        <v>0.79951543117627399</v>
      </c>
      <c r="N53" s="11">
        <f t="shared" si="20"/>
        <v>0.81240267457994442</v>
      </c>
      <c r="O53" s="11">
        <f t="shared" si="20"/>
        <v>0.82480737371017632</v>
      </c>
      <c r="P53" s="38">
        <f t="shared" si="20"/>
        <v>0.84564298160725127</v>
      </c>
      <c r="Q53" s="19">
        <f t="shared" si="20"/>
        <v>0.86454156640957391</v>
      </c>
      <c r="R53" s="11"/>
      <c r="S53" s="32">
        <f t="shared" si="20"/>
        <v>0.83726093297216475</v>
      </c>
      <c r="T53" s="32">
        <f t="shared" si="20"/>
        <v>0.81941151135785639</v>
      </c>
      <c r="U53" s="11"/>
      <c r="V53" s="19">
        <f t="shared" ref="V53:Y53" si="21">V50/V40</f>
        <v>0.80071030981962577</v>
      </c>
      <c r="W53" s="19">
        <f t="shared" si="21"/>
        <v>0.81215129643314321</v>
      </c>
      <c r="X53" s="38">
        <f t="shared" si="21"/>
        <v>0.81742021076604698</v>
      </c>
      <c r="Y53" s="19">
        <f t="shared" si="21"/>
        <v>0.82592371810480014</v>
      </c>
      <c r="Z53" s="11"/>
      <c r="AA53" s="11"/>
      <c r="AB53" s="11"/>
      <c r="AC53" s="11"/>
      <c r="AD53" s="11"/>
      <c r="AE53" s="11"/>
      <c r="AF53" s="11"/>
      <c r="AG53" s="11"/>
      <c r="AH53" s="11"/>
      <c r="AI53" s="11"/>
    </row>
    <row r="54" spans="1:35" x14ac:dyDescent="0.4">
      <c r="A54" s="44"/>
      <c r="B54" s="11" t="s">
        <v>58</v>
      </c>
      <c r="C54" s="11">
        <f t="shared" ref="C54:E54" si="22">C51/C50</f>
        <v>0.66907456262858267</v>
      </c>
      <c r="D54" s="11">
        <f t="shared" si="22"/>
        <v>0.65693416590431875</v>
      </c>
      <c r="E54" s="11">
        <f t="shared" si="22"/>
        <v>0.64708007327431649</v>
      </c>
      <c r="F54" s="15"/>
      <c r="G54" s="15">
        <f t="shared" ref="G54:K54" si="23">G51/G50</f>
        <v>0.80099456509647637</v>
      </c>
      <c r="H54" s="15">
        <f t="shared" si="23"/>
        <v>0.72014300836255363</v>
      </c>
      <c r="I54" s="15">
        <f t="shared" si="23"/>
        <v>0.69804560869948429</v>
      </c>
      <c r="J54" s="25">
        <f t="shared" si="23"/>
        <v>0.6780189054450082</v>
      </c>
      <c r="K54" s="15">
        <f t="shared" si="23"/>
        <v>0.63681110534475438</v>
      </c>
      <c r="L54" s="11"/>
      <c r="M54" s="11">
        <f t="shared" ref="M54:T54" si="24">M51/M50</f>
        <v>0.77702685014675554</v>
      </c>
      <c r="N54" s="11">
        <f t="shared" si="24"/>
        <v>0.75644721857576147</v>
      </c>
      <c r="O54" s="11">
        <f t="shared" si="24"/>
        <v>0.71666000156826182</v>
      </c>
      <c r="P54" s="38">
        <f t="shared" si="24"/>
        <v>0.68358712951718636</v>
      </c>
      <c r="Q54" s="19">
        <f t="shared" si="24"/>
        <v>0.64439740389396982</v>
      </c>
      <c r="R54" s="11"/>
      <c r="S54" s="32">
        <f t="shared" si="24"/>
        <v>0.68900106741388878</v>
      </c>
      <c r="T54" s="32">
        <f t="shared" si="24"/>
        <v>0.72474969099445552</v>
      </c>
      <c r="U54" s="11"/>
      <c r="V54" s="19">
        <f t="shared" ref="V54:Y54" si="25">V51/V50</f>
        <v>0.7467507994105782</v>
      </c>
      <c r="W54" s="19">
        <f t="shared" si="25"/>
        <v>0.73371039024159923</v>
      </c>
      <c r="X54" s="38">
        <f t="shared" si="25"/>
        <v>0.71909796064967679</v>
      </c>
      <c r="Y54" s="19">
        <f t="shared" si="25"/>
        <v>0.69421339615096611</v>
      </c>
      <c r="Z54" s="11"/>
      <c r="AA54" s="11"/>
      <c r="AB54" s="11"/>
      <c r="AC54" s="11"/>
      <c r="AD54" s="11"/>
      <c r="AE54" s="11"/>
      <c r="AF54" s="11"/>
      <c r="AG54" s="11"/>
      <c r="AH54" s="11"/>
      <c r="AI54" s="11"/>
    </row>
    <row r="55" spans="1:35" x14ac:dyDescent="0.4">
      <c r="A55" s="44"/>
      <c r="B55" s="11" t="s">
        <v>59</v>
      </c>
      <c r="C55" s="11">
        <f>C34/((C32*5.8/1000000)*60*[1]!Density("carbon dioxide","TP","SI",C7+273.15,C21))</f>
        <v>0.82316068034980994</v>
      </c>
      <c r="D55" s="11">
        <f>D34/((D32*5.8/1000000)*60*[1]!Density("carbon dioxide","TP","SI",D7+273.15,D21))</f>
        <v>0.82750383137134842</v>
      </c>
      <c r="E55" s="11">
        <f>E34/((E32*5.8/1000000)*60*[1]!Density("carbon dioxide","TP","SI",E7+273.15,E21))</f>
        <v>0.82262050803548947</v>
      </c>
      <c r="F55" s="15"/>
      <c r="G55" s="15">
        <f>G34/((G32*5.8/1000000)*60*[1]!Density("carbon dioxide","TP","SI",G7+273.15,G21))</f>
        <v>0.91780840760806826</v>
      </c>
      <c r="H55" s="15">
        <f>H34/((H32*5.8/1000000)*60*[1]!Density("carbon dioxide","TP","SI",H7+273.15,H21))</f>
        <v>0.86557191722623616</v>
      </c>
      <c r="I55" s="15">
        <f>I34/((I32*5.8/1000000)*60*[1]!Density("carbon dioxide","TP","SI",I7+273.15,I21))</f>
        <v>0.84537218872905762</v>
      </c>
      <c r="J55" s="25">
        <f>J34/((J32*5.8/1000000)*60*[1]!Density("carbon dioxide","TP","SI",J7+273.15,J21))</f>
        <v>0.82936158616961797</v>
      </c>
      <c r="K55" s="15">
        <f>K34/((K32*5.8/1000000)*60*[1]!Density("carbon dioxide","TP","SI",K7+273.15,K21))</f>
        <v>0.80687904804696764</v>
      </c>
      <c r="L55" s="11"/>
      <c r="M55" s="11">
        <f>M34/((M32*5.8/1000000)*60*[1]!Density("carbon dioxide","TP","SI",M7+273.15,M21))</f>
        <v>0.89911997521870446</v>
      </c>
      <c r="N55" s="11">
        <f>N34/((N32*5.8/1000000)*60*[1]!Density("carbon dioxide","TP","SI",N7+273.15,N21))</f>
        <v>0.88503656885091309</v>
      </c>
      <c r="O55" s="11">
        <f>O34/((O32*5.8/1000000)*60*[1]!Density("carbon dioxide","TP","SI",O7+273.15,O21))</f>
        <v>0.84877276325084849</v>
      </c>
      <c r="P55" s="38">
        <f>P34/((P32*5.8/1000000)*60*[1]!Density("carbon dioxide","TP","SI",P7+273.15,P21))</f>
        <v>0.83252081551082791</v>
      </c>
      <c r="Q55" s="19">
        <f>Q34/((Q32*5.8/1000000)*60*[1]!Density("carbon dioxide","TP","SI",Q7+273.15,Q21))</f>
        <v>0.7993959090267948</v>
      </c>
      <c r="R55" s="11"/>
      <c r="S55" s="32">
        <f>S34/((S32*5.8/1000000)*60*[1]!Density("carbon dioxide","TP","SI",S7+273.15,S21))</f>
        <v>0.83062256995535355</v>
      </c>
      <c r="T55" s="32">
        <f>T34/((T32*5.8/1000000)*60*[1]!Density("carbon dioxide","TP","SI",T7+273.15,T21))</f>
        <v>0.85660137654805413</v>
      </c>
      <c r="U55" s="11"/>
      <c r="V55" s="19">
        <f>V34/((V32*5.8/1000000)*60*[1]!Density("carbon dioxide","TP","SI",V7+273.15,V21))</f>
        <v>0.87519609840629031</v>
      </c>
      <c r="W55" s="19">
        <f>W34/((W32*5.8/1000000)*60*[1]!Density("carbon dioxide","TP","SI",W7+273.15,W21))</f>
        <v>0.86512823441676812</v>
      </c>
      <c r="X55" s="38">
        <f>X34/((X32*5.8/1000000)*60*[1]!Density("carbon dioxide","TP","SI",X7+273.15,X21))</f>
        <v>0.85529784693768696</v>
      </c>
      <c r="Y55" s="19">
        <f>Y34/((Y32*5.8/1000000)*60*[1]!Density("carbon dioxide","TP","SI",Y7+273.15,Y21))</f>
        <v>0.83594082026293659</v>
      </c>
      <c r="Z55" s="11"/>
      <c r="AA55" s="11"/>
      <c r="AB55" s="11"/>
      <c r="AC55" s="11"/>
      <c r="AD55" s="11"/>
      <c r="AE55" s="11"/>
      <c r="AF55" s="11"/>
      <c r="AG55" s="11"/>
      <c r="AH55" s="11"/>
      <c r="AI55" s="11"/>
    </row>
    <row r="56" spans="1:35" x14ac:dyDescent="0.4">
      <c r="A56" s="44"/>
      <c r="B56" s="11" t="s">
        <v>60</v>
      </c>
      <c r="C56" s="11">
        <f>C53*C54</f>
        <v>0.58148971141004779</v>
      </c>
      <c r="D56" s="11">
        <f t="shared" ref="D56:E56" si="26">D53*D54</f>
        <v>0.57884789003741877</v>
      </c>
      <c r="E56" s="11">
        <f t="shared" si="26"/>
        <v>0.57068847539957235</v>
      </c>
      <c r="F56" s="15"/>
      <c r="G56" s="15">
        <f t="shared" ref="G56:K56" si="27">G53*G54</f>
        <v>0.65103306668225669</v>
      </c>
      <c r="H56" s="15">
        <f t="shared" si="27"/>
        <v>0.61243489067636769</v>
      </c>
      <c r="I56" s="15">
        <f t="shared" si="27"/>
        <v>0.59539792484753384</v>
      </c>
      <c r="J56" s="25">
        <f t="shared" si="27"/>
        <v>0.58396722947816115</v>
      </c>
      <c r="K56" s="15">
        <f t="shared" si="27"/>
        <v>0.56886153698162079</v>
      </c>
      <c r="L56" s="11"/>
      <c r="M56" s="11">
        <f t="shared" ref="M56:T56" si="28">M53*M54</f>
        <v>0.62124495713062533</v>
      </c>
      <c r="N56" s="11">
        <f t="shared" si="28"/>
        <v>0.61453974354950847</v>
      </c>
      <c r="O56" s="11">
        <f t="shared" si="28"/>
        <v>0.59110645373664883</v>
      </c>
      <c r="P56" s="38">
        <f t="shared" si="28"/>
        <v>0.57807065839325567</v>
      </c>
      <c r="Q56" s="19">
        <f t="shared" si="28"/>
        <v>0.55710834095275552</v>
      </c>
      <c r="R56" s="11"/>
      <c r="S56" s="32">
        <f t="shared" si="28"/>
        <v>0.57687367652176991</v>
      </c>
      <c r="T56" s="32">
        <f t="shared" si="28"/>
        <v>0.59386823965390623</v>
      </c>
      <c r="U56" s="11"/>
      <c r="V56" s="19">
        <f t="shared" ref="V56:Y56" si="29">V53*V54</f>
        <v>0.59793106395409734</v>
      </c>
      <c r="W56" s="19">
        <f t="shared" si="29"/>
        <v>0.59588384464118227</v>
      </c>
      <c r="X56" s="38">
        <f t="shared" si="29"/>
        <v>0.58780520655569335</v>
      </c>
      <c r="Y56" s="19">
        <f t="shared" si="29"/>
        <v>0.57336730930716651</v>
      </c>
      <c r="Z56" s="11"/>
      <c r="AA56" s="11"/>
      <c r="AB56" s="11"/>
      <c r="AC56" s="11"/>
      <c r="AD56" s="11"/>
      <c r="AE56" s="11"/>
      <c r="AF56" s="11"/>
      <c r="AG56" s="11"/>
      <c r="AH56" s="11"/>
      <c r="AI56" s="11"/>
    </row>
    <row r="57" spans="1:35" x14ac:dyDescent="0.4">
      <c r="A57" s="44"/>
      <c r="B57" s="11" t="s">
        <v>61</v>
      </c>
      <c r="C57" s="11"/>
      <c r="D57" s="11"/>
      <c r="E57" s="11"/>
      <c r="F57" s="15"/>
      <c r="G57" s="15"/>
      <c r="H57" s="15"/>
      <c r="I57" s="15"/>
      <c r="J57" s="25"/>
      <c r="K57" s="15"/>
      <c r="L57" s="11"/>
      <c r="M57" s="11"/>
      <c r="N57" s="11"/>
      <c r="O57" s="11"/>
      <c r="P57" s="38"/>
      <c r="Q57" s="11"/>
      <c r="R57" s="11"/>
      <c r="S57" s="32"/>
      <c r="T57" s="32"/>
      <c r="U57" s="11"/>
      <c r="V57" s="11"/>
      <c r="W57" s="11"/>
      <c r="X57" s="38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</row>
  </sheetData>
  <mergeCells count="4">
    <mergeCell ref="A3:A6"/>
    <mergeCell ref="A7:A20"/>
    <mergeCell ref="A21:A28"/>
    <mergeCell ref="A29:A57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qhr</cp:lastModifiedBy>
  <dcterms:created xsi:type="dcterms:W3CDTF">2015-06-05T18:19:34Z</dcterms:created>
  <dcterms:modified xsi:type="dcterms:W3CDTF">2019-12-09T06:51:05Z</dcterms:modified>
</cp:coreProperties>
</file>